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75" windowWidth="28515" windowHeight="12300"/>
  </bookViews>
  <sheets>
    <sheet name="LOJAS" sheetId="1" r:id="rId1"/>
    <sheet name="MAPA CG" sheetId="2" r:id="rId2"/>
    <sheet name="Plan3" sheetId="3" r:id="rId3"/>
  </sheets>
  <definedNames>
    <definedName name="_xlnm._FilterDatabase" localSheetId="0" hidden="1">LOJAS!$A$1:$S$86</definedName>
  </definedNames>
  <calcPr calcId="125725"/>
</workbook>
</file>

<file path=xl/calcChain.xml><?xml version="1.0" encoding="utf-8"?>
<calcChain xmlns="http://schemas.openxmlformats.org/spreadsheetml/2006/main">
  <c r="M21" i="1"/>
  <c r="N21" s="1"/>
  <c r="M22"/>
  <c r="N22" s="1"/>
  <c r="M23"/>
  <c r="N23" s="1"/>
  <c r="M24"/>
  <c r="N24" s="1"/>
  <c r="M25"/>
  <c r="M26"/>
  <c r="M27"/>
  <c r="M28"/>
  <c r="M29"/>
  <c r="M30"/>
  <c r="N30" s="1"/>
  <c r="M31"/>
  <c r="M32"/>
  <c r="M33"/>
  <c r="M34"/>
  <c r="N34" s="1"/>
  <c r="M35"/>
  <c r="N35" s="1"/>
  <c r="M36"/>
  <c r="N36" s="1"/>
  <c r="M37"/>
  <c r="N37" s="1"/>
  <c r="M38"/>
  <c r="N38" s="1"/>
  <c r="M39"/>
  <c r="N39" s="1"/>
  <c r="M40"/>
  <c r="N40" s="1"/>
  <c r="M41"/>
  <c r="N41" s="1"/>
  <c r="M42"/>
  <c r="N42" s="1"/>
  <c r="M43"/>
  <c r="N43" s="1"/>
  <c r="M44"/>
  <c r="N44" s="1"/>
  <c r="M45"/>
  <c r="N45" s="1"/>
  <c r="M46"/>
  <c r="N46" s="1"/>
  <c r="M47"/>
  <c r="N47" s="1"/>
  <c r="M48"/>
  <c r="N48" s="1"/>
  <c r="M49"/>
  <c r="M50"/>
  <c r="N50" s="1"/>
  <c r="M51"/>
  <c r="N51" s="1"/>
  <c r="M52"/>
  <c r="N52" s="1"/>
  <c r="M53"/>
  <c r="N53" s="1"/>
  <c r="M54"/>
  <c r="N54" s="1"/>
  <c r="M55"/>
  <c r="N55" s="1"/>
  <c r="M56"/>
  <c r="N56" s="1"/>
  <c r="M57"/>
  <c r="M58"/>
  <c r="N58" s="1"/>
  <c r="M59"/>
  <c r="N59" s="1"/>
  <c r="M60"/>
  <c r="N60" s="1"/>
  <c r="M61"/>
  <c r="N61" s="1"/>
  <c r="M62"/>
  <c r="N62" s="1"/>
  <c r="M63"/>
  <c r="N63" s="1"/>
  <c r="M64"/>
  <c r="N64" s="1"/>
  <c r="M65"/>
  <c r="N65" s="1"/>
  <c r="M66"/>
  <c r="N66" s="1"/>
  <c r="M67"/>
  <c r="N67" s="1"/>
  <c r="M68"/>
  <c r="N68" s="1"/>
  <c r="M69"/>
  <c r="N69" s="1"/>
  <c r="M70"/>
  <c r="N70" s="1"/>
  <c r="M71"/>
  <c r="N71" s="1"/>
  <c r="M72"/>
  <c r="N72" s="1"/>
  <c r="M73"/>
  <c r="N73" s="1"/>
  <c r="M74"/>
  <c r="N74" s="1"/>
  <c r="M75"/>
  <c r="N75" s="1"/>
  <c r="M76"/>
  <c r="N76" s="1"/>
  <c r="M77"/>
  <c r="N77" s="1"/>
  <c r="M78"/>
  <c r="N78" s="1"/>
  <c r="M79"/>
  <c r="N79" s="1"/>
  <c r="M80"/>
  <c r="N80" s="1"/>
  <c r="M81"/>
  <c r="N81" s="1"/>
  <c r="M82"/>
  <c r="M83"/>
  <c r="N83" s="1"/>
  <c r="M84"/>
  <c r="N84" s="1"/>
  <c r="M85"/>
  <c r="N85" s="1"/>
  <c r="M86"/>
  <c r="N86" s="1"/>
  <c r="M2"/>
  <c r="M3"/>
  <c r="M4"/>
  <c r="M5"/>
  <c r="M6"/>
  <c r="N6" s="1"/>
  <c r="M7"/>
  <c r="M8"/>
  <c r="M9"/>
  <c r="M10"/>
  <c r="M11"/>
  <c r="M12"/>
  <c r="M13"/>
  <c r="M14"/>
  <c r="M15"/>
  <c r="M16"/>
  <c r="M17"/>
  <c r="M18"/>
  <c r="M19"/>
  <c r="M20"/>
  <c r="N20" s="1"/>
  <c r="N29" l="1"/>
  <c r="N87" s="1"/>
  <c r="N33"/>
  <c r="Q77" l="1"/>
  <c r="Q70"/>
  <c r="Q56"/>
  <c r="Q34"/>
  <c r="Q44"/>
  <c r="Q78"/>
  <c r="Q64"/>
  <c r="Q42"/>
  <c r="Q60"/>
  <c r="Q86"/>
  <c r="Q72"/>
  <c r="Q50"/>
  <c r="Q76"/>
  <c r="Q53"/>
  <c r="Q80"/>
  <c r="Q58"/>
  <c r="Q68"/>
  <c r="Q63"/>
  <c r="Q73"/>
  <c r="Q84"/>
  <c r="Q71"/>
  <c r="Q81"/>
  <c r="Q43"/>
  <c r="Q79"/>
  <c r="Q20"/>
  <c r="Q59"/>
  <c r="Q22"/>
  <c r="Q67"/>
  <c r="Q62"/>
  <c r="Q5"/>
  <c r="Q13"/>
  <c r="Q19"/>
  <c r="Q14"/>
  <c r="Q12"/>
  <c r="Q16"/>
  <c r="Q57"/>
  <c r="Q8"/>
  <c r="Q2"/>
  <c r="Q7"/>
  <c r="Q10"/>
  <c r="Q11"/>
  <c r="Q18"/>
  <c r="Q82"/>
  <c r="Q3"/>
  <c r="Q32"/>
  <c r="Q27"/>
  <c r="Q15"/>
  <c r="Q9"/>
  <c r="Q4"/>
  <c r="Q49"/>
  <c r="Q26"/>
  <c r="Q28"/>
  <c r="Q17"/>
  <c r="Q25"/>
  <c r="Q31"/>
  <c r="Q29"/>
  <c r="Q65"/>
  <c r="Q48"/>
  <c r="Q55"/>
  <c r="Q54"/>
  <c r="Q52"/>
  <c r="Q61"/>
  <c r="Q21"/>
  <c r="Q33"/>
  <c r="Q41"/>
  <c r="Q40"/>
  <c r="Q47"/>
  <c r="Q46"/>
  <c r="Q36"/>
  <c r="Q45"/>
  <c r="Q83"/>
  <c r="Q74"/>
  <c r="Q24"/>
  <c r="Q39"/>
  <c r="Q38"/>
  <c r="Q85"/>
  <c r="Q37"/>
  <c r="Q51"/>
  <c r="Q66"/>
  <c r="Q6"/>
  <c r="Q23"/>
  <c r="Q30"/>
  <c r="Q69"/>
  <c r="Q75"/>
  <c r="Q35"/>
  <c r="Q87" l="1"/>
  <c r="R66"/>
  <c r="S66"/>
  <c r="R83"/>
  <c r="S83"/>
  <c r="R21"/>
  <c r="S21"/>
  <c r="R31"/>
  <c r="S31"/>
  <c r="S15"/>
  <c r="R15"/>
  <c r="S7"/>
  <c r="R7"/>
  <c r="S13"/>
  <c r="R13"/>
  <c r="S43"/>
  <c r="R43"/>
  <c r="S80"/>
  <c r="R80"/>
  <c r="S64"/>
  <c r="R64"/>
  <c r="S6"/>
  <c r="R6"/>
  <c r="R74"/>
  <c r="S74"/>
  <c r="R29"/>
  <c r="S29"/>
  <c r="S9"/>
  <c r="R9"/>
  <c r="S10"/>
  <c r="R10"/>
  <c r="R19"/>
  <c r="S19"/>
  <c r="S79"/>
  <c r="R79"/>
  <c r="R58"/>
  <c r="S58"/>
  <c r="R42"/>
  <c r="S42"/>
  <c r="R23"/>
  <c r="S23"/>
  <c r="S24"/>
  <c r="R24"/>
  <c r="R41"/>
  <c r="S41"/>
  <c r="S65"/>
  <c r="R65"/>
  <c r="S4"/>
  <c r="R4"/>
  <c r="S11"/>
  <c r="R11"/>
  <c r="S14"/>
  <c r="R14"/>
  <c r="R20"/>
  <c r="S20"/>
  <c r="R68"/>
  <c r="S68"/>
  <c r="R60"/>
  <c r="S60"/>
  <c r="R77"/>
  <c r="S77"/>
  <c r="S30"/>
  <c r="R30"/>
  <c r="S39"/>
  <c r="R39"/>
  <c r="R40"/>
  <c r="S40"/>
  <c r="R48"/>
  <c r="S48"/>
  <c r="S49"/>
  <c r="R49"/>
  <c r="R18"/>
  <c r="S18"/>
  <c r="R12"/>
  <c r="S12"/>
  <c r="R59"/>
  <c r="S59"/>
  <c r="S63"/>
  <c r="R63"/>
  <c r="S86"/>
  <c r="R86"/>
  <c r="S70"/>
  <c r="R70"/>
  <c r="R69"/>
  <c r="S69"/>
  <c r="S38"/>
  <c r="R38"/>
  <c r="S47"/>
  <c r="R47"/>
  <c r="S55"/>
  <c r="R55"/>
  <c r="S26"/>
  <c r="R26"/>
  <c r="R82"/>
  <c r="S82"/>
  <c r="S16"/>
  <c r="R16"/>
  <c r="R22"/>
  <c r="S22"/>
  <c r="S73"/>
  <c r="R73"/>
  <c r="S72"/>
  <c r="R72"/>
  <c r="S56"/>
  <c r="R56"/>
  <c r="R75"/>
  <c r="S75"/>
  <c r="R85"/>
  <c r="S85"/>
  <c r="S46"/>
  <c r="R46"/>
  <c r="S54"/>
  <c r="R54"/>
  <c r="S28"/>
  <c r="R28"/>
  <c r="S3"/>
  <c r="R3"/>
  <c r="R57"/>
  <c r="S57"/>
  <c r="R67"/>
  <c r="S67"/>
  <c r="R84"/>
  <c r="S84"/>
  <c r="R50"/>
  <c r="S50"/>
  <c r="R34"/>
  <c r="S34"/>
  <c r="S35"/>
  <c r="R35"/>
  <c r="S37"/>
  <c r="R37"/>
  <c r="S36"/>
  <c r="R36"/>
  <c r="S52"/>
  <c r="R52"/>
  <c r="S17"/>
  <c r="R17"/>
  <c r="R32"/>
  <c r="S32"/>
  <c r="S8"/>
  <c r="R8"/>
  <c r="S62"/>
  <c r="R62"/>
  <c r="S71"/>
  <c r="R71"/>
  <c r="R76"/>
  <c r="S76"/>
  <c r="S44"/>
  <c r="R44"/>
  <c r="R51"/>
  <c r="S51"/>
  <c r="S45"/>
  <c r="R45"/>
  <c r="S61"/>
  <c r="R61"/>
  <c r="S25"/>
  <c r="R25"/>
  <c r="S27"/>
  <c r="R27"/>
  <c r="S2"/>
  <c r="R2"/>
  <c r="S5"/>
  <c r="R5"/>
  <c r="S81"/>
  <c r="R81"/>
  <c r="S53"/>
  <c r="R53"/>
  <c r="S78"/>
  <c r="R78"/>
  <c r="S33"/>
  <c r="R33"/>
  <c r="R87" l="1"/>
  <c r="S87"/>
</calcChain>
</file>

<file path=xl/sharedStrings.xml><?xml version="1.0" encoding="utf-8"?>
<sst xmlns="http://schemas.openxmlformats.org/spreadsheetml/2006/main" count="271" uniqueCount="104">
  <si>
    <t>Loja</t>
  </si>
  <si>
    <t>Cidade</t>
  </si>
  <si>
    <t>Bairro</t>
  </si>
  <si>
    <t>Entregas domiciliar/dia</t>
  </si>
  <si>
    <t>Distância do CD (km)</t>
  </si>
  <si>
    <t>Região</t>
  </si>
  <si>
    <t xml:space="preserve">Agudo </t>
  </si>
  <si>
    <t>Centro</t>
  </si>
  <si>
    <t>CENTRO ORIENTAL</t>
  </si>
  <si>
    <t>Arroio do Meio</t>
  </si>
  <si>
    <t>Bom Retiro do Sul</t>
  </si>
  <si>
    <t>Cachoeira do Sul</t>
  </si>
  <si>
    <t>Candelaria</t>
  </si>
  <si>
    <t>Encatado</t>
  </si>
  <si>
    <t>Estrela</t>
  </si>
  <si>
    <t>Lageado</t>
  </si>
  <si>
    <t>Pantano Grande</t>
  </si>
  <si>
    <t>Restinga Seca</t>
  </si>
  <si>
    <t>Rio Pardo</t>
  </si>
  <si>
    <t>Santa Cruz do Sul</t>
  </si>
  <si>
    <t>Sinimbu</t>
  </si>
  <si>
    <t>Taquari</t>
  </si>
  <si>
    <t>Teutonia</t>
  </si>
  <si>
    <t>Languiru</t>
  </si>
  <si>
    <t>Venancio Aires</t>
  </si>
  <si>
    <t>Vera Cruz</t>
  </si>
  <si>
    <t xml:space="preserve"> Santo Antonio da Patrulha</t>
  </si>
  <si>
    <t>METROPOLITANA</t>
  </si>
  <si>
    <t>Alvorada</t>
  </si>
  <si>
    <t>Butiá</t>
  </si>
  <si>
    <t>Cachoerinha</t>
  </si>
  <si>
    <t xml:space="preserve">Campo Bom </t>
  </si>
  <si>
    <t>Canela</t>
  </si>
  <si>
    <t>Capão da Canoa</t>
  </si>
  <si>
    <t>Charqueadas</t>
  </si>
  <si>
    <t>Dois Irmãos</t>
  </si>
  <si>
    <t>Estancia Velha</t>
  </si>
  <si>
    <t>Esteio</t>
  </si>
  <si>
    <t>Gramado</t>
  </si>
  <si>
    <t>Gravataí</t>
  </si>
  <si>
    <t>Guaíba</t>
  </si>
  <si>
    <t>Igrejinha</t>
  </si>
  <si>
    <t>Imbé</t>
  </si>
  <si>
    <t>Ivoti</t>
  </si>
  <si>
    <t>Minas do Leão</t>
  </si>
  <si>
    <t>Montenegro</t>
  </si>
  <si>
    <t>Nova Hartz</t>
  </si>
  <si>
    <t>Nova Petropolis</t>
  </si>
  <si>
    <t>Novo Hamburgo</t>
  </si>
  <si>
    <t>Canudos</t>
  </si>
  <si>
    <t>Osorio</t>
  </si>
  <si>
    <t>Parobé</t>
  </si>
  <si>
    <t>Portão</t>
  </si>
  <si>
    <t>Porto Alegre</t>
  </si>
  <si>
    <t>Higienopolis</t>
  </si>
  <si>
    <t>Azenha</t>
  </si>
  <si>
    <t>Moinhos de Vento</t>
  </si>
  <si>
    <t>Rio Branco</t>
  </si>
  <si>
    <t>Rolante</t>
  </si>
  <si>
    <t>São Jeronimo</t>
  </si>
  <si>
    <t>São Leopoldo</t>
  </si>
  <si>
    <t>27,4 </t>
  </si>
  <si>
    <t>São Sebastião do caí</t>
  </si>
  <si>
    <t>Sapiranga</t>
  </si>
  <si>
    <t>Sapucaia do sul</t>
  </si>
  <si>
    <t>Taquara</t>
  </si>
  <si>
    <t>Torres</t>
  </si>
  <si>
    <t>Tramandaí</t>
  </si>
  <si>
    <t>Tres Coroas</t>
  </si>
  <si>
    <t>Triunfo</t>
  </si>
  <si>
    <t>Viamão</t>
  </si>
  <si>
    <t>Vila Santa Izabel</t>
  </si>
  <si>
    <t>Bento Gonçalves</t>
  </si>
  <si>
    <t>NORDESTE</t>
  </si>
  <si>
    <t>Caxias do Sul</t>
  </si>
  <si>
    <t>Farroupilha</t>
  </si>
  <si>
    <t>Flores da Cunha</t>
  </si>
  <si>
    <t>Garibaldi</t>
  </si>
  <si>
    <t>Guaporé</t>
  </si>
  <si>
    <t>São Francisco de Paula</t>
  </si>
  <si>
    <t>São Marcos</t>
  </si>
  <si>
    <t xml:space="preserve">Arroio Grande </t>
  </si>
  <si>
    <t>SUDESTE</t>
  </si>
  <si>
    <t>Caçapava do Sul</t>
  </si>
  <si>
    <t>Camaquã</t>
  </si>
  <si>
    <t>Canguçu</t>
  </si>
  <si>
    <t>Encruzilhada do Sul</t>
  </si>
  <si>
    <t xml:space="preserve">Pedro Osório </t>
  </si>
  <si>
    <t>Pelotas</t>
  </si>
  <si>
    <t>Fragata</t>
  </si>
  <si>
    <t>Pinheiro Machado</t>
  </si>
  <si>
    <t>Piratini</t>
  </si>
  <si>
    <t>Rio Grande</t>
  </si>
  <si>
    <t>Santa Vitoria do Palmar</t>
  </si>
  <si>
    <t>São Lourenço do Sul</t>
  </si>
  <si>
    <t>Peso</t>
  </si>
  <si>
    <t>Lojas</t>
  </si>
  <si>
    <t>y</t>
  </si>
  <si>
    <t>PROP</t>
  </si>
  <si>
    <t>LX</t>
  </si>
  <si>
    <t>LY</t>
  </si>
  <si>
    <t>SOMA PESOS</t>
  </si>
  <si>
    <t>X</t>
  </si>
  <si>
    <t>SUB TOTAL Pesos</t>
  </si>
</sst>
</file>

<file path=xl/styles.xml><?xml version="1.0" encoding="utf-8"?>
<styleSheet xmlns="http://schemas.openxmlformats.org/spreadsheetml/2006/main">
  <numFmts count="1">
    <numFmt numFmtId="164" formatCode="0.00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FF33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342901</xdr:colOff>
      <xdr:row>14</xdr:row>
      <xdr:rowOff>55810</xdr:rowOff>
    </xdr:from>
    <xdr:to>
      <xdr:col>17</xdr:col>
      <xdr:colOff>571501</xdr:colOff>
      <xdr:row>65</xdr:row>
      <xdr:rowOff>156077</xdr:rowOff>
    </xdr:to>
    <xdr:grpSp>
      <xdr:nvGrpSpPr>
        <xdr:cNvPr id="5664" name="Grupo 5663"/>
        <xdr:cNvGrpSpPr/>
      </xdr:nvGrpSpPr>
      <xdr:grpSpPr>
        <a:xfrm>
          <a:off x="342901" y="2722810"/>
          <a:ext cx="10564238" cy="9815767"/>
          <a:chOff x="3152775" y="2722811"/>
          <a:chExt cx="7781925" cy="7211764"/>
        </a:xfrm>
      </xdr:grpSpPr>
      <xdr:pic>
        <xdr:nvPicPr>
          <xdr:cNvPr id="2" name="Imagem 1" descr="mapa-geografia-do-rio-grande-do-sul GERAL.jpg"/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3152775" y="2781300"/>
            <a:ext cx="7781925" cy="7134225"/>
          </a:xfrm>
          <a:prstGeom prst="rect">
            <a:avLst/>
          </a:prstGeom>
        </xdr:spPr>
      </xdr:pic>
      <xdr:grpSp>
        <xdr:nvGrpSpPr>
          <xdr:cNvPr id="1889" name="Grupo 1888"/>
          <xdr:cNvGrpSpPr/>
        </xdr:nvGrpSpPr>
        <xdr:grpSpPr>
          <a:xfrm>
            <a:off x="7105649" y="2722811"/>
            <a:ext cx="3827131" cy="3725614"/>
            <a:chOff x="3162302" y="476252"/>
            <a:chExt cx="4848224" cy="4719622"/>
          </a:xfrm>
        </xdr:grpSpPr>
        <xdr:grpSp>
          <xdr:nvGrpSpPr>
            <xdr:cNvPr id="945" name="Grupo 944"/>
            <xdr:cNvGrpSpPr/>
          </xdr:nvGrpSpPr>
          <xdr:grpSpPr>
            <a:xfrm>
              <a:off x="3162302" y="476252"/>
              <a:ext cx="4848224" cy="2357422"/>
              <a:chOff x="3162301" y="476251"/>
              <a:chExt cx="5504483" cy="2676524"/>
            </a:xfrm>
          </xdr:grpSpPr>
          <xdr:grpSp>
            <xdr:nvGrpSpPr>
              <xdr:cNvPr id="3" name="Grupo 2"/>
              <xdr:cNvGrpSpPr/>
            </xdr:nvGrpSpPr>
            <xdr:grpSpPr>
              <a:xfrm>
                <a:off x="3162301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4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240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358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4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4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0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8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9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4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2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3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59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1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6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2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0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1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6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4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5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60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9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8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4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2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3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8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6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7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61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6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6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0" name="Retângulo 3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6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7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76" name="Retângulo 37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7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7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74" name="Retângulo 3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75" name="Retângulo 37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6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6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70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7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6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68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69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241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242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3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5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5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5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5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5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5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3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4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5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5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4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48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4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3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44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42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43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3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38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36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37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243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0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2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2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2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2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2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2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0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1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2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2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1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20" name="Retângulo 31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2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0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16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14" name="Retângulo 3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15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0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10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08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09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244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27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9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0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0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9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9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9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7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9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92" name="Retângulo 29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9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7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88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86" name="Retângulo 2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87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7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82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80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81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245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24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7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7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7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4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6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64" name="Retângulo 26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6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4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60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58" name="Retângulo 2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59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4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54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52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53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5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6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24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21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3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3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3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1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3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30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3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1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2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26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2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2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24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25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21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1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20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2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1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18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19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25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8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1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0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0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0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0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0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0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02" name="Retângulo 2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0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9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98" name="Retângulo 1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9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9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96" name="Retângulo 1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97" name="Retângulo 1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92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9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90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91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26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5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4" name="Retângulo 1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0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8" name="Retângulo 16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9" name="Retângulo 16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4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2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3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27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2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6" name="Retângulo 1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2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0" name="Retângulo 1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1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6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4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5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7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8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9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4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0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8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9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4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2" name="Retângulo 1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3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9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6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6" name="Retângulo 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2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0" name="Retângulo 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1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6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4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5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0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8" name="Retângulo 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" name="Retângulo 5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" name="Retângulo 5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" name="Retângulo 5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" name="Retângulo 4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" name="Retângulo 4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1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0" name="Retângulo 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2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6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2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4" name="Retângulo 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5" name="Retângulo 2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20" name="Retângulo 1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2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" name="Retângulo 1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9" name="Retângulo 1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  <xdr:grpSp>
            <xdr:nvGrpSpPr>
              <xdr:cNvPr id="474" name="Grupo 473"/>
              <xdr:cNvGrpSpPr/>
            </xdr:nvGrpSpPr>
            <xdr:grpSpPr>
              <a:xfrm>
                <a:off x="5915026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475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711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829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91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3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4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4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4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4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4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1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3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3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3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3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35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3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1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2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31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3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2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29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30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2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25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23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24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830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889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1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15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1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1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13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14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90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0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09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1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0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07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08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91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9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03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0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0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01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02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92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9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97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9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9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95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96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831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86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8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8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8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8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8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8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6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8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79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8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6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7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75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7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7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73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74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6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6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69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7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6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67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68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832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83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5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5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6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5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5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5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3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5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51" name="Retângulo 85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5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3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4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47" name="Retângulo 84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4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4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45" name="Retângulo 84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46" name="Retângulo 845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3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3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41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4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3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39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40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712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713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80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2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2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2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2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2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2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0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1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2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2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1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19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2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0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1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15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1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1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13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14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80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80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09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1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80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807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08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714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77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9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9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80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9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9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9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7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8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9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9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9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91" name="Retângulo 79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9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7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8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87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8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8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85" name="Retângulo 78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86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7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81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79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80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715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74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6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7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7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6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6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7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4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6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6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6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6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63" name="Retângulo 76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6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4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5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59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6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5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57" name="Retângulo 75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58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4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53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51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52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716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71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3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4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4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4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4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4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1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3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3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3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3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35" name="Retângulo 73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3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1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2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31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3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2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29" name="Retângulo 72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30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72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25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23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24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476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477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595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68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70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0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1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0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0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0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8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9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0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0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70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701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70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8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9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97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9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9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95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96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8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8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91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9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8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89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90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96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65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8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7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8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5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7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7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7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7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73" name="Retângulo 6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7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5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6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69" name="Retângulo 6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7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6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67" name="Retângulo 6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68" name="Retângulo 6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5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5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63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6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6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61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62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97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62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5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5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5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2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4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4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4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4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45" name="Retângulo 64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4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2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3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41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4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3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39" name="Retângulo 63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40" name="Retângulo 63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3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3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35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3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3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33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34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98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99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25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23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24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00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1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19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2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1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17" name="Retângulo 61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18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01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0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13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1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1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11" name="Retângulo 61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12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602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60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07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0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60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605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606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478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79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6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8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9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9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9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9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9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8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8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8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8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85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8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81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79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80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7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7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75" name="Retângulo 5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7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7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73" name="Retângulo 5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74" name="Retângulo 5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80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39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5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3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4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0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9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7" name="Retângulo 55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8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1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3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1" name="Retângulo 55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2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2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7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5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6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81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1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9" name="Retângulo 52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5" name="Retângulo 52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3" name="Retângulo 52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4" name="Retângulo 52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9" name="Retângulo 5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7" name="Retângulo 51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8" name="Retângulo 51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82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8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1" name="Retângulo 50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7" name="Retângulo 49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5" name="Retângulo 49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6" name="Retângulo 495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1" name="Retângulo 49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9" name="Retângulo 48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0" name="Retângulo 48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  <xdr:grpSp>
          <xdr:nvGrpSpPr>
            <xdr:cNvPr id="946" name="Grupo 945"/>
            <xdr:cNvGrpSpPr/>
          </xdr:nvGrpSpPr>
          <xdr:grpSpPr>
            <a:xfrm>
              <a:off x="3162302" y="2838452"/>
              <a:ext cx="4848224" cy="2357422"/>
              <a:chOff x="3162301" y="476251"/>
              <a:chExt cx="5504483" cy="2676524"/>
            </a:xfrm>
          </xdr:grpSpPr>
          <xdr:grpSp>
            <xdr:nvGrpSpPr>
              <xdr:cNvPr id="947" name="Grupo 946"/>
              <xdr:cNvGrpSpPr/>
            </xdr:nvGrpSpPr>
            <xdr:grpSpPr>
              <a:xfrm>
                <a:off x="3162301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1419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1655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773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86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8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8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8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8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8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8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6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8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79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8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6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7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75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7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7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73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74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6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6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69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7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6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67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68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774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83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5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5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6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5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5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5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3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5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51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5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3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4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47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4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4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45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46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3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3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41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4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3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39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40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775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80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2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3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3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2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2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3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0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2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23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2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0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1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19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2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1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17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18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80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80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13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1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1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11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12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776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77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9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0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0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80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80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80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7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9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9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9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9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95" name="Retângulo 3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9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7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8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91" name="Retângulo 179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9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8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89" name="Retângulo 3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90" name="Retângulo 178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8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8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85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8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8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83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84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1656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657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74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6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7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7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6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6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7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4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6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6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6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6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63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6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4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5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59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6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5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57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58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4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53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51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52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658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71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3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4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4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4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4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4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1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3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3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3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3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35" name="Retângulo 31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3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1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2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31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3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2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29" name="Retângulo 3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30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72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25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23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24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659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689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1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15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1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1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13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14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90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70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09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1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0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07" name="Retângulo 29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08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91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9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03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0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70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701" name="Retângulo 2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702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92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9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97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9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9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95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96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660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66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8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8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8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8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8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8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6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8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79" name="Retângulo 26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8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6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7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75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7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7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73" name="Retângulo 2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74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6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6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69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7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6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67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68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1420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1421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539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62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5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5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5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2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4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4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4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4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45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4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2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3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41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4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3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39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40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3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3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35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3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3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33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34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540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599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25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23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24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00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1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19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2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1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17" name="Retângulo 2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18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01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0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13" name="Retângulo 161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1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1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11" name="Retângulo 1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12" name="Retângulo 1611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602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60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07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0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60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605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606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541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57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9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9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9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9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9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9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7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8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9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9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8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89" name="Retângulo 1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9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7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8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85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8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8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83" name="Retângulo 16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84" name="Retângulo 158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7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7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79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8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7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77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78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542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54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6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6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7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6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6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6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4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5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6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6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6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61" name="Retângulo 1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6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4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5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57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5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5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55" name="Retângulo 1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56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4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4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51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5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4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49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50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1422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423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51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3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3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3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3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3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3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1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2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3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3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2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29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3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1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2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25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2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2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23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24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51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1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19" name="Retângulo 15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2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1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17" name="Retângulo 1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18" name="Retângulo 151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424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48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50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0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1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0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0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0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8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9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0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0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50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501" name="Retângulo 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50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8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9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97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9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9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95" name="Retângulo 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96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8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8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91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9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8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89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90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425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45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8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7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8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5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7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7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7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7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73" name="Retângulo 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7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5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6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69" name="Retângulo 14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7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6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67" name="Retângulo 5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68" name="Retângulo 14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5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5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63" name="Retângulo 146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6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6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61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62" name="Retângulo 1461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426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42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4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5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5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5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5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5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2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4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4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4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4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45" name="Retângulo 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4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2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3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41" name="Retângulo 144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4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3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39" name="Retângulo 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40" name="Retângulo 143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43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3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35" name="Retângulo 143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3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3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33" name="Retângulo 1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34" name="Retângulo 143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  <xdr:grpSp>
            <xdr:nvGrpSpPr>
              <xdr:cNvPr id="948" name="Grupo 473"/>
              <xdr:cNvGrpSpPr/>
            </xdr:nvGrpSpPr>
            <xdr:grpSpPr>
              <a:xfrm>
                <a:off x="5915026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949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1185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303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39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1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1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1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1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1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1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9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0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1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1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0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09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1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9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40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05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0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40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403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04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9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9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99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40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9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97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98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304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36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8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8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9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8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8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8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6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7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8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8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8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81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8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6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7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77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7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7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75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76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6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6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71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7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6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69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70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305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33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5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6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6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5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5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6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3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5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5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5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5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53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5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3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4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49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5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4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47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48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3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3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43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4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4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41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42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306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30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2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3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3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3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3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3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0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2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2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2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2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25" name="Retângulo 132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2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0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1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21" name="Retângulo 13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2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1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19" name="Retângulo 13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20" name="Retângulo 13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31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31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15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1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31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13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14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1186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187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27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9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30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0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9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9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30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7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9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9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9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9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93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9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7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8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89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9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8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87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88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7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7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83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8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8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81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82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188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24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6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7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7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7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7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7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4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6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6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6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6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65" name="Retângulo 126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6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4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5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61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6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5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59" name="Retângulo 125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60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5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5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55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5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5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53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54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189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219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4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45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4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4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43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44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20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3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39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4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3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37" name="Retângulo 123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38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21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2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33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3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3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31" name="Retângulo 123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32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222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2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27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2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2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25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26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190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19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1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1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1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1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1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1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9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0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1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1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0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09" name="Retângulo 120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1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9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20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05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0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20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203" name="Retângulo 120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04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9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9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99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20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9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97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98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950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951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1069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15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7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8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8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8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8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8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5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7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7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7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7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75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7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5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6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71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7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6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69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70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6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6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65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6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6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63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64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070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129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5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55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5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5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53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54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30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4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49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5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4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47" name="Retângulo 114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48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31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3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43" name="Retângulo 114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4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4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41" name="Retângulo 114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42" name="Retângulo 1141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32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3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37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3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3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35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36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071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10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2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2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2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2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2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2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0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1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2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2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1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19" name="Retângulo 11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2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0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1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15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1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1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13" name="Retângulo 111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14" name="Retângulo 111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10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10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09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1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10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107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08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1072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07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9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9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10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9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9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9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7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8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9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9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9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91" name="Retângulo 109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9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7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8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87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8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8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85" name="Retângulo 108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86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7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7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81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8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7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79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80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952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953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041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6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67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6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6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65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66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42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5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61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6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5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59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60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43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5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55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5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5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53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54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44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4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49" name="Retângulo 104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5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4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47" name="Retângulo 104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48" name="Retângulo 104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954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1013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3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39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4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3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37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38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14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2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33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3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3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31" name="Retângulo 103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32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15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2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27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2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2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25" name="Retângulo 102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26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1016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1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21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2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1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19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20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955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985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0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11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1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0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09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10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86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100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05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0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100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1003" name="Retângulo 100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04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87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95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99" name="Retângulo 99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1000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96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97" name="Retângulo 99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98" name="Retângulo 99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88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8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93" name="Retângulo 99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9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9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91" name="Retângulo 99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92" name="Retângulo 991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956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957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79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83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84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80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81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82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58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73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77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78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74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75" name="Retângulo 9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76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59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67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71" name="Retângulo 97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72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68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69" name="Retângulo 9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70" name="Retângulo 96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960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961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65" name="Retângulo 96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66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962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963" name="Retângulo 96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964" name="Retângulo 96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  <xdr:grpSp>
        <xdr:nvGrpSpPr>
          <xdr:cNvPr id="3777" name="Grupo 3776"/>
          <xdr:cNvGrpSpPr/>
        </xdr:nvGrpSpPr>
        <xdr:grpSpPr>
          <a:xfrm>
            <a:off x="7105649" y="6208961"/>
            <a:ext cx="3827131" cy="3725614"/>
            <a:chOff x="3162302" y="476252"/>
            <a:chExt cx="4848224" cy="4719622"/>
          </a:xfrm>
        </xdr:grpSpPr>
        <xdr:grpSp>
          <xdr:nvGrpSpPr>
            <xdr:cNvPr id="3778" name="Grupo 944"/>
            <xdr:cNvGrpSpPr/>
          </xdr:nvGrpSpPr>
          <xdr:grpSpPr>
            <a:xfrm>
              <a:off x="3162302" y="476252"/>
              <a:ext cx="4848224" cy="2357422"/>
              <a:chOff x="3162301" y="476251"/>
              <a:chExt cx="5504483" cy="2676524"/>
            </a:xfrm>
          </xdr:grpSpPr>
          <xdr:grpSp>
            <xdr:nvGrpSpPr>
              <xdr:cNvPr id="4722" name="Grupo 2"/>
              <xdr:cNvGrpSpPr/>
            </xdr:nvGrpSpPr>
            <xdr:grpSpPr>
              <a:xfrm>
                <a:off x="3162301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5194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5430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5548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63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5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6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6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5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6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6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3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5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5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5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5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54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5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3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4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50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5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4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48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49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3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44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42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43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549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60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3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3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3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3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3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3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0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2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2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2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2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26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2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1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1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22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2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1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20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21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61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16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14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15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550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58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60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0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0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60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0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0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8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9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60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60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9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98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9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8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94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92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93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8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88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86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87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551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55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7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7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7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7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7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7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5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7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70" name="Retângulo 3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7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5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66" name="Retângulo 37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64" name="Retângulo 3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65" name="Retângulo 37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5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60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58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59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5431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5432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52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4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4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4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4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4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4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2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3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4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4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3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38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3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2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3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34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3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3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32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33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52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2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28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2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2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26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27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433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49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1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1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1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1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1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1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9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0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1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1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0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10" name="Retângulo 31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1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9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50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06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0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50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04" name="Retângulo 3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05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9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9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500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50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9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98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99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434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46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8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9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9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8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8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8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6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8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8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8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8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82" name="Retângulo 29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8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6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7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78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7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7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76" name="Retângulo 2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77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6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72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70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71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435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43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5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6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6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5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6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6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3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5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5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5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5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54" name="Retângulo 26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5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3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4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50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5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4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48" name="Retângulo 2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49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3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44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42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43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5195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5196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5314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40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2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2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2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2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2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2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0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1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2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2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1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20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2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0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16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14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15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40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4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10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4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08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09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315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37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9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40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40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9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9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9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7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9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92" name="Retângulo 2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9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7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88" name="Retângulo 1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86" name="Retângulo 1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87" name="Retângulo 1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7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82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80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81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316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34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7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7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7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4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6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64" name="Retângulo 1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6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4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60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58" name="Retângulo 16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59" name="Retângulo 16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4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54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52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53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317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31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4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4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4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1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3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36" name="Retângulo 1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3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2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32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30" name="Retângulo 1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31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32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2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26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2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2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24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25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5197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5198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28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0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1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1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0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1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1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8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30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0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0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30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04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0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8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9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300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30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9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98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99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8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94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92" name="Retângulo 1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93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199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25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8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8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8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8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8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8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5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7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7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7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7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76" name="Retângulo 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7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6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72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70" name="Retângulo 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71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6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66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64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65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200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23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5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5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5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5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5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5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3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4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5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5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4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48" name="Retângulo 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4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3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44" name="Retângulo 5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42" name="Retângulo 5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43" name="Retângulo 5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3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38" name="Retângulo 4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36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37" name="Retângulo 4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201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20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2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2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2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2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2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2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0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1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2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2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1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20" name="Retângulo 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2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0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16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14" name="Retângulo 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15" name="Retângulo 2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20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2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10" name="Retângulo 1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2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208" name="Retângulo 1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209" name="Retângulo 1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  <xdr:grpSp>
            <xdr:nvGrpSpPr>
              <xdr:cNvPr id="4723" name="Grupo 473"/>
              <xdr:cNvGrpSpPr/>
            </xdr:nvGrpSpPr>
            <xdr:grpSpPr>
              <a:xfrm>
                <a:off x="5915026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4724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4960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5078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16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8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9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9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8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9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9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6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8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8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8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8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84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8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6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7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80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8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7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78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79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6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7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74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7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7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72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73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079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13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6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6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6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6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6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6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3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5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56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5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4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4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52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5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4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50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51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4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4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46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4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4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44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45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080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11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3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3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3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3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3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3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1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3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28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2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1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2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24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2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2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22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23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11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1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18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1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1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16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17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5081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08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10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0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0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10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0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0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8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0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100" name="Retângulo 85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10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8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9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96" name="Retângulo 50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9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9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94" name="Retângulo 84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95" name="Retângulo 845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8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8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90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9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8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88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89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4961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962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05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7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7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7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7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7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7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5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6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7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7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6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68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6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5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6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64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6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6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62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63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5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58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56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57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963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502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4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4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4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4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4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4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2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3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4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4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3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40" name="Retângulo 79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4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2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3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36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3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3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34" name="Retângulo 78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35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502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30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28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29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964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99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1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2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2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1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1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1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9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1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1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1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1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12" name="Retângulo 76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1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9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500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08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0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500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06" name="Retângulo 75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07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9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02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5000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5001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965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96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8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9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9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8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9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9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6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8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8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8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8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84" name="Retângulo 73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8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6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7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80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8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7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78" name="Retângulo 72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79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6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7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74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7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7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72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73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4725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4726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844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93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5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5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5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3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4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5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5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4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50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5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3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4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46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4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4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44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45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3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3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40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4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3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38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39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845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90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3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2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2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0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2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2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2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2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22" name="Retângulo 6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2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0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1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18" name="Retângulo 491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1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1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16" name="Retângulo 6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17" name="Retângulo 6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90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90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12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1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90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10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11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846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87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0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90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90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7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9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9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9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9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94" name="Retângulo 64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9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7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8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90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9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8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88" name="Retângulo 63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89" name="Retângulo 63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7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8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84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8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8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82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83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847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84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7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7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7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7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7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7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4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6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6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6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6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66" name="Retângulo 61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6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5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5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62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6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5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60" name="Retângulo 61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61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5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5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56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5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5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54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55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4727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728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81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3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4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4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3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4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4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1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3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3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3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3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34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3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1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30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28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29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81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2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24" name="Retângulo 48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2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2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22" name="Retângulo 5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23" name="Retângulo 5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729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78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1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1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1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1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1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1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8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80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0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0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80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06" name="Retângulo 55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0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9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02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800" name="Retângulo 55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801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9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9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96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9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9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94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95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730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76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8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8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8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8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8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8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6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7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8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8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7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78" name="Retângulo 52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7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6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7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74" name="Retângulo 47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7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7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72" name="Retângulo 52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73" name="Retângulo 52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6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6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68" name="Retângulo 476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6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6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66" name="Retângulo 51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67" name="Retângulo 51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731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73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5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5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5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3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4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5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5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4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50" name="Retângulo 50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5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3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4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46" name="Retângulo 47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4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4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44" name="Retângulo 49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45" name="Retângulo 495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73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3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40" name="Retângulo 47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4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3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38" name="Retângulo 48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39" name="Retângulo 48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  <xdr:grpSp>
          <xdr:nvGrpSpPr>
            <xdr:cNvPr id="3779" name="Grupo 945"/>
            <xdr:cNvGrpSpPr/>
          </xdr:nvGrpSpPr>
          <xdr:grpSpPr>
            <a:xfrm>
              <a:off x="3162302" y="2838452"/>
              <a:ext cx="4848224" cy="2357422"/>
              <a:chOff x="3162301" y="476251"/>
              <a:chExt cx="5504483" cy="2676524"/>
            </a:xfrm>
          </xdr:grpSpPr>
          <xdr:grpSp>
            <xdr:nvGrpSpPr>
              <xdr:cNvPr id="3780" name="Grupo 946"/>
              <xdr:cNvGrpSpPr/>
            </xdr:nvGrpSpPr>
            <xdr:grpSpPr>
              <a:xfrm>
                <a:off x="3162301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4252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4488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606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69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1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2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2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1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1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1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9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1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1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1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1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12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1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9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70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08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0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70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06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07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9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02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700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701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607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66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8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9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9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8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9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9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6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8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8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8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8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84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8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6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7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80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8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7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78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79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6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7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74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7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7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72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73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608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63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6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6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6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6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6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6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3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5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56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5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4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4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52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5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4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50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51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4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4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46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4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4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44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45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609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61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3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3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3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3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3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3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1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3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28" name="Retângulo 3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2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1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2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24" name="Retângulo 46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2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2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22" name="Retângulo 3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23" name="Retângulo 462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61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1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18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1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1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16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17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4489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490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57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60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0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0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60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60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60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7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9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9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9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9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96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9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8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8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92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9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8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90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91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8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8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86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8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8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84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85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491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55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7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7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7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7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7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7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5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6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7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7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6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68" name="Retângulo 31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6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5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6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64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6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6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62" name="Retângulo 3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63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5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58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56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57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492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52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4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4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4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4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4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4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2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3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4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4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3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40" name="Retângulo 29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4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2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3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36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3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3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34" name="Retângulo 2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35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52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30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28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29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493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49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1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2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2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1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1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1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9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1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1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1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1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12" name="Retângulo 26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1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9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50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08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0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50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06" name="Retângulo 2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07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9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02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500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501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4253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4254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372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46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8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8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8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8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8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8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6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7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8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8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7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78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7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6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7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74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7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7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72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73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6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6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68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6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6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66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67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373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43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5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5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5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3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4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5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5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4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50" name="Retângulo 2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5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3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4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46" name="Retângulo 44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4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4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44" name="Retângulo 1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45" name="Retângulo 44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3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3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40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4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3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38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39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374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40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3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2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2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0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2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2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2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2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22" name="Retângulo 1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2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0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1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18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1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1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16" name="Retângulo 16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17" name="Retângulo 441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40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40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12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1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40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10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11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375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37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0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40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40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7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9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9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9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9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94" name="Retângulo 1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9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7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8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90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9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8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88" name="Retângulo 1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89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7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8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84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8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8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82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83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4255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256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34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6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7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7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6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6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6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4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6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6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6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6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62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6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4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5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58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5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5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56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57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4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4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52" name="Retângulo 435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5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4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50" name="Retângulo 1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51" name="Retângulo 435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257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31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3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4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4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3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4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4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1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3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3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3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3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34" name="Retângulo 8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3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1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2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30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3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2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28" name="Retângulo 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29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31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2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24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2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2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22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23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258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28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1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1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1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1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1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1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8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30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0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0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30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06" name="Retângulo 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0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9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9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02" name="Retângulo 43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0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9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300" name="Retângulo 5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301" name="Retângulo 430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9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9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96" name="Retângulo 42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9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9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94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95" name="Retângulo 429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259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26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8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8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8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8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8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8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6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7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8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8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7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78" name="Retângulo 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7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6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7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74" name="Retângulo 42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7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7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72" name="Retângulo 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73" name="Retângulo 427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6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6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68" name="Retângulo 426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6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6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66" name="Retângulo 1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67" name="Retângulo 426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  <xdr:grpSp>
            <xdr:nvGrpSpPr>
              <xdr:cNvPr id="3781" name="Grupo 473"/>
              <xdr:cNvGrpSpPr/>
            </xdr:nvGrpSpPr>
            <xdr:grpSpPr>
              <a:xfrm>
                <a:off x="5915026" y="476251"/>
                <a:ext cx="2751758" cy="2676524"/>
                <a:chOff x="4981575" y="1933574"/>
                <a:chExt cx="5922600" cy="5760675"/>
              </a:xfrm>
            </xdr:grpSpPr>
            <xdr:grpSp>
              <xdr:nvGrpSpPr>
                <xdr:cNvPr id="3782" name="Grupo 235"/>
                <xdr:cNvGrpSpPr/>
              </xdr:nvGrpSpPr>
              <xdr:grpSpPr>
                <a:xfrm>
                  <a:off x="4981575" y="193357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4018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136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22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4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5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5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4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4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4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2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4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42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4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2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38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36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37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22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32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30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31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137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19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1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2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2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1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2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2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9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1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14" name="Retângulo 4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1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9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10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08" name="Retângulo 4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09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9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20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04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0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20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202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203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138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16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9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9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9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6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8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86" name="Retângulo 7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8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7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82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80" name="Retângulo 72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81" name="Retângulo 73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7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7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76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7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7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74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75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139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14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6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6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6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4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6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58" name="Retângulo 4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5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4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54" name="Retângulo 415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52" name="Retângulo 415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53" name="Retângulo 415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4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4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48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4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4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46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47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4019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4020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10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3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3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3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3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3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3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0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2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2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2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2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26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2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1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1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22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2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1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20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21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11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16" name="Retângulo 21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14" name="Retângulo 2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15" name="Retângulo 21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021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08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10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0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0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10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0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0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8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9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10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10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9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98" name="Retângulo 40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9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8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94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92" name="Retângulo 409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93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8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88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86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87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022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05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7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7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7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7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7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7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5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7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70" name="Retângulo 406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7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5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66" name="Retângulo 16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64" name="Retângulo 406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65" name="Retângulo 16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5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60" name="Retângulo 15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58" name="Retângulo 1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59" name="Retângulo 15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4023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402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4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5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5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4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4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4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2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4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42" name="Retângulo 404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4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2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38" name="Retângulo 1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36" name="Retângulo 403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37" name="Retângulo 13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402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32" name="Retângulo 1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30" name="Retângulo 1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31" name="Retângulo 1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  <xdr:grpSp>
              <xdr:nvGrpSpPr>
                <xdr:cNvPr id="3783" name="Grupo 236"/>
                <xdr:cNvGrpSpPr/>
              </xdr:nvGrpSpPr>
              <xdr:grpSpPr>
                <a:xfrm>
                  <a:off x="4981575" y="4810124"/>
                  <a:ext cx="5922600" cy="2884125"/>
                  <a:chOff x="4981575" y="1933574"/>
                  <a:chExt cx="5922600" cy="2884125"/>
                </a:xfrm>
              </xdr:grpSpPr>
              <xdr:grpSp>
                <xdr:nvGrpSpPr>
                  <xdr:cNvPr id="3784" name="Grupo 117"/>
                  <xdr:cNvGrpSpPr/>
                </xdr:nvGrpSpPr>
                <xdr:grpSpPr>
                  <a:xfrm>
                    <a:off x="4981575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3902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99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1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1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1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9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1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08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0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9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400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04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0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400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4002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4003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9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9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98" name="Retângulo 2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9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9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96" name="Retângulo 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97" name="Retângulo 2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903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962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88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86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87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63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82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80" name="Retângulo 39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81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64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7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76" name="Retângulo 397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7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7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74" name="Retângulo 397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75" name="Retângulo 397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65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6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70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7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6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68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69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904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93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6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5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5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3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5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52" name="Retângulo 395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5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3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4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48" name="Retângulo 74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4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4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46" name="Retângulo 39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47" name="Retângulo 394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3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3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42" name="Retângulo 6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4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3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40" name="Retângulo 66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41" name="Retângulo 67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905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90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3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3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3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0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2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2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2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2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24" name="Retângulo 39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2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0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1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20" name="Retângulo 1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2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1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18" name="Retângulo 391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19" name="Retângulo 1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90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91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14" name="Retângulo 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1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91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12" name="Retângulo 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13" name="Retângulo 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  <xdr:grpSp>
                <xdr:nvGrpSpPr>
                  <xdr:cNvPr id="3785" name="Grupo 118"/>
                  <xdr:cNvGrpSpPr/>
                </xdr:nvGrpSpPr>
                <xdr:grpSpPr>
                  <a:xfrm>
                    <a:off x="7943850" y="1933574"/>
                    <a:ext cx="2960325" cy="2884125"/>
                    <a:chOff x="4981575" y="1933574"/>
                    <a:chExt cx="2960325" cy="2884125"/>
                  </a:xfrm>
                </xdr:grpSpPr>
                <xdr:grpSp>
                  <xdr:nvGrpSpPr>
                    <xdr:cNvPr id="3786" name="Grupo 29"/>
                    <xdr:cNvGrpSpPr/>
                  </xdr:nvGrpSpPr>
                  <xdr:grpSpPr>
                    <a:xfrm>
                      <a:off x="49815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874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9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900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90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9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98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99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75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9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94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9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9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92" name="Retângulo 1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93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76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8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88" name="Retângulo 20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8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8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86" name="Retângulo 18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87" name="Retângulo 19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77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7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82" name="Retângulo 388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8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7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80" name="Retângulo 387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81" name="Retângulo 388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787" name="Grupo 30"/>
                    <xdr:cNvGrpSpPr/>
                  </xdr:nvGrpSpPr>
                  <xdr:grpSpPr>
                    <a:xfrm>
                      <a:off x="6467475" y="19335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846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6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72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7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6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70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71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47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6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66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6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6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64" name="Retângulo 386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65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48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5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60" name="Retângulo 4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6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5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58" name="Retângulo 385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59" name="Retângulo 4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49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5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54" name="Retângulo 3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5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5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52" name="Retângulo 3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53" name="Retângulo 38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788" name="Grupo 59"/>
                    <xdr:cNvGrpSpPr/>
                  </xdr:nvGrpSpPr>
                  <xdr:grpSpPr>
                    <a:xfrm>
                      <a:off x="49815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818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4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44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4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4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42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43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19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3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38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3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3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36" name="Retângulo 383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37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20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28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32" name="Retângulo 383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33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29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30" name="Retângulo 3829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31" name="Retângulo 3830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821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2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26" name="Retângulo 382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2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2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24" name="Retângulo 382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25" name="Retângulo 3824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  <xdr:grpSp>
                  <xdr:nvGrpSpPr>
                    <xdr:cNvPr id="3789" name="Grupo 30"/>
                    <xdr:cNvGrpSpPr/>
                  </xdr:nvGrpSpPr>
                  <xdr:grpSpPr>
                    <a:xfrm>
                      <a:off x="6467475" y="3381374"/>
                      <a:ext cx="1474425" cy="1436325"/>
                      <a:chOff x="4981575" y="1933574"/>
                      <a:chExt cx="1474425" cy="1436325"/>
                    </a:xfrm>
                    <a:noFill/>
                  </xdr:grpSpPr>
                  <xdr:grpSp>
                    <xdr:nvGrpSpPr>
                      <xdr:cNvPr id="3790" name="Grupo 7"/>
                      <xdr:cNvGrpSpPr/>
                    </xdr:nvGrpSpPr>
                    <xdr:grpSpPr>
                      <a:xfrm>
                        <a:off x="498157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12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16" name="Retângulo 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17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13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14" name="Retângulo 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15" name="Retângulo 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791" name="Grupo 8"/>
                      <xdr:cNvGrpSpPr/>
                    </xdr:nvGrpSpPr>
                    <xdr:grpSpPr>
                      <a:xfrm>
                        <a:off x="5724525" y="19335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06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10" name="Retângulo 1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11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07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08" name="Retângulo 380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09" name="Retângulo 1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792" name="Grupo 15"/>
                      <xdr:cNvGrpSpPr/>
                    </xdr:nvGrpSpPr>
                    <xdr:grpSpPr>
                      <a:xfrm>
                        <a:off x="498157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800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04" name="Retângulo 3803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05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801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802" name="Retângulo 3801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803" name="Retângulo 380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  <xdr:grpSp>
                    <xdr:nvGrpSpPr>
                      <xdr:cNvPr id="3793" name="Grupo 22"/>
                      <xdr:cNvGrpSpPr/>
                    </xdr:nvGrpSpPr>
                    <xdr:grpSpPr>
                      <a:xfrm>
                        <a:off x="5724525" y="2657474"/>
                        <a:ext cx="731475" cy="712425"/>
                        <a:chOff x="4981575" y="1933574"/>
                        <a:chExt cx="731475" cy="712425"/>
                      </a:xfrm>
                      <a:grpFill/>
                    </xdr:grpSpPr>
                    <xdr:grpSp>
                      <xdr:nvGrpSpPr>
                        <xdr:cNvPr id="3794" name="Grupo 3"/>
                        <xdr:cNvGrpSpPr/>
                      </xdr:nvGrpSpPr>
                      <xdr:grpSpPr>
                        <a:xfrm>
                          <a:off x="4981575" y="1933574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798" name="Retângulo 3797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799" name="Retângulo 2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  <xdr:grpSp>
                      <xdr:nvGrpSpPr>
                        <xdr:cNvPr id="3795" name="Grupo 4"/>
                        <xdr:cNvGrpSpPr/>
                      </xdr:nvGrpSpPr>
                      <xdr:grpSpPr>
                        <a:xfrm>
                          <a:off x="4981575" y="2285999"/>
                          <a:ext cx="731475" cy="360000"/>
                          <a:chOff x="4981575" y="1933574"/>
                          <a:chExt cx="731475" cy="360000"/>
                        </a:xfrm>
                        <a:grpFill/>
                      </xdr:grpSpPr>
                      <xdr:sp macro="" textlink="">
                        <xdr:nvSpPr>
                          <xdr:cNvPr id="3796" name="Retângulo 3795"/>
                          <xdr:cNvSpPr/>
                        </xdr:nvSpPr>
                        <xdr:spPr>
                          <a:xfrm>
                            <a:off x="4981575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  <xdr:sp macro="" textlink="">
                        <xdr:nvSpPr>
                          <xdr:cNvPr id="3797" name="Retângulo 3796"/>
                          <xdr:cNvSpPr/>
                        </xdr:nvSpPr>
                        <xdr:spPr>
                          <a:xfrm>
                            <a:off x="5353050" y="1933574"/>
                            <a:ext cx="360000" cy="360000"/>
                          </a:xfrm>
                          <a:prstGeom prst="rect">
                            <a:avLst/>
                          </a:prstGeom>
                          <a:grpFill/>
                          <a:ln w="3175">
                            <a:solidFill>
                              <a:schemeClr val="tx1"/>
                            </a:solidFill>
                          </a:ln>
                        </xdr:spPr>
                        <xdr:style>
                          <a:lnRef idx="2">
                            <a:schemeClr val="accent1">
                              <a:shade val="50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rtlCol="0" anchor="ctr"/>
                          <a:lstStyle/>
                          <a:p>
                            <a:pPr algn="ctr"/>
                            <a:endParaRPr lang="pt-BR"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13</xdr:col>
      <xdr:colOff>569805</xdr:colOff>
      <xdr:row>14</xdr:row>
      <xdr:rowOff>55810</xdr:rowOff>
    </xdr:from>
    <xdr:to>
      <xdr:col>13</xdr:col>
      <xdr:colOff>569805</xdr:colOff>
      <xdr:row>65</xdr:row>
      <xdr:rowOff>156077</xdr:rowOff>
    </xdr:to>
    <xdr:cxnSp macro="">
      <xdr:nvCxnSpPr>
        <xdr:cNvPr id="5666" name="Conector reto 5665"/>
        <xdr:cNvCxnSpPr/>
      </xdr:nvCxnSpPr>
      <xdr:spPr>
        <a:xfrm>
          <a:off x="8463649" y="2722810"/>
          <a:ext cx="0" cy="9815767"/>
        </a:xfrm>
        <a:prstGeom prst="line">
          <a:avLst/>
        </a:prstGeom>
        <a:ln>
          <a:solidFill>
            <a:srgbClr val="FF33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237536</xdr:colOff>
      <xdr:row>35</xdr:row>
      <xdr:rowOff>178103</xdr:rowOff>
    </xdr:from>
    <xdr:to>
      <xdr:col>17</xdr:col>
      <xdr:colOff>568898</xdr:colOff>
      <xdr:row>35</xdr:row>
      <xdr:rowOff>178103</xdr:rowOff>
    </xdr:to>
    <xdr:cxnSp macro="">
      <xdr:nvCxnSpPr>
        <xdr:cNvPr id="5668" name="Conector reto 5667"/>
        <xdr:cNvCxnSpPr/>
      </xdr:nvCxnSpPr>
      <xdr:spPr>
        <a:xfrm>
          <a:off x="5702505" y="6845603"/>
          <a:ext cx="5189112" cy="0"/>
        </a:xfrm>
        <a:prstGeom prst="line">
          <a:avLst/>
        </a:prstGeom>
        <a:ln>
          <a:solidFill>
            <a:srgbClr val="FF33C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10</xdr:row>
      <xdr:rowOff>28574</xdr:rowOff>
    </xdr:from>
    <xdr:to>
      <xdr:col>17</xdr:col>
      <xdr:colOff>540975</xdr:colOff>
      <xdr:row>40</xdr:row>
      <xdr:rowOff>74249</xdr:rowOff>
    </xdr:to>
    <xdr:grpSp>
      <xdr:nvGrpSpPr>
        <xdr:cNvPr id="472" name="Grupo 471"/>
        <xdr:cNvGrpSpPr/>
      </xdr:nvGrpSpPr>
      <xdr:grpSpPr>
        <a:xfrm>
          <a:off x="4981575" y="1933574"/>
          <a:ext cx="5922600" cy="5760675"/>
          <a:chOff x="4981575" y="1933574"/>
          <a:chExt cx="5922600" cy="5760675"/>
        </a:xfrm>
      </xdr:grpSpPr>
      <xdr:grpSp>
        <xdr:nvGrpSpPr>
          <xdr:cNvPr id="236" name="Grupo 235"/>
          <xdr:cNvGrpSpPr/>
        </xdr:nvGrpSpPr>
        <xdr:grpSpPr>
          <a:xfrm>
            <a:off x="4981575" y="1933574"/>
            <a:ext cx="5922600" cy="2884125"/>
            <a:chOff x="4981575" y="1933574"/>
            <a:chExt cx="5922600" cy="2884125"/>
          </a:xfrm>
        </xdr:grpSpPr>
        <xdr:grpSp>
          <xdr:nvGrpSpPr>
            <xdr:cNvPr id="118" name="Grupo 117"/>
            <xdr:cNvGrpSpPr/>
          </xdr:nvGrpSpPr>
          <xdr:grpSpPr>
            <a:xfrm>
              <a:off x="4981575" y="1933574"/>
              <a:ext cx="2960325" cy="2884125"/>
              <a:chOff x="4981575" y="1933574"/>
              <a:chExt cx="2960325" cy="2884125"/>
            </a:xfrm>
          </xdr:grpSpPr>
          <xdr:grpSp>
            <xdr:nvGrpSpPr>
              <xdr:cNvPr id="30" name="Grupo 29"/>
              <xdr:cNvGrpSpPr/>
            </xdr:nvGrpSpPr>
            <xdr:grpSpPr>
              <a:xfrm>
                <a:off x="49815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8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6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7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9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4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2" name="Retângulo 1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3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6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7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1" name="Retângulo 20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2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8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9" name="Retângulo 18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0" name="Retângulo 19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3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8" name="Retângulo 2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6" name="Retângulo 2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7" name="Retângulo 2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31" name="Grupo 30"/>
              <xdr:cNvGrpSpPr/>
            </xdr:nvGrpSpPr>
            <xdr:grpSpPr>
              <a:xfrm>
                <a:off x="64674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32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5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58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5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5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56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57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3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52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5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50" name="Retângulo 4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51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4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6" name="Retângulo 4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4" name="Retângulo 4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5" name="Retângulo 44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5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0" name="Retângulo 3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8" name="Retângulo 3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9" name="Retângulo 38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60" name="Grupo 59"/>
              <xdr:cNvGrpSpPr/>
            </xdr:nvGrpSpPr>
            <xdr:grpSpPr>
              <a:xfrm>
                <a:off x="49815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61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83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87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88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84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85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86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62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77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81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82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78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79" name="Retângulo 78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80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63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71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75" name="Retângulo 74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76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72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73" name="Retângulo 72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74" name="Retângulo 73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64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65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69" name="Retângulo 68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70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66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67" name="Retângulo 66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68" name="Retângulo 67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89" name="Grupo 30"/>
              <xdr:cNvGrpSpPr/>
            </xdr:nvGrpSpPr>
            <xdr:grpSpPr>
              <a:xfrm>
                <a:off x="64674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90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1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16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1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1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14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15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91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0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10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1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0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08" name="Retângulo 10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09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92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0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04" name="Retângulo 10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0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0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02" name="Retângulo 10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03" name="Retângulo 10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93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9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98" name="Retângulo 9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9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9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96" name="Retângulo 9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97" name="Retângulo 9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  <xdr:grpSp>
          <xdr:nvGrpSpPr>
            <xdr:cNvPr id="119" name="Grupo 118"/>
            <xdr:cNvGrpSpPr/>
          </xdr:nvGrpSpPr>
          <xdr:grpSpPr>
            <a:xfrm>
              <a:off x="7943850" y="1933574"/>
              <a:ext cx="2960325" cy="2884125"/>
              <a:chOff x="4981575" y="1933574"/>
              <a:chExt cx="2960325" cy="2884125"/>
            </a:xfrm>
          </xdr:grpSpPr>
          <xdr:grpSp>
            <xdr:nvGrpSpPr>
              <xdr:cNvPr id="120" name="Grupo 29"/>
              <xdr:cNvGrpSpPr/>
            </xdr:nvGrpSpPr>
            <xdr:grpSpPr>
              <a:xfrm>
                <a:off x="49815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208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3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34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3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3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32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33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09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2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28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2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2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26" name="Retângulo 1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27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10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1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22" name="Retângulo 20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2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1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20" name="Retângulo 18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21" name="Retângulo 19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11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1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16" name="Retângulo 21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1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14" name="Retângulo 2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5" name="Retângulo 214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121" name="Grupo 30"/>
              <xdr:cNvGrpSpPr/>
            </xdr:nvGrpSpPr>
            <xdr:grpSpPr>
              <a:xfrm>
                <a:off x="64674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180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0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06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0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0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04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05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81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9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00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0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9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98" name="Retângulo 19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99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82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9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94" name="Retângulo 4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9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9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92" name="Retângulo 19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93" name="Retângulo 44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83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8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88" name="Retângulo 3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8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86" name="Retângulo 3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7" name="Retângulo 38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122" name="Grupo 59"/>
              <xdr:cNvGrpSpPr/>
            </xdr:nvGrpSpPr>
            <xdr:grpSpPr>
              <a:xfrm>
                <a:off x="49815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152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7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78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7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76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7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53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6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72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6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70" name="Retângulo 16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1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54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6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66" name="Retângulo 16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6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6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64" name="Retângulo 16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65" name="Retângulo 164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55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5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60" name="Retângulo 15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6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5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58" name="Retângulo 15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59" name="Retângulo 158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123" name="Grupo 30"/>
              <xdr:cNvGrpSpPr/>
            </xdr:nvGrpSpPr>
            <xdr:grpSpPr>
              <a:xfrm>
                <a:off x="64674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124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4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50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5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48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49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25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4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44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4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42" name="Retângulo 14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43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26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3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38" name="Retângulo 13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3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3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36" name="Retângulo 13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37" name="Retângulo 13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127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12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32" name="Retângulo 13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3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2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130" name="Retângulo 12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31" name="Retângulo 130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grpSp>
        <xdr:nvGrpSpPr>
          <xdr:cNvPr id="237" name="Grupo 236"/>
          <xdr:cNvGrpSpPr/>
        </xdr:nvGrpSpPr>
        <xdr:grpSpPr>
          <a:xfrm>
            <a:off x="4981575" y="4810124"/>
            <a:ext cx="5922600" cy="2884125"/>
            <a:chOff x="4981575" y="1933574"/>
            <a:chExt cx="5922600" cy="2884125"/>
          </a:xfrm>
        </xdr:grpSpPr>
        <xdr:grpSp>
          <xdr:nvGrpSpPr>
            <xdr:cNvPr id="238" name="Grupo 117"/>
            <xdr:cNvGrpSpPr/>
          </xdr:nvGrpSpPr>
          <xdr:grpSpPr>
            <a:xfrm>
              <a:off x="4981575" y="1933574"/>
              <a:ext cx="2960325" cy="2884125"/>
              <a:chOff x="4981575" y="1933574"/>
              <a:chExt cx="2960325" cy="2884125"/>
            </a:xfrm>
          </xdr:grpSpPr>
          <xdr:grpSp>
            <xdr:nvGrpSpPr>
              <xdr:cNvPr id="356" name="Grupo 29"/>
              <xdr:cNvGrpSpPr/>
            </xdr:nvGrpSpPr>
            <xdr:grpSpPr>
              <a:xfrm>
                <a:off x="49815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444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6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70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7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6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68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69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445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6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64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6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6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62" name="Retângulo 1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63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446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5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58" name="Retângulo 20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5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5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56" name="Retângulo 18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57" name="Retângulo 19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447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4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52" name="Retângulo 2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5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4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50" name="Retângulo 2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51" name="Retângulo 2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357" name="Grupo 30"/>
              <xdr:cNvGrpSpPr/>
            </xdr:nvGrpSpPr>
            <xdr:grpSpPr>
              <a:xfrm>
                <a:off x="64674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416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3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42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4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3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40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41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417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3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36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3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3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34" name="Retângulo 43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35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418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2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30" name="Retângulo 42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3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2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28" name="Retângulo 42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29" name="Retângulo 428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419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2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24" name="Retângulo 3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2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2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22" name="Retângulo 3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23" name="Retângulo 38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358" name="Grupo 59"/>
              <xdr:cNvGrpSpPr/>
            </xdr:nvGrpSpPr>
            <xdr:grpSpPr>
              <a:xfrm>
                <a:off x="49815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388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1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14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1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1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12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13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89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40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08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0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40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06" name="Retângulo 40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07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90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9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02" name="Retângulo 74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0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9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400" name="Retângulo 39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401" name="Retângulo 400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91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9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96" name="Retângulo 68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9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9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94" name="Retângulo 66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95" name="Retângulo 67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359" name="Grupo 30"/>
              <xdr:cNvGrpSpPr/>
            </xdr:nvGrpSpPr>
            <xdr:grpSpPr>
              <a:xfrm>
                <a:off x="64674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360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8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86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8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8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84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85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61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7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80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8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7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78" name="Retângulo 37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79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62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7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74" name="Retângulo 10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7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7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72" name="Retângulo 37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73" name="Retângulo 10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63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6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68" name="Retângulo 9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6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6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66" name="Retângulo 9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67" name="Retângulo 9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  <xdr:grpSp>
          <xdr:nvGrpSpPr>
            <xdr:cNvPr id="239" name="Grupo 118"/>
            <xdr:cNvGrpSpPr/>
          </xdr:nvGrpSpPr>
          <xdr:grpSpPr>
            <a:xfrm>
              <a:off x="7943850" y="1933574"/>
              <a:ext cx="2960325" cy="2884125"/>
              <a:chOff x="4981575" y="1933574"/>
              <a:chExt cx="2960325" cy="2884125"/>
            </a:xfrm>
          </xdr:grpSpPr>
          <xdr:grpSp>
            <xdr:nvGrpSpPr>
              <xdr:cNvPr id="240" name="Grupo 29"/>
              <xdr:cNvGrpSpPr/>
            </xdr:nvGrpSpPr>
            <xdr:grpSpPr>
              <a:xfrm>
                <a:off x="49815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328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5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54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5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5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52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53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29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4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48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4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4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46" name="Retângulo 1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47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30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3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42" name="Retângulo 20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4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3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40" name="Retângulo 18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41" name="Retângulo 19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31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3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36" name="Retângulo 33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3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3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34" name="Retângulo 33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35" name="Retângulo 334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241" name="Grupo 30"/>
              <xdr:cNvGrpSpPr/>
            </xdr:nvGrpSpPr>
            <xdr:grpSpPr>
              <a:xfrm>
                <a:off x="6467475" y="19335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300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2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26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2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2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24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25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01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1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20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2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1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18" name="Retângulo 31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19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02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1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14" name="Retângulo 4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1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1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12" name="Retângulo 31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13" name="Retângulo 44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303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30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08" name="Retângulo 3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0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30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306" name="Retângulo 3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307" name="Retângulo 38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242" name="Grupo 59"/>
              <xdr:cNvGrpSpPr/>
            </xdr:nvGrpSpPr>
            <xdr:grpSpPr>
              <a:xfrm>
                <a:off x="49815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272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9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98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9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9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96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97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73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8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92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9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8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90" name="Retângulo 28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91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74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82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86" name="Retângulo 28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87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83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84" name="Retângulo 28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85" name="Retângulo 284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75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7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80" name="Retângulo 27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8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7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78" name="Retângulo 27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79" name="Retângulo 278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  <xdr:grpSp>
            <xdr:nvGrpSpPr>
              <xdr:cNvPr id="243" name="Grupo 30"/>
              <xdr:cNvGrpSpPr/>
            </xdr:nvGrpSpPr>
            <xdr:grpSpPr>
              <a:xfrm>
                <a:off x="6467475" y="3381374"/>
                <a:ext cx="1474425" cy="1436325"/>
                <a:chOff x="4981575" y="1933574"/>
                <a:chExt cx="1474425" cy="1436325"/>
              </a:xfrm>
              <a:noFill/>
            </xdr:grpSpPr>
            <xdr:grpSp>
              <xdr:nvGrpSpPr>
                <xdr:cNvPr id="244" name="Grupo 7"/>
                <xdr:cNvGrpSpPr/>
              </xdr:nvGrpSpPr>
              <xdr:grpSpPr>
                <a:xfrm>
                  <a:off x="498157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66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70" name="Retângulo 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71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67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68" name="Retângulo 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69" name="Retângulo 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45" name="Grupo 8"/>
                <xdr:cNvGrpSpPr/>
              </xdr:nvGrpSpPr>
              <xdr:grpSpPr>
                <a:xfrm>
                  <a:off x="5724525" y="19335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60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64" name="Retângulo 13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65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61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62" name="Retângulo 26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63" name="Retângulo 1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46" name="Grupo 15"/>
                <xdr:cNvGrpSpPr/>
              </xdr:nvGrpSpPr>
              <xdr:grpSpPr>
                <a:xfrm>
                  <a:off x="498157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54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58" name="Retângulo 257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59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55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56" name="Retângulo 255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57" name="Retângulo 256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  <xdr:grpSp>
              <xdr:nvGrpSpPr>
                <xdr:cNvPr id="247" name="Grupo 22"/>
                <xdr:cNvGrpSpPr/>
              </xdr:nvGrpSpPr>
              <xdr:grpSpPr>
                <a:xfrm>
                  <a:off x="5724525" y="2657474"/>
                  <a:ext cx="731475" cy="712425"/>
                  <a:chOff x="4981575" y="1933574"/>
                  <a:chExt cx="731475" cy="712425"/>
                </a:xfrm>
                <a:grpFill/>
              </xdr:grpSpPr>
              <xdr:grpSp>
                <xdr:nvGrpSpPr>
                  <xdr:cNvPr id="248" name="Grupo 3"/>
                  <xdr:cNvGrpSpPr/>
                </xdr:nvGrpSpPr>
                <xdr:grpSpPr>
                  <a:xfrm>
                    <a:off x="4981575" y="1933574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52" name="Retângulo 251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53" name="Retângulo 2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249" name="Grupo 4"/>
                  <xdr:cNvGrpSpPr/>
                </xdr:nvGrpSpPr>
                <xdr:grpSpPr>
                  <a:xfrm>
                    <a:off x="4981575" y="2285999"/>
                    <a:ext cx="731475" cy="360000"/>
                    <a:chOff x="4981575" y="1933574"/>
                    <a:chExt cx="731475" cy="360000"/>
                  </a:xfrm>
                  <a:grpFill/>
                </xdr:grpSpPr>
                <xdr:sp macro="" textlink="">
                  <xdr:nvSpPr>
                    <xdr:cNvPr id="250" name="Retângulo 249"/>
                    <xdr:cNvSpPr/>
                  </xdr:nvSpPr>
                  <xdr:spPr>
                    <a:xfrm>
                      <a:off x="4981575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51" name="Retângulo 250"/>
                    <xdr:cNvSpPr/>
                  </xdr:nvSpPr>
                  <xdr:spPr>
                    <a:xfrm>
                      <a:off x="5353050" y="1933574"/>
                      <a:ext cx="360000" cy="360000"/>
                    </a:xfrm>
                    <a:prstGeom prst="rect">
                      <a:avLst/>
                    </a:prstGeom>
                    <a:grpFill/>
                    <a:ln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rtlCol="0" anchor="ctr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topLeftCell="A61" zoomScaleNormal="100" workbookViewId="0">
      <selection activeCell="R87" sqref="R87"/>
    </sheetView>
  </sheetViews>
  <sheetFormatPr defaultRowHeight="15"/>
  <cols>
    <col min="1" max="1" width="10.28515625" style="9" bestFit="1" customWidth="1"/>
    <col min="2" max="2" width="25.7109375" style="10" customWidth="1"/>
    <col min="3" max="3" width="17.7109375" style="10" customWidth="1"/>
    <col min="4" max="4" width="25.140625" style="10" customWidth="1"/>
    <col min="5" max="5" width="24.140625" style="5" customWidth="1"/>
    <col min="6" max="6" width="24" style="10" bestFit="1" customWidth="1"/>
    <col min="7" max="7" width="5.28515625" bestFit="1" customWidth="1"/>
    <col min="8" max="12" width="2" bestFit="1" customWidth="1"/>
    <col min="13" max="13" width="20.7109375" bestFit="1" customWidth="1"/>
    <col min="14" max="14" width="17" bestFit="1" customWidth="1"/>
    <col min="15" max="15" width="14.85546875" customWidth="1"/>
    <col min="16" max="16" width="15.42578125" bestFit="1" customWidth="1"/>
    <col min="17" max="17" width="13.28515625" bestFit="1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95</v>
      </c>
      <c r="H1" s="15" t="s">
        <v>96</v>
      </c>
      <c r="I1" s="15"/>
      <c r="J1" s="15"/>
      <c r="K1" s="15"/>
      <c r="L1" s="15"/>
      <c r="M1" s="1" t="s">
        <v>103</v>
      </c>
      <c r="N1" s="1" t="s">
        <v>101</v>
      </c>
      <c r="O1" s="1" t="s">
        <v>102</v>
      </c>
      <c r="P1" s="1" t="s">
        <v>97</v>
      </c>
      <c r="Q1" s="1" t="s">
        <v>98</v>
      </c>
      <c r="R1" s="1" t="s">
        <v>99</v>
      </c>
      <c r="S1" s="1" t="s">
        <v>100</v>
      </c>
    </row>
    <row r="2" spans="1:19">
      <c r="A2" s="4">
        <v>70</v>
      </c>
      <c r="B2" s="2" t="s">
        <v>28</v>
      </c>
      <c r="C2" s="2" t="s">
        <v>7</v>
      </c>
      <c r="D2" s="2">
        <v>12</v>
      </c>
      <c r="E2" s="2">
        <v>62.4</v>
      </c>
      <c r="F2" s="4" t="s">
        <v>27</v>
      </c>
      <c r="G2" s="1">
        <v>3</v>
      </c>
      <c r="H2" s="1">
        <v>1</v>
      </c>
      <c r="I2" s="2"/>
      <c r="J2" s="2"/>
      <c r="K2" s="2"/>
      <c r="L2" s="2"/>
      <c r="M2" s="2">
        <f t="shared" ref="M2:M33" si="0">G2*(H2+I2+J2+K2+L2)</f>
        <v>3</v>
      </c>
      <c r="N2" s="2">
        <v>3</v>
      </c>
      <c r="O2" s="2">
        <v>3.5</v>
      </c>
      <c r="P2" s="2">
        <v>-2.8</v>
      </c>
      <c r="Q2" s="13">
        <f t="shared" ref="Q2:Q33" si="1">N2/N$87</f>
        <v>1.1406844106463879E-2</v>
      </c>
      <c r="R2" s="2">
        <f t="shared" ref="R2:R33" si="2">O2*Q2</f>
        <v>3.9923954372623575E-2</v>
      </c>
      <c r="S2" s="2">
        <f t="shared" ref="S2:S33" si="3">P2*Q2</f>
        <v>-3.193916349809886E-2</v>
      </c>
    </row>
    <row r="3" spans="1:19">
      <c r="A3" s="7">
        <v>14</v>
      </c>
      <c r="B3" s="2" t="s">
        <v>72</v>
      </c>
      <c r="C3" s="2" t="s">
        <v>7</v>
      </c>
      <c r="D3" s="2">
        <v>12</v>
      </c>
      <c r="E3" s="2">
        <v>104</v>
      </c>
      <c r="F3" s="7" t="s">
        <v>73</v>
      </c>
      <c r="G3" s="1">
        <v>3</v>
      </c>
      <c r="H3" s="1">
        <v>1</v>
      </c>
      <c r="I3" s="2"/>
      <c r="J3" s="2"/>
      <c r="K3" s="2"/>
      <c r="L3" s="2"/>
      <c r="M3" s="2">
        <f t="shared" si="0"/>
        <v>3</v>
      </c>
      <c r="N3" s="2">
        <v>3</v>
      </c>
      <c r="O3" s="2">
        <v>-1</v>
      </c>
      <c r="P3" s="2">
        <v>5</v>
      </c>
      <c r="Q3" s="13">
        <f t="shared" si="1"/>
        <v>1.1406844106463879E-2</v>
      </c>
      <c r="R3" s="2">
        <f t="shared" si="2"/>
        <v>-1.1406844106463879E-2</v>
      </c>
      <c r="S3" s="2">
        <f t="shared" si="3"/>
        <v>5.7034220532319393E-2</v>
      </c>
    </row>
    <row r="4" spans="1:19">
      <c r="A4" s="4">
        <v>20</v>
      </c>
      <c r="B4" s="2" t="s">
        <v>30</v>
      </c>
      <c r="C4" s="2" t="s">
        <v>7</v>
      </c>
      <c r="D4" s="2">
        <v>12</v>
      </c>
      <c r="E4" s="2">
        <v>60.1</v>
      </c>
      <c r="F4" s="4" t="s">
        <v>27</v>
      </c>
      <c r="G4" s="1">
        <v>3</v>
      </c>
      <c r="H4" s="1">
        <v>1</v>
      </c>
      <c r="I4" s="2"/>
      <c r="J4" s="2"/>
      <c r="K4" s="2"/>
      <c r="L4" s="2"/>
      <c r="M4" s="2">
        <f t="shared" si="0"/>
        <v>3</v>
      </c>
      <c r="N4" s="2">
        <v>3</v>
      </c>
      <c r="O4" s="2">
        <v>2</v>
      </c>
      <c r="P4" s="2">
        <v>-1.5</v>
      </c>
      <c r="Q4" s="13">
        <f t="shared" si="1"/>
        <v>1.1406844106463879E-2</v>
      </c>
      <c r="R4" s="2">
        <f t="shared" si="2"/>
        <v>2.2813688212927757E-2</v>
      </c>
      <c r="S4" s="2">
        <f t="shared" si="3"/>
        <v>-1.7110266159695818E-2</v>
      </c>
    </row>
    <row r="5" spans="1:19">
      <c r="A5" s="4">
        <v>6</v>
      </c>
      <c r="B5" s="2" t="s">
        <v>31</v>
      </c>
      <c r="C5" s="2" t="s">
        <v>7</v>
      </c>
      <c r="D5" s="2">
        <v>12</v>
      </c>
      <c r="E5" s="2">
        <v>10.199999999999999</v>
      </c>
      <c r="F5" s="4" t="s">
        <v>27</v>
      </c>
      <c r="G5" s="1">
        <v>3</v>
      </c>
      <c r="H5" s="1">
        <v>1</v>
      </c>
      <c r="I5" s="2"/>
      <c r="J5" s="2"/>
      <c r="K5" s="2"/>
      <c r="L5" s="2"/>
      <c r="M5" s="2">
        <f t="shared" si="0"/>
        <v>3</v>
      </c>
      <c r="N5" s="1">
        <v>3</v>
      </c>
      <c r="O5" s="2">
        <v>2.5</v>
      </c>
      <c r="P5" s="2">
        <v>0.5</v>
      </c>
      <c r="Q5" s="13">
        <f t="shared" si="1"/>
        <v>1.1406844106463879E-2</v>
      </c>
      <c r="R5" s="2">
        <f t="shared" si="2"/>
        <v>2.8517110266159697E-2</v>
      </c>
      <c r="S5" s="2">
        <f t="shared" si="3"/>
        <v>5.7034220532319393E-3</v>
      </c>
    </row>
    <row r="6" spans="1:19">
      <c r="A6" s="7">
        <v>59</v>
      </c>
      <c r="B6" s="2" t="s">
        <v>74</v>
      </c>
      <c r="C6" s="2" t="s">
        <v>7</v>
      </c>
      <c r="D6" s="2">
        <v>12</v>
      </c>
      <c r="E6" s="2">
        <v>90</v>
      </c>
      <c r="F6" s="7" t="s">
        <v>73</v>
      </c>
      <c r="G6" s="1">
        <v>3</v>
      </c>
      <c r="H6" s="1">
        <v>1</v>
      </c>
      <c r="I6" s="1">
        <v>1</v>
      </c>
      <c r="J6" s="1">
        <v>1</v>
      </c>
      <c r="K6" s="2"/>
      <c r="L6" s="2"/>
      <c r="M6" s="2">
        <f t="shared" si="0"/>
        <v>9</v>
      </c>
      <c r="N6" s="2">
        <f>M6</f>
        <v>9</v>
      </c>
      <c r="O6" s="2">
        <v>2</v>
      </c>
      <c r="P6" s="2">
        <v>5.5</v>
      </c>
      <c r="Q6" s="13">
        <f t="shared" si="1"/>
        <v>3.4220532319391636E-2</v>
      </c>
      <c r="R6" s="2">
        <f t="shared" si="2"/>
        <v>6.8441064638783272E-2</v>
      </c>
      <c r="S6" s="2">
        <f t="shared" si="3"/>
        <v>0.18821292775665399</v>
      </c>
    </row>
    <row r="7" spans="1:19">
      <c r="A7" s="7">
        <v>65</v>
      </c>
      <c r="B7" s="2" t="s">
        <v>74</v>
      </c>
      <c r="C7" s="2" t="s">
        <v>7</v>
      </c>
      <c r="D7" s="2">
        <v>12</v>
      </c>
      <c r="E7" s="2">
        <v>90</v>
      </c>
      <c r="F7" s="7" t="s">
        <v>73</v>
      </c>
      <c r="G7" s="1">
        <v>3</v>
      </c>
      <c r="H7" s="1">
        <v>1</v>
      </c>
      <c r="I7" s="1">
        <v>1</v>
      </c>
      <c r="J7" s="1">
        <v>1</v>
      </c>
      <c r="K7" s="2"/>
      <c r="L7" s="2"/>
      <c r="M7" s="2">
        <f t="shared" si="0"/>
        <v>9</v>
      </c>
      <c r="N7" s="2">
        <v>9</v>
      </c>
      <c r="O7" s="2">
        <v>2</v>
      </c>
      <c r="P7" s="2">
        <v>5.5</v>
      </c>
      <c r="Q7" s="13">
        <f t="shared" si="1"/>
        <v>3.4220532319391636E-2</v>
      </c>
      <c r="R7" s="2">
        <f t="shared" si="2"/>
        <v>6.8441064638783272E-2</v>
      </c>
      <c r="S7" s="2">
        <f t="shared" si="3"/>
        <v>0.18821292775665399</v>
      </c>
    </row>
    <row r="8" spans="1:19">
      <c r="A8" s="7">
        <v>71</v>
      </c>
      <c r="B8" s="2" t="s">
        <v>74</v>
      </c>
      <c r="C8" s="2" t="s">
        <v>7</v>
      </c>
      <c r="D8" s="2">
        <v>12</v>
      </c>
      <c r="E8" s="2">
        <v>90</v>
      </c>
      <c r="F8" s="7" t="s">
        <v>73</v>
      </c>
      <c r="G8" s="1">
        <v>3</v>
      </c>
      <c r="H8" s="1">
        <v>1</v>
      </c>
      <c r="I8" s="1">
        <v>1</v>
      </c>
      <c r="J8" s="1">
        <v>1</v>
      </c>
      <c r="K8" s="2"/>
      <c r="L8" s="2"/>
      <c r="M8" s="2">
        <f t="shared" si="0"/>
        <v>9</v>
      </c>
      <c r="N8" s="2">
        <v>9</v>
      </c>
      <c r="O8" s="2">
        <v>2</v>
      </c>
      <c r="P8" s="2">
        <v>5.5</v>
      </c>
      <c r="Q8" s="13">
        <f t="shared" si="1"/>
        <v>3.4220532319391636E-2</v>
      </c>
      <c r="R8" s="2">
        <f t="shared" si="2"/>
        <v>6.8441064638783272E-2</v>
      </c>
      <c r="S8" s="2">
        <f t="shared" si="3"/>
        <v>0.18821292775665399</v>
      </c>
    </row>
    <row r="9" spans="1:19">
      <c r="A9" s="4">
        <v>44</v>
      </c>
      <c r="B9" s="2" t="s">
        <v>34</v>
      </c>
      <c r="C9" s="2" t="s">
        <v>7</v>
      </c>
      <c r="D9" s="2">
        <v>12</v>
      </c>
      <c r="E9" s="2">
        <v>113</v>
      </c>
      <c r="F9" s="4" t="s">
        <v>27</v>
      </c>
      <c r="G9" s="1">
        <v>3</v>
      </c>
      <c r="H9" s="1">
        <v>1</v>
      </c>
      <c r="I9" s="1"/>
      <c r="J9" s="2"/>
      <c r="K9" s="2"/>
      <c r="L9" s="2"/>
      <c r="M9" s="2">
        <f t="shared" si="0"/>
        <v>3</v>
      </c>
      <c r="N9" s="1">
        <v>3</v>
      </c>
      <c r="O9" s="2">
        <v>-2</v>
      </c>
      <c r="P9" s="2">
        <v>-2</v>
      </c>
      <c r="Q9" s="13">
        <f t="shared" si="1"/>
        <v>1.1406844106463879E-2</v>
      </c>
      <c r="R9" s="2">
        <f t="shared" si="2"/>
        <v>-2.2813688212927757E-2</v>
      </c>
      <c r="S9" s="2">
        <f t="shared" si="3"/>
        <v>-2.2813688212927757E-2</v>
      </c>
    </row>
    <row r="10" spans="1:19">
      <c r="A10" s="4">
        <v>85</v>
      </c>
      <c r="B10" s="2" t="s">
        <v>37</v>
      </c>
      <c r="C10" s="2" t="s">
        <v>7</v>
      </c>
      <c r="D10" s="2">
        <v>12</v>
      </c>
      <c r="E10" s="2">
        <v>38.1</v>
      </c>
      <c r="F10" s="4" t="s">
        <v>27</v>
      </c>
      <c r="G10" s="1">
        <v>3</v>
      </c>
      <c r="H10" s="1">
        <v>1</v>
      </c>
      <c r="I10" s="2"/>
      <c r="J10" s="2"/>
      <c r="K10" s="2"/>
      <c r="L10" s="2"/>
      <c r="M10" s="2">
        <f t="shared" si="0"/>
        <v>3</v>
      </c>
      <c r="N10" s="1">
        <v>3</v>
      </c>
      <c r="O10" s="2">
        <v>1.5</v>
      </c>
      <c r="P10" s="2">
        <v>-0.5</v>
      </c>
      <c r="Q10" s="13">
        <f t="shared" si="1"/>
        <v>1.1406844106463879E-2</v>
      </c>
      <c r="R10" s="2">
        <f t="shared" si="2"/>
        <v>1.7110266159695818E-2</v>
      </c>
      <c r="S10" s="2">
        <f t="shared" si="3"/>
        <v>-5.7034220532319393E-3</v>
      </c>
    </row>
    <row r="11" spans="1:19">
      <c r="A11" s="7">
        <v>11</v>
      </c>
      <c r="B11" s="2" t="s">
        <v>75</v>
      </c>
      <c r="C11" s="2" t="s">
        <v>7</v>
      </c>
      <c r="D11" s="2">
        <v>12</v>
      </c>
      <c r="E11" s="2">
        <v>93.5</v>
      </c>
      <c r="F11" s="7" t="s">
        <v>73</v>
      </c>
      <c r="G11" s="1">
        <v>3</v>
      </c>
      <c r="H11" s="1">
        <v>1</v>
      </c>
      <c r="I11" s="2"/>
      <c r="J11" s="2"/>
      <c r="K11" s="2"/>
      <c r="L11" s="2"/>
      <c r="M11" s="2">
        <f t="shared" si="0"/>
        <v>3</v>
      </c>
      <c r="N11" s="1">
        <v>3</v>
      </c>
      <c r="O11" s="2">
        <v>1</v>
      </c>
      <c r="P11" s="2">
        <v>3.8</v>
      </c>
      <c r="Q11" s="13">
        <f t="shared" si="1"/>
        <v>1.1406844106463879E-2</v>
      </c>
      <c r="R11" s="2">
        <f t="shared" si="2"/>
        <v>1.1406844106463879E-2</v>
      </c>
      <c r="S11" s="2">
        <f t="shared" si="3"/>
        <v>4.3346007604562739E-2</v>
      </c>
    </row>
    <row r="12" spans="1:19">
      <c r="A12" s="4">
        <v>77</v>
      </c>
      <c r="B12" s="2" t="s">
        <v>38</v>
      </c>
      <c r="C12" s="2" t="s">
        <v>7</v>
      </c>
      <c r="D12" s="2">
        <v>12</v>
      </c>
      <c r="E12" s="2">
        <v>65.8</v>
      </c>
      <c r="F12" s="4" t="s">
        <v>27</v>
      </c>
      <c r="G12" s="1">
        <v>3</v>
      </c>
      <c r="H12" s="1">
        <v>1</v>
      </c>
      <c r="I12" s="2"/>
      <c r="J12" s="2"/>
      <c r="K12" s="2"/>
      <c r="L12" s="2"/>
      <c r="M12" s="2">
        <f t="shared" si="0"/>
        <v>3</v>
      </c>
      <c r="N12" s="1">
        <v>3</v>
      </c>
      <c r="O12" s="2">
        <v>3.8</v>
      </c>
      <c r="P12" s="2">
        <v>3.8</v>
      </c>
      <c r="Q12" s="13">
        <f t="shared" si="1"/>
        <v>1.1406844106463879E-2</v>
      </c>
      <c r="R12" s="2">
        <f t="shared" si="2"/>
        <v>4.3346007604562739E-2</v>
      </c>
      <c r="S12" s="2">
        <f t="shared" si="3"/>
        <v>4.3346007604562739E-2</v>
      </c>
    </row>
    <row r="13" spans="1:19">
      <c r="A13" s="4">
        <v>1</v>
      </c>
      <c r="B13" s="2" t="s">
        <v>39</v>
      </c>
      <c r="C13" s="2" t="s">
        <v>7</v>
      </c>
      <c r="D13" s="2">
        <v>12</v>
      </c>
      <c r="E13" s="2">
        <v>71.900000000000006</v>
      </c>
      <c r="F13" s="4" t="s">
        <v>27</v>
      </c>
      <c r="G13" s="1">
        <v>3</v>
      </c>
      <c r="H13" s="1">
        <v>1</v>
      </c>
      <c r="I13" s="2"/>
      <c r="J13" s="2"/>
      <c r="K13" s="2"/>
      <c r="L13" s="2"/>
      <c r="M13" s="2">
        <f t="shared" si="0"/>
        <v>3</v>
      </c>
      <c r="N13" s="1">
        <v>3</v>
      </c>
      <c r="O13" s="2">
        <v>3.2</v>
      </c>
      <c r="P13" s="2">
        <v>2.2000000000000002</v>
      </c>
      <c r="Q13" s="13">
        <f t="shared" si="1"/>
        <v>1.1406844106463879E-2</v>
      </c>
      <c r="R13" s="2">
        <f t="shared" si="2"/>
        <v>3.6501901140684412E-2</v>
      </c>
      <c r="S13" s="2">
        <f t="shared" si="3"/>
        <v>2.5095057034220537E-2</v>
      </c>
    </row>
    <row r="14" spans="1:19">
      <c r="A14" s="4">
        <v>56</v>
      </c>
      <c r="B14" s="2" t="s">
        <v>43</v>
      </c>
      <c r="C14" s="2" t="s">
        <v>7</v>
      </c>
      <c r="D14" s="2">
        <v>12</v>
      </c>
      <c r="E14" s="2">
        <v>25.5</v>
      </c>
      <c r="F14" s="4" t="s">
        <v>27</v>
      </c>
      <c r="G14" s="1">
        <v>3</v>
      </c>
      <c r="H14" s="1">
        <v>1</v>
      </c>
      <c r="I14" s="2"/>
      <c r="J14" s="2"/>
      <c r="K14" s="2"/>
      <c r="L14" s="2"/>
      <c r="M14" s="2">
        <f t="shared" si="0"/>
        <v>3</v>
      </c>
      <c r="N14" s="1">
        <v>3</v>
      </c>
      <c r="O14" s="2">
        <v>1</v>
      </c>
      <c r="P14" s="2">
        <v>1.5</v>
      </c>
      <c r="Q14" s="13">
        <f t="shared" si="1"/>
        <v>1.1406844106463879E-2</v>
      </c>
      <c r="R14" s="2">
        <f t="shared" si="2"/>
        <v>1.1406844106463879E-2</v>
      </c>
      <c r="S14" s="2">
        <f t="shared" si="3"/>
        <v>1.7110266159695818E-2</v>
      </c>
    </row>
    <row r="15" spans="1:19">
      <c r="A15" s="3">
        <v>29</v>
      </c>
      <c r="B15" s="2" t="s">
        <v>15</v>
      </c>
      <c r="C15" s="2" t="s">
        <v>7</v>
      </c>
      <c r="D15" s="2">
        <v>12</v>
      </c>
      <c r="E15" s="2">
        <v>121</v>
      </c>
      <c r="F15" s="3" t="s">
        <v>8</v>
      </c>
      <c r="G15" s="1">
        <v>3</v>
      </c>
      <c r="H15" s="1">
        <v>1</v>
      </c>
      <c r="I15" s="2"/>
      <c r="J15" s="2"/>
      <c r="K15" s="2"/>
      <c r="L15" s="2"/>
      <c r="M15" s="2">
        <f t="shared" si="0"/>
        <v>3</v>
      </c>
      <c r="N15" s="1">
        <v>3</v>
      </c>
      <c r="O15" s="2">
        <v>-4.2</v>
      </c>
      <c r="P15" s="2">
        <v>2.2999999999999998</v>
      </c>
      <c r="Q15" s="13">
        <f t="shared" si="1"/>
        <v>1.1406844106463879E-2</v>
      </c>
      <c r="R15" s="2">
        <f t="shared" si="2"/>
        <v>-4.7908745247148291E-2</v>
      </c>
      <c r="S15" s="2">
        <f t="shared" si="3"/>
        <v>2.6235741444866918E-2</v>
      </c>
    </row>
    <row r="16" spans="1:19">
      <c r="A16" s="4">
        <v>12</v>
      </c>
      <c r="B16" s="2" t="s">
        <v>45</v>
      </c>
      <c r="C16" s="2" t="s">
        <v>7</v>
      </c>
      <c r="D16" s="2">
        <v>12</v>
      </c>
      <c r="E16" s="2">
        <v>56.3</v>
      </c>
      <c r="F16" s="4" t="s">
        <v>27</v>
      </c>
      <c r="G16" s="1">
        <v>3</v>
      </c>
      <c r="H16" s="1">
        <v>1</v>
      </c>
      <c r="I16" s="2"/>
      <c r="J16" s="2"/>
      <c r="K16" s="2"/>
      <c r="L16" s="2"/>
      <c r="M16" s="2">
        <f t="shared" si="0"/>
        <v>3</v>
      </c>
      <c r="N16" s="1">
        <v>3</v>
      </c>
      <c r="O16" s="2">
        <v>-0.5</v>
      </c>
      <c r="P16" s="2">
        <v>0.5</v>
      </c>
      <c r="Q16" s="13">
        <f t="shared" si="1"/>
        <v>1.1406844106463879E-2</v>
      </c>
      <c r="R16" s="2">
        <f t="shared" si="2"/>
        <v>-5.7034220532319393E-3</v>
      </c>
      <c r="S16" s="2">
        <f t="shared" si="3"/>
        <v>5.7034220532319393E-3</v>
      </c>
    </row>
    <row r="17" spans="1:19">
      <c r="A17" s="4">
        <v>2</v>
      </c>
      <c r="B17" s="2" t="s">
        <v>48</v>
      </c>
      <c r="C17" s="2" t="s">
        <v>7</v>
      </c>
      <c r="D17" s="2">
        <v>12</v>
      </c>
      <c r="E17" s="2">
        <v>18.100000000000001</v>
      </c>
      <c r="F17" s="4" t="s">
        <v>27</v>
      </c>
      <c r="G17" s="1">
        <v>3</v>
      </c>
      <c r="H17" s="1">
        <v>1</v>
      </c>
      <c r="I17" s="1"/>
      <c r="J17" s="2"/>
      <c r="K17" s="2"/>
      <c r="L17" s="2"/>
      <c r="M17" s="2">
        <f t="shared" si="0"/>
        <v>3</v>
      </c>
      <c r="N17" s="2">
        <v>3</v>
      </c>
      <c r="O17" s="2">
        <v>1.8</v>
      </c>
      <c r="P17" s="2">
        <v>0.2</v>
      </c>
      <c r="Q17" s="13">
        <f t="shared" si="1"/>
        <v>1.1406844106463879E-2</v>
      </c>
      <c r="R17" s="2">
        <f t="shared" si="2"/>
        <v>2.0532319391634982E-2</v>
      </c>
      <c r="S17" s="2">
        <f t="shared" si="3"/>
        <v>2.2813688212927757E-3</v>
      </c>
    </row>
    <row r="18" spans="1:19">
      <c r="A18" s="4">
        <v>3</v>
      </c>
      <c r="B18" s="2" t="s">
        <v>51</v>
      </c>
      <c r="C18" s="2" t="s">
        <v>7</v>
      </c>
      <c r="D18" s="2">
        <v>12</v>
      </c>
      <c r="E18" s="2">
        <v>19.8</v>
      </c>
      <c r="F18" s="4" t="s">
        <v>27</v>
      </c>
      <c r="G18" s="1">
        <v>3</v>
      </c>
      <c r="H18" s="1">
        <v>1</v>
      </c>
      <c r="I18" s="2"/>
      <c r="J18" s="2"/>
      <c r="K18" s="2"/>
      <c r="L18" s="2"/>
      <c r="M18" s="2">
        <f t="shared" si="0"/>
        <v>3</v>
      </c>
      <c r="N18" s="1">
        <v>3</v>
      </c>
      <c r="O18" s="2">
        <v>4.5</v>
      </c>
      <c r="P18" s="2">
        <v>0.8</v>
      </c>
      <c r="Q18" s="13">
        <f t="shared" si="1"/>
        <v>1.1406844106463879E-2</v>
      </c>
      <c r="R18" s="2">
        <f t="shared" si="2"/>
        <v>5.1330798479087454E-2</v>
      </c>
      <c r="S18" s="2">
        <f t="shared" si="3"/>
        <v>9.125475285171103E-3</v>
      </c>
    </row>
    <row r="19" spans="1:19">
      <c r="A19" s="8">
        <v>8</v>
      </c>
      <c r="B19" s="2" t="s">
        <v>88</v>
      </c>
      <c r="C19" s="2" t="s">
        <v>7</v>
      </c>
      <c r="D19" s="2">
        <v>12</v>
      </c>
      <c r="E19" s="2">
        <v>310</v>
      </c>
      <c r="F19" s="8" t="s">
        <v>82</v>
      </c>
      <c r="G19" s="1">
        <v>3</v>
      </c>
      <c r="H19" s="1">
        <v>1</v>
      </c>
      <c r="I19" s="2"/>
      <c r="J19" s="2"/>
      <c r="K19" s="2"/>
      <c r="L19" s="2"/>
      <c r="M19" s="2">
        <f t="shared" si="0"/>
        <v>3</v>
      </c>
      <c r="N19" s="1">
        <v>3</v>
      </c>
      <c r="O19" s="2">
        <v>-7</v>
      </c>
      <c r="P19" s="2">
        <v>-16</v>
      </c>
      <c r="Q19" s="13">
        <f t="shared" si="1"/>
        <v>1.1406844106463879E-2</v>
      </c>
      <c r="R19" s="2">
        <f t="shared" si="2"/>
        <v>-7.9847908745247151E-2</v>
      </c>
      <c r="S19" s="2">
        <f t="shared" si="3"/>
        <v>-0.18250950570342206</v>
      </c>
    </row>
    <row r="20" spans="1:19">
      <c r="A20" s="4">
        <v>78</v>
      </c>
      <c r="B20" s="2" t="s">
        <v>53</v>
      </c>
      <c r="C20" s="2" t="s">
        <v>7</v>
      </c>
      <c r="D20" s="2">
        <v>12</v>
      </c>
      <c r="E20" s="2">
        <v>60.7</v>
      </c>
      <c r="F20" s="4" t="s">
        <v>27</v>
      </c>
      <c r="G20" s="1">
        <v>3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2">
        <f t="shared" si="0"/>
        <v>15</v>
      </c>
      <c r="N20" s="2">
        <f>M20</f>
        <v>15</v>
      </c>
      <c r="O20" s="2">
        <v>2</v>
      </c>
      <c r="P20" s="2">
        <v>-3</v>
      </c>
      <c r="Q20" s="13">
        <f t="shared" si="1"/>
        <v>5.7034220532319393E-2</v>
      </c>
      <c r="R20" s="2">
        <f t="shared" si="2"/>
        <v>0.11406844106463879</v>
      </c>
      <c r="S20" s="2">
        <f t="shared" si="3"/>
        <v>-0.17110266159695819</v>
      </c>
    </row>
    <row r="21" spans="1:19">
      <c r="A21" s="4">
        <v>80</v>
      </c>
      <c r="B21" s="2" t="s">
        <v>53</v>
      </c>
      <c r="C21" s="2" t="s">
        <v>54</v>
      </c>
      <c r="D21" s="2">
        <v>12</v>
      </c>
      <c r="E21" s="2">
        <v>58.2</v>
      </c>
      <c r="F21" s="4" t="s">
        <v>27</v>
      </c>
      <c r="G21" s="1">
        <v>3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2">
        <f t="shared" si="0"/>
        <v>15</v>
      </c>
      <c r="N21" s="2">
        <f>M21</f>
        <v>15</v>
      </c>
      <c r="O21" s="2">
        <v>2</v>
      </c>
      <c r="P21" s="2">
        <v>-3</v>
      </c>
      <c r="Q21" s="13">
        <f t="shared" si="1"/>
        <v>5.7034220532319393E-2</v>
      </c>
      <c r="R21" s="2">
        <f t="shared" si="2"/>
        <v>0.11406844106463879</v>
      </c>
      <c r="S21" s="2">
        <f t="shared" si="3"/>
        <v>-0.17110266159695819</v>
      </c>
    </row>
    <row r="22" spans="1:19">
      <c r="A22" s="4">
        <v>81</v>
      </c>
      <c r="B22" s="2" t="s">
        <v>53</v>
      </c>
      <c r="C22" s="2" t="s">
        <v>55</v>
      </c>
      <c r="D22" s="2">
        <v>12</v>
      </c>
      <c r="E22" s="2">
        <v>63</v>
      </c>
      <c r="F22" s="4" t="s">
        <v>27</v>
      </c>
      <c r="G22" s="1">
        <v>3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2">
        <f t="shared" si="0"/>
        <v>15</v>
      </c>
      <c r="N22" s="2">
        <f>M22</f>
        <v>15</v>
      </c>
      <c r="O22" s="2">
        <v>2</v>
      </c>
      <c r="P22" s="2">
        <v>-3</v>
      </c>
      <c r="Q22" s="13">
        <f t="shared" si="1"/>
        <v>5.7034220532319393E-2</v>
      </c>
      <c r="R22" s="2">
        <f t="shared" si="2"/>
        <v>0.11406844106463879</v>
      </c>
      <c r="S22" s="2">
        <f t="shared" si="3"/>
        <v>-0.17110266159695819</v>
      </c>
    </row>
    <row r="23" spans="1:19">
      <c r="A23" s="4">
        <v>82</v>
      </c>
      <c r="B23" s="2" t="s">
        <v>53</v>
      </c>
      <c r="C23" s="2" t="s">
        <v>56</v>
      </c>
      <c r="D23" s="2">
        <v>12</v>
      </c>
      <c r="E23" s="2">
        <v>61.7</v>
      </c>
      <c r="F23" s="4" t="s">
        <v>27</v>
      </c>
      <c r="G23" s="1">
        <v>3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2">
        <f t="shared" si="0"/>
        <v>15</v>
      </c>
      <c r="N23" s="2">
        <f>M23</f>
        <v>15</v>
      </c>
      <c r="O23" s="2">
        <v>2</v>
      </c>
      <c r="P23" s="2">
        <v>-3</v>
      </c>
      <c r="Q23" s="13">
        <f t="shared" si="1"/>
        <v>5.7034220532319393E-2</v>
      </c>
      <c r="R23" s="2">
        <f t="shared" si="2"/>
        <v>0.11406844106463879</v>
      </c>
      <c r="S23" s="2">
        <f t="shared" si="3"/>
        <v>-0.17110266159695819</v>
      </c>
    </row>
    <row r="24" spans="1:19">
      <c r="A24" s="4">
        <v>84</v>
      </c>
      <c r="B24" s="2" t="s">
        <v>53</v>
      </c>
      <c r="C24" s="2" t="s">
        <v>57</v>
      </c>
      <c r="D24" s="2">
        <v>12</v>
      </c>
      <c r="E24" s="2">
        <v>61.9</v>
      </c>
      <c r="F24" s="4" t="s">
        <v>27</v>
      </c>
      <c r="G24" s="1">
        <v>3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2">
        <f t="shared" si="0"/>
        <v>15</v>
      </c>
      <c r="N24" s="2">
        <f>M24</f>
        <v>15</v>
      </c>
      <c r="O24" s="2">
        <v>2</v>
      </c>
      <c r="P24" s="2">
        <v>-3</v>
      </c>
      <c r="Q24" s="13">
        <f t="shared" si="1"/>
        <v>5.7034220532319393E-2</v>
      </c>
      <c r="R24" s="2">
        <f t="shared" si="2"/>
        <v>0.11406844106463879</v>
      </c>
      <c r="S24" s="2">
        <f t="shared" si="3"/>
        <v>-0.17110266159695819</v>
      </c>
    </row>
    <row r="25" spans="1:19">
      <c r="A25" s="8">
        <v>7</v>
      </c>
      <c r="B25" s="2" t="s">
        <v>92</v>
      </c>
      <c r="C25" s="2" t="s">
        <v>7</v>
      </c>
      <c r="D25" s="2">
        <v>12</v>
      </c>
      <c r="E25" s="2">
        <v>362</v>
      </c>
      <c r="F25" s="8" t="s">
        <v>82</v>
      </c>
      <c r="G25" s="1">
        <v>3</v>
      </c>
      <c r="H25" s="1">
        <v>1</v>
      </c>
      <c r="I25" s="2"/>
      <c r="J25" s="2"/>
      <c r="K25" s="2"/>
      <c r="L25" s="2"/>
      <c r="M25" s="2">
        <f t="shared" si="0"/>
        <v>3</v>
      </c>
      <c r="N25" s="1">
        <v>3</v>
      </c>
      <c r="O25" s="2">
        <v>-6.5</v>
      </c>
      <c r="P25" s="2">
        <v>-20</v>
      </c>
      <c r="Q25" s="13">
        <f t="shared" si="1"/>
        <v>1.1406844106463879E-2</v>
      </c>
      <c r="R25" s="2">
        <f t="shared" si="2"/>
        <v>-7.4144486692015205E-2</v>
      </c>
      <c r="S25" s="2">
        <f t="shared" si="3"/>
        <v>-0.22813688212927757</v>
      </c>
    </row>
    <row r="26" spans="1:19">
      <c r="A26" s="3">
        <v>35</v>
      </c>
      <c r="B26" s="2" t="s">
        <v>19</v>
      </c>
      <c r="C26" s="2" t="s">
        <v>7</v>
      </c>
      <c r="D26" s="2">
        <v>12</v>
      </c>
      <c r="E26" s="2">
        <v>159</v>
      </c>
      <c r="F26" s="3" t="s">
        <v>8</v>
      </c>
      <c r="G26" s="1">
        <v>3</v>
      </c>
      <c r="H26" s="1">
        <v>1</v>
      </c>
      <c r="I26" s="2"/>
      <c r="J26" s="2"/>
      <c r="K26" s="2"/>
      <c r="L26" s="2"/>
      <c r="M26" s="2">
        <f t="shared" si="0"/>
        <v>3</v>
      </c>
      <c r="N26" s="1">
        <v>3</v>
      </c>
      <c r="O26" s="2">
        <v>0.2</v>
      </c>
      <c r="P26" s="2">
        <v>-8</v>
      </c>
      <c r="Q26" s="13">
        <f t="shared" si="1"/>
        <v>1.1406844106463879E-2</v>
      </c>
      <c r="R26" s="2">
        <f t="shared" si="2"/>
        <v>2.2813688212927757E-3</v>
      </c>
      <c r="S26" s="2">
        <f t="shared" si="3"/>
        <v>-9.125475285171103E-2</v>
      </c>
    </row>
    <row r="27" spans="1:19">
      <c r="A27" s="4">
        <v>24</v>
      </c>
      <c r="B27" s="2" t="s">
        <v>60</v>
      </c>
      <c r="C27" s="2" t="s">
        <v>7</v>
      </c>
      <c r="D27" s="2">
        <v>12</v>
      </c>
      <c r="E27" s="6" t="s">
        <v>61</v>
      </c>
      <c r="F27" s="4" t="s">
        <v>27</v>
      </c>
      <c r="G27" s="1">
        <v>3</v>
      </c>
      <c r="H27" s="1">
        <v>1</v>
      </c>
      <c r="I27" s="2"/>
      <c r="J27" s="2"/>
      <c r="K27" s="2"/>
      <c r="L27" s="2"/>
      <c r="M27" s="2">
        <f t="shared" si="0"/>
        <v>3</v>
      </c>
      <c r="N27" s="1">
        <v>3</v>
      </c>
      <c r="O27" s="2">
        <v>1.8</v>
      </c>
      <c r="P27" s="2">
        <v>-0.2</v>
      </c>
      <c r="Q27" s="13">
        <f t="shared" si="1"/>
        <v>1.1406844106463879E-2</v>
      </c>
      <c r="R27" s="2">
        <f t="shared" si="2"/>
        <v>2.0532319391634982E-2</v>
      </c>
      <c r="S27" s="2">
        <f t="shared" si="3"/>
        <v>-2.2813688212927757E-3</v>
      </c>
    </row>
    <row r="28" spans="1:19">
      <c r="A28" s="4">
        <v>5</v>
      </c>
      <c r="B28" s="2" t="s">
        <v>63</v>
      </c>
      <c r="C28" s="2" t="s">
        <v>7</v>
      </c>
      <c r="D28" s="2">
        <v>12</v>
      </c>
      <c r="E28" s="2">
        <v>39.6</v>
      </c>
      <c r="F28" s="4" t="s">
        <v>27</v>
      </c>
      <c r="G28" s="1">
        <v>3</v>
      </c>
      <c r="H28" s="1">
        <v>1</v>
      </c>
      <c r="I28" s="2"/>
      <c r="J28" s="2"/>
      <c r="K28" s="2"/>
      <c r="L28" s="2"/>
      <c r="M28" s="2">
        <f t="shared" si="0"/>
        <v>3</v>
      </c>
      <c r="N28" s="1">
        <v>3</v>
      </c>
      <c r="O28" s="2">
        <v>1.8</v>
      </c>
      <c r="P28" s="2">
        <v>0.8</v>
      </c>
      <c r="Q28" s="13">
        <f t="shared" si="1"/>
        <v>1.1406844106463879E-2</v>
      </c>
      <c r="R28" s="2">
        <f t="shared" si="2"/>
        <v>2.0532319391634982E-2</v>
      </c>
      <c r="S28" s="2">
        <f t="shared" si="3"/>
        <v>9.125475285171103E-3</v>
      </c>
    </row>
    <row r="29" spans="1:19">
      <c r="A29" s="4">
        <v>61</v>
      </c>
      <c r="B29" s="2" t="s">
        <v>64</v>
      </c>
      <c r="C29" s="2" t="s">
        <v>7</v>
      </c>
      <c r="D29" s="2">
        <v>12</v>
      </c>
      <c r="E29" s="2">
        <v>0</v>
      </c>
      <c r="F29" s="4" t="s">
        <v>27</v>
      </c>
      <c r="G29" s="1">
        <v>3</v>
      </c>
      <c r="H29" s="1">
        <v>1</v>
      </c>
      <c r="I29" s="2"/>
      <c r="J29" s="2"/>
      <c r="K29" s="2"/>
      <c r="L29" s="2"/>
      <c r="M29" s="2">
        <f t="shared" si="0"/>
        <v>3</v>
      </c>
      <c r="N29" s="2">
        <f>M29+M30</f>
        <v>6</v>
      </c>
      <c r="O29" s="2">
        <v>1.5</v>
      </c>
      <c r="P29" s="2">
        <v>-0.5</v>
      </c>
      <c r="Q29" s="13">
        <f t="shared" si="1"/>
        <v>2.2813688212927757E-2</v>
      </c>
      <c r="R29" s="2">
        <f t="shared" si="2"/>
        <v>3.4220532319391636E-2</v>
      </c>
      <c r="S29" s="2">
        <f t="shared" si="3"/>
        <v>-1.1406844106463879E-2</v>
      </c>
    </row>
    <row r="30" spans="1:19">
      <c r="A30" s="4">
        <v>9</v>
      </c>
      <c r="B30" s="2" t="s">
        <v>65</v>
      </c>
      <c r="C30" s="2" t="s">
        <v>7</v>
      </c>
      <c r="D30" s="2">
        <v>12</v>
      </c>
      <c r="E30" s="2">
        <v>26.4</v>
      </c>
      <c r="F30" s="4" t="s">
        <v>27</v>
      </c>
      <c r="G30" s="1">
        <v>3</v>
      </c>
      <c r="H30" s="1">
        <v>1</v>
      </c>
      <c r="I30" s="2"/>
      <c r="J30" s="2"/>
      <c r="K30" s="2"/>
      <c r="L30" s="2"/>
      <c r="M30" s="2">
        <f t="shared" si="0"/>
        <v>3</v>
      </c>
      <c r="N30" s="2">
        <f>M30</f>
        <v>3</v>
      </c>
      <c r="O30" s="2">
        <v>-3.5</v>
      </c>
      <c r="P30" s="2">
        <v>-0.5</v>
      </c>
      <c r="Q30" s="13">
        <f t="shared" si="1"/>
        <v>1.1406844106463879E-2</v>
      </c>
      <c r="R30" s="2">
        <f t="shared" si="2"/>
        <v>-3.9923954372623575E-2</v>
      </c>
      <c r="S30" s="2">
        <f t="shared" si="3"/>
        <v>-5.7034220532319393E-3</v>
      </c>
    </row>
    <row r="31" spans="1:19">
      <c r="A31" s="4">
        <v>22</v>
      </c>
      <c r="B31" s="2" t="s">
        <v>67</v>
      </c>
      <c r="C31" s="2" t="s">
        <v>7</v>
      </c>
      <c r="D31" s="2">
        <v>12</v>
      </c>
      <c r="E31" s="2">
        <v>119</v>
      </c>
      <c r="F31" s="4" t="s">
        <v>27</v>
      </c>
      <c r="G31" s="1">
        <v>3</v>
      </c>
      <c r="H31" s="1">
        <v>1</v>
      </c>
      <c r="I31" s="2"/>
      <c r="J31" s="2"/>
      <c r="K31" s="2"/>
      <c r="L31" s="2"/>
      <c r="M31" s="2">
        <f t="shared" si="0"/>
        <v>3</v>
      </c>
      <c r="N31" s="1">
        <v>3</v>
      </c>
      <c r="O31" s="2">
        <v>9</v>
      </c>
      <c r="P31" s="2">
        <v>-2.8</v>
      </c>
      <c r="Q31" s="13">
        <f t="shared" si="1"/>
        <v>1.1406844106463879E-2</v>
      </c>
      <c r="R31" s="2">
        <f t="shared" si="2"/>
        <v>0.10266159695817491</v>
      </c>
      <c r="S31" s="2">
        <f t="shared" si="3"/>
        <v>-3.193916349809886E-2</v>
      </c>
    </row>
    <row r="32" spans="1:19">
      <c r="A32" s="3">
        <v>36</v>
      </c>
      <c r="B32" s="2" t="s">
        <v>24</v>
      </c>
      <c r="C32" s="2" t="s">
        <v>7</v>
      </c>
      <c r="D32" s="2">
        <v>12</v>
      </c>
      <c r="E32" s="2">
        <v>137</v>
      </c>
      <c r="F32" s="3" t="s">
        <v>8</v>
      </c>
      <c r="G32" s="1">
        <v>3</v>
      </c>
      <c r="H32" s="1">
        <v>1</v>
      </c>
      <c r="I32" s="2"/>
      <c r="J32" s="2"/>
      <c r="K32" s="2"/>
      <c r="L32" s="2"/>
      <c r="M32" s="2">
        <f t="shared" si="0"/>
        <v>3</v>
      </c>
      <c r="N32" s="1">
        <v>3</v>
      </c>
      <c r="O32" s="2">
        <v>-6</v>
      </c>
      <c r="P32" s="2">
        <v>0.2</v>
      </c>
      <c r="Q32" s="13">
        <f t="shared" si="1"/>
        <v>1.1406844106463879E-2</v>
      </c>
      <c r="R32" s="2">
        <f t="shared" si="2"/>
        <v>-6.8441064638783272E-2</v>
      </c>
      <c r="S32" s="2">
        <f t="shared" si="3"/>
        <v>2.2813688212927757E-3</v>
      </c>
    </row>
    <row r="33" spans="1:19">
      <c r="A33" s="4">
        <v>18</v>
      </c>
      <c r="B33" s="2" t="s">
        <v>70</v>
      </c>
      <c r="C33" s="2" t="s">
        <v>7</v>
      </c>
      <c r="D33" s="2">
        <v>12</v>
      </c>
      <c r="E33" s="2">
        <v>85.3</v>
      </c>
      <c r="F33" s="4" t="s">
        <v>27</v>
      </c>
      <c r="G33" s="1">
        <v>3</v>
      </c>
      <c r="H33" s="1">
        <v>1</v>
      </c>
      <c r="I33" s="2"/>
      <c r="J33" s="2"/>
      <c r="K33" s="2"/>
      <c r="L33" s="2"/>
      <c r="M33" s="2">
        <f t="shared" si="0"/>
        <v>3</v>
      </c>
      <c r="N33" s="2">
        <f>M33+M34</f>
        <v>5</v>
      </c>
      <c r="O33" s="2">
        <v>3</v>
      </c>
      <c r="P33" s="2">
        <v>-4</v>
      </c>
      <c r="Q33" s="13">
        <f t="shared" si="1"/>
        <v>1.9011406844106463E-2</v>
      </c>
      <c r="R33" s="2">
        <f t="shared" si="2"/>
        <v>5.7034220532319393E-2</v>
      </c>
      <c r="S33" s="2">
        <f t="shared" si="3"/>
        <v>-7.6045627376425853E-2</v>
      </c>
    </row>
    <row r="34" spans="1:19">
      <c r="A34" s="3">
        <v>48</v>
      </c>
      <c r="B34" s="2" t="s">
        <v>6</v>
      </c>
      <c r="C34" s="2" t="s">
        <v>7</v>
      </c>
      <c r="D34" s="2">
        <v>8</v>
      </c>
      <c r="E34" s="2">
        <v>250</v>
      </c>
      <c r="F34" s="3" t="s">
        <v>8</v>
      </c>
      <c r="G34" s="1">
        <v>2</v>
      </c>
      <c r="H34" s="1">
        <v>1</v>
      </c>
      <c r="I34" s="1"/>
      <c r="J34" s="1"/>
      <c r="K34" s="1"/>
      <c r="L34" s="1"/>
      <c r="M34" s="2">
        <f t="shared" ref="M34:M65" si="4">G34*(H34+I34+J34+K34+L34)</f>
        <v>2</v>
      </c>
      <c r="N34" s="2">
        <f t="shared" ref="N34:N48" si="5">M34</f>
        <v>2</v>
      </c>
      <c r="O34" s="2">
        <v>1</v>
      </c>
      <c r="P34" s="2">
        <v>-14</v>
      </c>
      <c r="Q34" s="13">
        <f t="shared" ref="Q34:Q65" si="6">N34/N$87</f>
        <v>7.6045627376425855E-3</v>
      </c>
      <c r="R34" s="2">
        <f t="shared" ref="R34:R65" si="7">O34*Q34</f>
        <v>7.6045627376425855E-3</v>
      </c>
      <c r="S34" s="2">
        <f t="shared" ref="S34:S65" si="8">P34*Q34</f>
        <v>-0.10646387832699619</v>
      </c>
    </row>
    <row r="35" spans="1:19">
      <c r="A35" s="3">
        <v>49</v>
      </c>
      <c r="B35" s="2" t="s">
        <v>9</v>
      </c>
      <c r="C35" s="2" t="s">
        <v>7</v>
      </c>
      <c r="D35" s="2">
        <v>8</v>
      </c>
      <c r="E35" s="2">
        <v>132</v>
      </c>
      <c r="F35" s="3" t="s">
        <v>8</v>
      </c>
      <c r="G35" s="1">
        <v>2</v>
      </c>
      <c r="H35" s="1">
        <v>1</v>
      </c>
      <c r="I35" s="2"/>
      <c r="J35" s="2"/>
      <c r="K35" s="2"/>
      <c r="L35" s="2"/>
      <c r="M35" s="2">
        <f t="shared" si="4"/>
        <v>2</v>
      </c>
      <c r="N35" s="2">
        <f t="shared" si="5"/>
        <v>2</v>
      </c>
      <c r="O35" s="2">
        <v>-22</v>
      </c>
      <c r="P35" s="2">
        <v>-19</v>
      </c>
      <c r="Q35" s="13">
        <f t="shared" si="6"/>
        <v>7.6045627376425855E-3</v>
      </c>
      <c r="R35" s="2">
        <f t="shared" si="7"/>
        <v>-0.16730038022813687</v>
      </c>
      <c r="S35" s="2">
        <f t="shared" si="8"/>
        <v>-0.14448669201520911</v>
      </c>
    </row>
    <row r="36" spans="1:19">
      <c r="A36" s="3">
        <v>26</v>
      </c>
      <c r="B36" s="1" t="s">
        <v>11</v>
      </c>
      <c r="C36" s="2" t="s">
        <v>7</v>
      </c>
      <c r="D36" s="2">
        <v>8</v>
      </c>
      <c r="E36" s="2">
        <v>253</v>
      </c>
      <c r="F36" s="3" t="s">
        <v>8</v>
      </c>
      <c r="G36" s="1">
        <v>2</v>
      </c>
      <c r="H36" s="1">
        <v>1</v>
      </c>
      <c r="I36" s="2"/>
      <c r="J36" s="2"/>
      <c r="K36" s="2"/>
      <c r="L36" s="2"/>
      <c r="M36" s="2">
        <f t="shared" si="4"/>
        <v>2</v>
      </c>
      <c r="N36" s="2">
        <f t="shared" si="5"/>
        <v>2</v>
      </c>
      <c r="O36" s="2">
        <v>-11.5</v>
      </c>
      <c r="P36" s="2">
        <v>-2.5</v>
      </c>
      <c r="Q36" s="13">
        <f t="shared" si="6"/>
        <v>7.6045627376425855E-3</v>
      </c>
      <c r="R36" s="2">
        <f t="shared" si="7"/>
        <v>-8.7452471482889732E-2</v>
      </c>
      <c r="S36" s="2">
        <f t="shared" si="8"/>
        <v>-1.9011406844106463E-2</v>
      </c>
    </row>
    <row r="37" spans="1:19">
      <c r="A37" s="4">
        <v>60</v>
      </c>
      <c r="B37" s="2" t="s">
        <v>32</v>
      </c>
      <c r="C37" s="2" t="s">
        <v>7</v>
      </c>
      <c r="D37" s="2">
        <v>8</v>
      </c>
      <c r="E37" s="2">
        <v>73.3</v>
      </c>
      <c r="F37" s="4" t="s">
        <v>27</v>
      </c>
      <c r="G37" s="1">
        <v>2</v>
      </c>
      <c r="H37" s="1">
        <v>1</v>
      </c>
      <c r="I37" s="2"/>
      <c r="J37" s="2"/>
      <c r="K37" s="2"/>
      <c r="L37" s="2"/>
      <c r="M37" s="2">
        <f t="shared" si="4"/>
        <v>2</v>
      </c>
      <c r="N37" s="2">
        <f t="shared" si="5"/>
        <v>2</v>
      </c>
      <c r="O37" s="2">
        <v>4.8</v>
      </c>
      <c r="P37" s="2">
        <v>3.2</v>
      </c>
      <c r="Q37" s="13">
        <f t="shared" si="6"/>
        <v>7.6045627376425855E-3</v>
      </c>
      <c r="R37" s="2">
        <f t="shared" si="7"/>
        <v>3.6501901140684412E-2</v>
      </c>
      <c r="S37" s="2">
        <f t="shared" si="8"/>
        <v>2.4334600760456276E-2</v>
      </c>
    </row>
    <row r="38" spans="1:19">
      <c r="A38" s="4">
        <v>27</v>
      </c>
      <c r="B38" s="2" t="s">
        <v>33</v>
      </c>
      <c r="C38" s="2" t="s">
        <v>7</v>
      </c>
      <c r="D38" s="2">
        <v>8</v>
      </c>
      <c r="E38" s="2">
        <v>136</v>
      </c>
      <c r="F38" s="4" t="s">
        <v>27</v>
      </c>
      <c r="G38" s="1">
        <v>2</v>
      </c>
      <c r="H38" s="1">
        <v>1</v>
      </c>
      <c r="I38" s="2"/>
      <c r="J38" s="2"/>
      <c r="K38" s="2"/>
      <c r="L38" s="2"/>
      <c r="M38" s="2">
        <f t="shared" si="4"/>
        <v>2</v>
      </c>
      <c r="N38" s="2">
        <f t="shared" si="5"/>
        <v>2</v>
      </c>
      <c r="O38" s="2">
        <v>10.199999999999999</v>
      </c>
      <c r="P38" s="2">
        <v>-0.2</v>
      </c>
      <c r="Q38" s="13">
        <f t="shared" si="6"/>
        <v>7.6045627376425855E-3</v>
      </c>
      <c r="R38" s="2">
        <f t="shared" si="7"/>
        <v>7.7566539923954361E-2</v>
      </c>
      <c r="S38" s="2">
        <f t="shared" si="8"/>
        <v>-1.5209125475285172E-3</v>
      </c>
    </row>
    <row r="39" spans="1:19">
      <c r="A39" s="4">
        <v>69</v>
      </c>
      <c r="B39" s="2" t="s">
        <v>35</v>
      </c>
      <c r="C39" s="2" t="s">
        <v>7</v>
      </c>
      <c r="D39" s="2">
        <v>8</v>
      </c>
      <c r="E39" s="2">
        <v>10.9</v>
      </c>
      <c r="F39" s="4" t="s">
        <v>27</v>
      </c>
      <c r="G39" s="1">
        <v>2</v>
      </c>
      <c r="H39" s="1">
        <v>1</v>
      </c>
      <c r="I39" s="2"/>
      <c r="J39" s="2"/>
      <c r="K39" s="2"/>
      <c r="L39" s="2"/>
      <c r="M39" s="2">
        <f t="shared" si="4"/>
        <v>2</v>
      </c>
      <c r="N39" s="2">
        <f t="shared" si="5"/>
        <v>2</v>
      </c>
      <c r="O39" s="2">
        <v>2</v>
      </c>
      <c r="P39" s="2">
        <v>1.2</v>
      </c>
      <c r="Q39" s="13">
        <f t="shared" si="6"/>
        <v>7.6045627376425855E-3</v>
      </c>
      <c r="R39" s="2">
        <f t="shared" si="7"/>
        <v>1.5209125475285171E-2</v>
      </c>
      <c r="S39" s="2">
        <f t="shared" si="8"/>
        <v>9.125475285171103E-3</v>
      </c>
    </row>
    <row r="40" spans="1:19">
      <c r="A40" s="3">
        <v>51</v>
      </c>
      <c r="B40" s="2" t="s">
        <v>13</v>
      </c>
      <c r="C40" s="2" t="s">
        <v>7</v>
      </c>
      <c r="D40" s="2">
        <v>8</v>
      </c>
      <c r="E40" s="2">
        <v>150</v>
      </c>
      <c r="F40" s="3" t="s">
        <v>8</v>
      </c>
      <c r="G40" s="1">
        <v>2</v>
      </c>
      <c r="H40" s="1">
        <v>1</v>
      </c>
      <c r="I40" s="2"/>
      <c r="J40" s="2"/>
      <c r="K40" s="2"/>
      <c r="L40" s="2"/>
      <c r="M40" s="2">
        <f t="shared" si="4"/>
        <v>2</v>
      </c>
      <c r="N40" s="2">
        <f t="shared" si="5"/>
        <v>2</v>
      </c>
      <c r="O40" s="2">
        <v>-3.8</v>
      </c>
      <c r="P40" s="2">
        <v>4</v>
      </c>
      <c r="Q40" s="13">
        <f t="shared" si="6"/>
        <v>7.6045627376425855E-3</v>
      </c>
      <c r="R40" s="2">
        <f t="shared" si="7"/>
        <v>-2.8897338403041824E-2</v>
      </c>
      <c r="S40" s="2">
        <f t="shared" si="8"/>
        <v>3.0418250950570342E-2</v>
      </c>
    </row>
    <row r="41" spans="1:19">
      <c r="A41" s="4">
        <v>17</v>
      </c>
      <c r="B41" s="2" t="s">
        <v>36</v>
      </c>
      <c r="C41" s="2" t="s">
        <v>7</v>
      </c>
      <c r="D41" s="2">
        <v>8</v>
      </c>
      <c r="E41" s="2">
        <v>24.1</v>
      </c>
      <c r="F41" s="4" t="s">
        <v>27</v>
      </c>
      <c r="G41" s="1">
        <v>2</v>
      </c>
      <c r="H41" s="1">
        <v>1</v>
      </c>
      <c r="I41" s="2"/>
      <c r="J41" s="2"/>
      <c r="K41" s="2"/>
      <c r="L41" s="2"/>
      <c r="M41" s="2">
        <f t="shared" si="4"/>
        <v>2</v>
      </c>
      <c r="N41" s="2">
        <f t="shared" si="5"/>
        <v>2</v>
      </c>
      <c r="O41" s="2">
        <v>1</v>
      </c>
      <c r="P41" s="2">
        <v>0.8</v>
      </c>
      <c r="Q41" s="13">
        <f t="shared" si="6"/>
        <v>7.6045627376425855E-3</v>
      </c>
      <c r="R41" s="2">
        <f t="shared" si="7"/>
        <v>7.6045627376425855E-3</v>
      </c>
      <c r="S41" s="2">
        <f t="shared" si="8"/>
        <v>6.0836501901140689E-3</v>
      </c>
    </row>
    <row r="42" spans="1:19">
      <c r="A42" s="3">
        <v>37</v>
      </c>
      <c r="B42" s="2" t="s">
        <v>14</v>
      </c>
      <c r="C42" s="2" t="s">
        <v>7</v>
      </c>
      <c r="D42" s="2">
        <v>8</v>
      </c>
      <c r="E42" s="2">
        <v>117</v>
      </c>
      <c r="F42" s="3" t="s">
        <v>8</v>
      </c>
      <c r="G42" s="1">
        <v>2</v>
      </c>
      <c r="H42" s="1">
        <v>1</v>
      </c>
      <c r="I42" s="2"/>
      <c r="J42" s="2"/>
      <c r="K42" s="2"/>
      <c r="L42" s="2"/>
      <c r="M42" s="2">
        <f t="shared" si="4"/>
        <v>2</v>
      </c>
      <c r="N42" s="2">
        <f t="shared" si="5"/>
        <v>2</v>
      </c>
      <c r="O42" s="2">
        <v>2</v>
      </c>
      <c r="P42" s="2">
        <v>-4.2</v>
      </c>
      <c r="Q42" s="13">
        <f t="shared" si="6"/>
        <v>7.6045627376425855E-3</v>
      </c>
      <c r="R42" s="2">
        <f t="shared" si="7"/>
        <v>1.5209125475285171E-2</v>
      </c>
      <c r="S42" s="2">
        <f t="shared" si="8"/>
        <v>-3.193916349809886E-2</v>
      </c>
    </row>
    <row r="43" spans="1:19">
      <c r="A43" s="7">
        <v>28</v>
      </c>
      <c r="B43" s="2" t="s">
        <v>77</v>
      </c>
      <c r="C43" s="2" t="s">
        <v>7</v>
      </c>
      <c r="D43" s="2">
        <v>8</v>
      </c>
      <c r="E43" s="2">
        <v>94.6</v>
      </c>
      <c r="F43" s="7" t="s">
        <v>73</v>
      </c>
      <c r="G43" s="1">
        <v>2</v>
      </c>
      <c r="H43" s="1">
        <v>1</v>
      </c>
      <c r="I43" s="2"/>
      <c r="J43" s="2"/>
      <c r="K43" s="2"/>
      <c r="L43" s="2"/>
      <c r="M43" s="2">
        <f t="shared" si="4"/>
        <v>2</v>
      </c>
      <c r="N43" s="2">
        <f t="shared" si="5"/>
        <v>2</v>
      </c>
      <c r="O43" s="2">
        <v>4</v>
      </c>
      <c r="P43" s="2">
        <v>-1.8</v>
      </c>
      <c r="Q43" s="13">
        <f t="shared" si="6"/>
        <v>7.6045627376425855E-3</v>
      </c>
      <c r="R43" s="2">
        <f t="shared" si="7"/>
        <v>3.0418250950570342E-2</v>
      </c>
      <c r="S43" s="2">
        <f t="shared" si="8"/>
        <v>-1.3688212927756654E-2</v>
      </c>
    </row>
    <row r="44" spans="1:19">
      <c r="A44" s="4">
        <v>10</v>
      </c>
      <c r="B44" s="2" t="s">
        <v>40</v>
      </c>
      <c r="C44" s="2" t="s">
        <v>7</v>
      </c>
      <c r="D44" s="2">
        <v>8</v>
      </c>
      <c r="E44" s="2">
        <v>84.4</v>
      </c>
      <c r="F44" s="4" t="s">
        <v>27</v>
      </c>
      <c r="G44" s="1">
        <v>2</v>
      </c>
      <c r="H44" s="1">
        <v>1</v>
      </c>
      <c r="I44" s="2"/>
      <c r="J44" s="2"/>
      <c r="K44" s="2"/>
      <c r="L44" s="2"/>
      <c r="M44" s="2">
        <f t="shared" si="4"/>
        <v>2</v>
      </c>
      <c r="N44" s="2">
        <f t="shared" si="5"/>
        <v>2</v>
      </c>
      <c r="O44" s="2">
        <v>-4.2</v>
      </c>
      <c r="P44" s="2">
        <v>0.5</v>
      </c>
      <c r="Q44" s="13">
        <f t="shared" si="6"/>
        <v>7.6045627376425855E-3</v>
      </c>
      <c r="R44" s="2">
        <f t="shared" si="7"/>
        <v>-3.193916349809886E-2</v>
      </c>
      <c r="S44" s="2">
        <f t="shared" si="8"/>
        <v>3.8022813688212928E-3</v>
      </c>
    </row>
    <row r="45" spans="1:19">
      <c r="A45" s="4">
        <v>72</v>
      </c>
      <c r="B45" s="2" t="s">
        <v>41</v>
      </c>
      <c r="C45" s="2" t="s">
        <v>7</v>
      </c>
      <c r="D45" s="2">
        <v>8</v>
      </c>
      <c r="E45" s="2">
        <v>33.6</v>
      </c>
      <c r="F45" s="4" t="s">
        <v>27</v>
      </c>
      <c r="G45" s="1">
        <v>2</v>
      </c>
      <c r="H45" s="1">
        <v>1</v>
      </c>
      <c r="I45" s="2"/>
      <c r="J45" s="2"/>
      <c r="K45" s="2"/>
      <c r="L45" s="2"/>
      <c r="M45" s="2">
        <f t="shared" si="4"/>
        <v>2</v>
      </c>
      <c r="N45" s="2">
        <f t="shared" si="5"/>
        <v>2</v>
      </c>
      <c r="O45" s="2">
        <v>4.5</v>
      </c>
      <c r="P45" s="2">
        <v>1.5</v>
      </c>
      <c r="Q45" s="13">
        <f t="shared" si="6"/>
        <v>7.6045627376425855E-3</v>
      </c>
      <c r="R45" s="2">
        <f t="shared" si="7"/>
        <v>3.4220532319391636E-2</v>
      </c>
      <c r="S45" s="2">
        <f t="shared" si="8"/>
        <v>1.1406844106463879E-2</v>
      </c>
    </row>
    <row r="46" spans="1:19">
      <c r="A46" s="4">
        <v>54</v>
      </c>
      <c r="B46" s="2" t="s">
        <v>42</v>
      </c>
      <c r="C46" s="2" t="s">
        <v>7</v>
      </c>
      <c r="D46" s="2">
        <v>8</v>
      </c>
      <c r="E46" s="2">
        <v>119</v>
      </c>
      <c r="F46" s="4" t="s">
        <v>27</v>
      </c>
      <c r="G46" s="1">
        <v>2</v>
      </c>
      <c r="H46" s="1">
        <v>1</v>
      </c>
      <c r="I46" s="2"/>
      <c r="J46" s="2"/>
      <c r="K46" s="2"/>
      <c r="L46" s="2"/>
      <c r="M46" s="2">
        <f t="shared" si="4"/>
        <v>2</v>
      </c>
      <c r="N46" s="2">
        <f t="shared" si="5"/>
        <v>2</v>
      </c>
      <c r="O46" s="2">
        <v>9.1999999999999993</v>
      </c>
      <c r="P46" s="2">
        <v>-2</v>
      </c>
      <c r="Q46" s="13">
        <f t="shared" si="6"/>
        <v>7.6045627376425855E-3</v>
      </c>
      <c r="R46" s="2">
        <f t="shared" si="7"/>
        <v>6.996197718631178E-2</v>
      </c>
      <c r="S46" s="2">
        <f t="shared" si="8"/>
        <v>-1.5209125475285171E-2</v>
      </c>
    </row>
    <row r="47" spans="1:19">
      <c r="A47" s="4">
        <v>16</v>
      </c>
      <c r="B47" s="2" t="s">
        <v>46</v>
      </c>
      <c r="C47" s="2" t="s">
        <v>7</v>
      </c>
      <c r="D47" s="2">
        <v>8</v>
      </c>
      <c r="E47" s="2">
        <v>18.2</v>
      </c>
      <c r="F47" s="4" t="s">
        <v>27</v>
      </c>
      <c r="G47" s="1">
        <v>2</v>
      </c>
      <c r="H47" s="1">
        <v>1</v>
      </c>
      <c r="I47" s="2"/>
      <c r="J47" s="2"/>
      <c r="K47" s="2"/>
      <c r="L47" s="2"/>
      <c r="M47" s="2">
        <f t="shared" si="4"/>
        <v>2</v>
      </c>
      <c r="N47" s="2">
        <f t="shared" si="5"/>
        <v>2</v>
      </c>
      <c r="O47" s="2">
        <v>3</v>
      </c>
      <c r="P47" s="2">
        <v>1.2</v>
      </c>
      <c r="Q47" s="13">
        <f t="shared" si="6"/>
        <v>7.6045627376425855E-3</v>
      </c>
      <c r="R47" s="2">
        <f t="shared" si="7"/>
        <v>2.2813688212927757E-2</v>
      </c>
      <c r="S47" s="2">
        <f t="shared" si="8"/>
        <v>9.125475285171103E-3</v>
      </c>
    </row>
    <row r="48" spans="1:19">
      <c r="A48" s="4">
        <v>34</v>
      </c>
      <c r="B48" s="2" t="s">
        <v>47</v>
      </c>
      <c r="C48" s="2" t="s">
        <v>7</v>
      </c>
      <c r="D48" s="2">
        <v>8</v>
      </c>
      <c r="E48" s="2">
        <v>63.7</v>
      </c>
      <c r="F48" s="4" t="s">
        <v>27</v>
      </c>
      <c r="G48" s="1">
        <v>2</v>
      </c>
      <c r="H48" s="1">
        <v>1</v>
      </c>
      <c r="I48" s="1"/>
      <c r="J48" s="2"/>
      <c r="K48" s="2"/>
      <c r="L48" s="2"/>
      <c r="M48" s="2">
        <f t="shared" si="4"/>
        <v>2</v>
      </c>
      <c r="N48" s="2">
        <f t="shared" si="5"/>
        <v>2</v>
      </c>
      <c r="O48" s="2">
        <v>2</v>
      </c>
      <c r="P48" s="2">
        <v>4</v>
      </c>
      <c r="Q48" s="13">
        <f t="shared" si="6"/>
        <v>7.6045627376425855E-3</v>
      </c>
      <c r="R48" s="2">
        <f t="shared" si="7"/>
        <v>1.5209125475285171E-2</v>
      </c>
      <c r="S48" s="2">
        <f t="shared" si="8"/>
        <v>3.0418250950570342E-2</v>
      </c>
    </row>
    <row r="49" spans="1:19">
      <c r="A49" s="4">
        <v>68</v>
      </c>
      <c r="B49" s="2" t="s">
        <v>48</v>
      </c>
      <c r="C49" s="2" t="s">
        <v>49</v>
      </c>
      <c r="D49" s="2">
        <v>8</v>
      </c>
      <c r="E49" s="2">
        <v>15.9</v>
      </c>
      <c r="F49" s="4" t="s">
        <v>27</v>
      </c>
      <c r="G49" s="1">
        <v>2</v>
      </c>
      <c r="H49" s="1">
        <v>1</v>
      </c>
      <c r="I49" s="1"/>
      <c r="J49" s="2"/>
      <c r="K49" s="2"/>
      <c r="L49" s="2"/>
      <c r="M49" s="2">
        <f t="shared" si="4"/>
        <v>2</v>
      </c>
      <c r="N49" s="2">
        <v>3</v>
      </c>
      <c r="O49" s="2">
        <v>1.8</v>
      </c>
      <c r="P49" s="2">
        <v>0.2</v>
      </c>
      <c r="Q49" s="13">
        <f t="shared" si="6"/>
        <v>1.1406844106463879E-2</v>
      </c>
      <c r="R49" s="2">
        <f t="shared" si="7"/>
        <v>2.0532319391634982E-2</v>
      </c>
      <c r="S49" s="2">
        <f t="shared" si="8"/>
        <v>2.2813688212927757E-3</v>
      </c>
    </row>
    <row r="50" spans="1:19">
      <c r="A50" s="4">
        <v>21</v>
      </c>
      <c r="B50" s="2" t="s">
        <v>50</v>
      </c>
      <c r="C50" s="2" t="s">
        <v>7</v>
      </c>
      <c r="D50" s="2">
        <v>8</v>
      </c>
      <c r="E50" s="2">
        <v>105</v>
      </c>
      <c r="F50" s="4" t="s">
        <v>27</v>
      </c>
      <c r="G50" s="1">
        <v>2</v>
      </c>
      <c r="H50" s="1">
        <v>1</v>
      </c>
      <c r="I50" s="2"/>
      <c r="J50" s="2"/>
      <c r="K50" s="2"/>
      <c r="L50" s="2"/>
      <c r="M50" s="2">
        <f t="shared" si="4"/>
        <v>2</v>
      </c>
      <c r="N50" s="2">
        <f t="shared" ref="N50:N56" si="9">M50</f>
        <v>2</v>
      </c>
      <c r="O50" s="2">
        <v>8</v>
      </c>
      <c r="P50" s="2">
        <v>-1.5</v>
      </c>
      <c r="Q50" s="13">
        <f t="shared" si="6"/>
        <v>7.6045627376425855E-3</v>
      </c>
      <c r="R50" s="2">
        <f t="shared" si="7"/>
        <v>6.0836501901140684E-2</v>
      </c>
      <c r="S50" s="2">
        <f t="shared" si="8"/>
        <v>-1.1406844106463879E-2</v>
      </c>
    </row>
    <row r="51" spans="1:19">
      <c r="A51" s="8">
        <v>58</v>
      </c>
      <c r="B51" s="2" t="s">
        <v>88</v>
      </c>
      <c r="C51" s="2" t="s">
        <v>89</v>
      </c>
      <c r="D51" s="2">
        <v>8</v>
      </c>
      <c r="E51" s="2">
        <v>308</v>
      </c>
      <c r="F51" s="8" t="s">
        <v>82</v>
      </c>
      <c r="G51" s="1">
        <v>2</v>
      </c>
      <c r="H51" s="1">
        <v>1</v>
      </c>
      <c r="I51" s="2"/>
      <c r="J51" s="2"/>
      <c r="K51" s="2"/>
      <c r="L51" s="2"/>
      <c r="M51" s="2">
        <f t="shared" si="4"/>
        <v>2</v>
      </c>
      <c r="N51" s="2">
        <f t="shared" si="9"/>
        <v>2</v>
      </c>
      <c r="O51" s="2">
        <v>-17</v>
      </c>
      <c r="P51" s="2">
        <v>-7</v>
      </c>
      <c r="Q51" s="13">
        <f t="shared" si="6"/>
        <v>7.6045627376425855E-3</v>
      </c>
      <c r="R51" s="2">
        <f t="shared" si="7"/>
        <v>-0.12927756653992395</v>
      </c>
      <c r="S51" s="2">
        <f t="shared" si="8"/>
        <v>-5.3231939163498096E-2</v>
      </c>
    </row>
    <row r="52" spans="1:19">
      <c r="A52" s="4">
        <v>25</v>
      </c>
      <c r="B52" s="2" t="s">
        <v>52</v>
      </c>
      <c r="C52" s="2" t="s">
        <v>7</v>
      </c>
      <c r="D52" s="2">
        <v>8</v>
      </c>
      <c r="E52" s="2">
        <v>31.2</v>
      </c>
      <c r="F52" s="4" t="s">
        <v>27</v>
      </c>
      <c r="G52" s="1">
        <v>2</v>
      </c>
      <c r="H52" s="1">
        <v>1</v>
      </c>
      <c r="I52" s="2"/>
      <c r="J52" s="2"/>
      <c r="K52" s="2"/>
      <c r="L52" s="2"/>
      <c r="M52" s="2">
        <f t="shared" si="4"/>
        <v>2</v>
      </c>
      <c r="N52" s="2">
        <f t="shared" si="9"/>
        <v>2</v>
      </c>
      <c r="O52" s="2">
        <v>0</v>
      </c>
      <c r="P52" s="2">
        <v>0</v>
      </c>
      <c r="Q52" s="13">
        <f t="shared" si="6"/>
        <v>7.6045627376425855E-3</v>
      </c>
      <c r="R52" s="2">
        <f t="shared" si="7"/>
        <v>0</v>
      </c>
      <c r="S52" s="2">
        <f t="shared" si="8"/>
        <v>0</v>
      </c>
    </row>
    <row r="53" spans="1:19">
      <c r="A53" s="4">
        <v>13</v>
      </c>
      <c r="B53" s="2" t="s">
        <v>62</v>
      </c>
      <c r="C53" s="2" t="s">
        <v>7</v>
      </c>
      <c r="D53" s="2">
        <v>8</v>
      </c>
      <c r="E53" s="2">
        <v>48.7</v>
      </c>
      <c r="F53" s="4" t="s">
        <v>27</v>
      </c>
      <c r="G53" s="1">
        <v>2</v>
      </c>
      <c r="H53" s="1">
        <v>1</v>
      </c>
      <c r="I53" s="2"/>
      <c r="J53" s="2"/>
      <c r="K53" s="2"/>
      <c r="L53" s="2"/>
      <c r="M53" s="2">
        <f t="shared" si="4"/>
        <v>2</v>
      </c>
      <c r="N53" s="2">
        <f t="shared" si="9"/>
        <v>2</v>
      </c>
      <c r="O53" s="2"/>
      <c r="P53" s="2"/>
      <c r="Q53" s="13">
        <f t="shared" si="6"/>
        <v>7.6045627376425855E-3</v>
      </c>
      <c r="R53" s="2">
        <f t="shared" si="7"/>
        <v>0</v>
      </c>
      <c r="S53" s="2">
        <f t="shared" si="8"/>
        <v>0</v>
      </c>
    </row>
    <row r="54" spans="1:19">
      <c r="A54" s="3">
        <v>41</v>
      </c>
      <c r="B54" s="2" t="s">
        <v>21</v>
      </c>
      <c r="C54" s="2" t="s">
        <v>7</v>
      </c>
      <c r="D54" s="2">
        <v>8</v>
      </c>
      <c r="E54" s="2">
        <v>103</v>
      </c>
      <c r="F54" s="3" t="s">
        <v>8</v>
      </c>
      <c r="G54" s="1">
        <v>2</v>
      </c>
      <c r="H54" s="1">
        <v>1</v>
      </c>
      <c r="I54" s="2"/>
      <c r="J54" s="2"/>
      <c r="K54" s="2"/>
      <c r="L54" s="2"/>
      <c r="M54" s="2">
        <f t="shared" si="4"/>
        <v>2</v>
      </c>
      <c r="N54" s="2">
        <f t="shared" si="9"/>
        <v>2</v>
      </c>
      <c r="O54" s="2"/>
      <c r="P54" s="2"/>
      <c r="Q54" s="13">
        <f t="shared" si="6"/>
        <v>7.6045627376425855E-3</v>
      </c>
      <c r="R54" s="2">
        <f t="shared" si="7"/>
        <v>0</v>
      </c>
      <c r="S54" s="2">
        <f t="shared" si="8"/>
        <v>0</v>
      </c>
    </row>
    <row r="55" spans="1:19">
      <c r="A55" s="3">
        <v>53</v>
      </c>
      <c r="B55" s="2" t="s">
        <v>22</v>
      </c>
      <c r="C55" s="2" t="s">
        <v>23</v>
      </c>
      <c r="D55" s="2">
        <v>8</v>
      </c>
      <c r="E55" s="2">
        <v>116</v>
      </c>
      <c r="F55" s="3" t="s">
        <v>8</v>
      </c>
      <c r="G55" s="1">
        <v>2</v>
      </c>
      <c r="H55" s="1">
        <v>1</v>
      </c>
      <c r="I55" s="2"/>
      <c r="J55" s="2"/>
      <c r="K55" s="2"/>
      <c r="L55" s="2"/>
      <c r="M55" s="2">
        <f t="shared" si="4"/>
        <v>2</v>
      </c>
      <c r="N55" s="2">
        <f t="shared" si="9"/>
        <v>2</v>
      </c>
      <c r="O55" s="2"/>
      <c r="P55" s="2"/>
      <c r="Q55" s="13">
        <f t="shared" si="6"/>
        <v>7.6045627376425855E-3</v>
      </c>
      <c r="R55" s="2">
        <f t="shared" si="7"/>
        <v>0</v>
      </c>
      <c r="S55" s="2">
        <f t="shared" si="8"/>
        <v>0</v>
      </c>
    </row>
    <row r="56" spans="1:19">
      <c r="A56" s="4">
        <v>63</v>
      </c>
      <c r="B56" s="2" t="s">
        <v>68</v>
      </c>
      <c r="C56" s="2" t="s">
        <v>7</v>
      </c>
      <c r="D56" s="2">
        <v>8</v>
      </c>
      <c r="E56" s="2">
        <v>41.4</v>
      </c>
      <c r="F56" s="4" t="s">
        <v>27</v>
      </c>
      <c r="G56" s="1">
        <v>2</v>
      </c>
      <c r="H56" s="1">
        <v>1</v>
      </c>
      <c r="I56" s="2"/>
      <c r="J56" s="2"/>
      <c r="K56" s="2"/>
      <c r="L56" s="2"/>
      <c r="M56" s="2">
        <f t="shared" si="4"/>
        <v>2</v>
      </c>
      <c r="N56" s="2">
        <f t="shared" si="9"/>
        <v>2</v>
      </c>
      <c r="O56" s="2"/>
      <c r="P56" s="2"/>
      <c r="Q56" s="13">
        <f t="shared" si="6"/>
        <v>7.6045627376425855E-3</v>
      </c>
      <c r="R56" s="2">
        <f t="shared" si="7"/>
        <v>0</v>
      </c>
      <c r="S56" s="2">
        <f t="shared" si="8"/>
        <v>0</v>
      </c>
    </row>
    <row r="57" spans="1:19">
      <c r="A57" s="4">
        <v>79</v>
      </c>
      <c r="B57" s="2" t="s">
        <v>70</v>
      </c>
      <c r="C57" s="2" t="s">
        <v>71</v>
      </c>
      <c r="D57" s="2">
        <v>8</v>
      </c>
      <c r="E57" s="2">
        <v>70.400000000000006</v>
      </c>
      <c r="F57" s="4" t="s">
        <v>27</v>
      </c>
      <c r="G57" s="1">
        <v>2</v>
      </c>
      <c r="H57" s="1">
        <v>1</v>
      </c>
      <c r="I57" s="2"/>
      <c r="J57" s="2"/>
      <c r="K57" s="2"/>
      <c r="L57" s="2"/>
      <c r="M57" s="2">
        <f t="shared" si="4"/>
        <v>2</v>
      </c>
      <c r="N57" s="2">
        <v>5</v>
      </c>
      <c r="O57" s="2"/>
      <c r="P57" s="2"/>
      <c r="Q57" s="13">
        <f t="shared" si="6"/>
        <v>1.9011406844106463E-2</v>
      </c>
      <c r="R57" s="2">
        <f t="shared" si="7"/>
        <v>0</v>
      </c>
      <c r="S57" s="2">
        <f t="shared" si="8"/>
        <v>0</v>
      </c>
    </row>
    <row r="58" spans="1:19">
      <c r="A58" s="4">
        <v>30</v>
      </c>
      <c r="B58" s="2" t="s">
        <v>26</v>
      </c>
      <c r="C58" s="2" t="s">
        <v>7</v>
      </c>
      <c r="D58" s="2">
        <v>4</v>
      </c>
      <c r="E58" s="2">
        <v>67.8</v>
      </c>
      <c r="F58" s="4" t="s">
        <v>27</v>
      </c>
      <c r="G58" s="1">
        <v>1</v>
      </c>
      <c r="H58" s="1">
        <v>1</v>
      </c>
      <c r="I58" s="2"/>
      <c r="J58" s="2"/>
      <c r="K58" s="2"/>
      <c r="L58" s="2"/>
      <c r="M58" s="2">
        <f t="shared" si="4"/>
        <v>1</v>
      </c>
      <c r="N58" s="2">
        <f t="shared" ref="N58:N81" si="10">M58</f>
        <v>1</v>
      </c>
      <c r="O58" s="2"/>
      <c r="P58" s="2"/>
      <c r="Q58" s="13">
        <f t="shared" si="6"/>
        <v>3.8022813688212928E-3</v>
      </c>
      <c r="R58" s="2">
        <f t="shared" si="7"/>
        <v>0</v>
      </c>
      <c r="S58" s="2">
        <f t="shared" si="8"/>
        <v>0</v>
      </c>
    </row>
    <row r="59" spans="1:19">
      <c r="A59" s="8">
        <v>83</v>
      </c>
      <c r="B59" s="2" t="s">
        <v>81</v>
      </c>
      <c r="C59" s="2" t="s">
        <v>7</v>
      </c>
      <c r="D59" s="2">
        <v>4</v>
      </c>
      <c r="E59" s="2">
        <v>395</v>
      </c>
      <c r="F59" s="8" t="s">
        <v>82</v>
      </c>
      <c r="G59" s="1">
        <v>1</v>
      </c>
      <c r="H59" s="1">
        <v>1</v>
      </c>
      <c r="I59" s="2"/>
      <c r="J59" s="2"/>
      <c r="K59" s="2"/>
      <c r="L59" s="2"/>
      <c r="M59" s="2">
        <f t="shared" si="4"/>
        <v>1</v>
      </c>
      <c r="N59" s="2">
        <f t="shared" si="10"/>
        <v>1</v>
      </c>
      <c r="O59" s="2"/>
      <c r="P59" s="2"/>
      <c r="Q59" s="13">
        <f t="shared" si="6"/>
        <v>3.8022813688212928E-3</v>
      </c>
      <c r="R59" s="2">
        <f t="shared" si="7"/>
        <v>0</v>
      </c>
      <c r="S59" s="2">
        <f t="shared" si="8"/>
        <v>0</v>
      </c>
    </row>
    <row r="60" spans="1:19">
      <c r="A60" s="3">
        <v>52</v>
      </c>
      <c r="B60" s="2" t="s">
        <v>10</v>
      </c>
      <c r="C60" s="2" t="s">
        <v>7</v>
      </c>
      <c r="D60" s="2">
        <v>4</v>
      </c>
      <c r="E60" s="2">
        <v>114</v>
      </c>
      <c r="F60" s="3" t="s">
        <v>8</v>
      </c>
      <c r="G60" s="1">
        <v>1</v>
      </c>
      <c r="H60" s="1">
        <v>1</v>
      </c>
      <c r="I60" s="2"/>
      <c r="J60" s="2"/>
      <c r="K60" s="2"/>
      <c r="L60" s="2"/>
      <c r="M60" s="2">
        <f t="shared" si="4"/>
        <v>1</v>
      </c>
      <c r="N60" s="2">
        <f t="shared" si="10"/>
        <v>1</v>
      </c>
      <c r="O60" s="2"/>
      <c r="P60" s="2"/>
      <c r="Q60" s="13">
        <f t="shared" si="6"/>
        <v>3.8022813688212928E-3</v>
      </c>
      <c r="R60" s="2">
        <f t="shared" si="7"/>
        <v>0</v>
      </c>
      <c r="S60" s="2">
        <f t="shared" si="8"/>
        <v>0</v>
      </c>
    </row>
    <row r="61" spans="1:19">
      <c r="A61" s="4">
        <v>42</v>
      </c>
      <c r="B61" s="2" t="s">
        <v>29</v>
      </c>
      <c r="C61" s="2" t="s">
        <v>7</v>
      </c>
      <c r="D61" s="2">
        <v>4</v>
      </c>
      <c r="E61" s="2">
        <v>137</v>
      </c>
      <c r="F61" s="4" t="s">
        <v>27</v>
      </c>
      <c r="G61" s="1">
        <v>1</v>
      </c>
      <c r="H61" s="1">
        <v>1</v>
      </c>
      <c r="I61" s="2"/>
      <c r="J61" s="2"/>
      <c r="K61" s="2"/>
      <c r="L61" s="2"/>
      <c r="M61" s="2">
        <f t="shared" si="4"/>
        <v>1</v>
      </c>
      <c r="N61" s="2">
        <f t="shared" si="10"/>
        <v>1</v>
      </c>
      <c r="O61" s="2"/>
      <c r="P61" s="2"/>
      <c r="Q61" s="13">
        <f t="shared" si="6"/>
        <v>3.8022813688212928E-3</v>
      </c>
      <c r="R61" s="2">
        <f t="shared" si="7"/>
        <v>0</v>
      </c>
      <c r="S61" s="2">
        <f t="shared" si="8"/>
        <v>0</v>
      </c>
    </row>
    <row r="62" spans="1:19">
      <c r="A62" s="8">
        <v>23</v>
      </c>
      <c r="B62" s="2" t="s">
        <v>83</v>
      </c>
      <c r="C62" s="2" t="s">
        <v>7</v>
      </c>
      <c r="D62" s="2">
        <v>4</v>
      </c>
      <c r="E62" s="2">
        <v>307</v>
      </c>
      <c r="F62" s="8" t="s">
        <v>82</v>
      </c>
      <c r="G62" s="1">
        <v>1</v>
      </c>
      <c r="H62" s="1">
        <v>1</v>
      </c>
      <c r="I62" s="2"/>
      <c r="J62" s="2"/>
      <c r="K62" s="2"/>
      <c r="L62" s="2"/>
      <c r="M62" s="2">
        <f t="shared" si="4"/>
        <v>1</v>
      </c>
      <c r="N62" s="2">
        <f t="shared" si="10"/>
        <v>1</v>
      </c>
      <c r="O62" s="2"/>
      <c r="P62" s="2"/>
      <c r="Q62" s="13">
        <f t="shared" si="6"/>
        <v>3.8022813688212928E-3</v>
      </c>
      <c r="R62" s="2">
        <f t="shared" si="7"/>
        <v>0</v>
      </c>
      <c r="S62" s="2">
        <f t="shared" si="8"/>
        <v>0</v>
      </c>
    </row>
    <row r="63" spans="1:19">
      <c r="A63" s="8">
        <v>4</v>
      </c>
      <c r="B63" s="2" t="s">
        <v>84</v>
      </c>
      <c r="C63" s="2" t="s">
        <v>7</v>
      </c>
      <c r="D63" s="2">
        <v>4</v>
      </c>
      <c r="E63" s="2">
        <v>182</v>
      </c>
      <c r="F63" s="8" t="s">
        <v>82</v>
      </c>
      <c r="G63" s="1">
        <v>1</v>
      </c>
      <c r="H63" s="1">
        <v>1</v>
      </c>
      <c r="I63" s="2"/>
      <c r="J63" s="2"/>
      <c r="K63" s="2"/>
      <c r="L63" s="2"/>
      <c r="M63" s="2">
        <f t="shared" si="4"/>
        <v>1</v>
      </c>
      <c r="N63" s="2">
        <f t="shared" si="10"/>
        <v>1</v>
      </c>
      <c r="O63" s="2"/>
      <c r="P63" s="2"/>
      <c r="Q63" s="13">
        <f t="shared" si="6"/>
        <v>3.8022813688212928E-3</v>
      </c>
      <c r="R63" s="2">
        <f t="shared" si="7"/>
        <v>0</v>
      </c>
      <c r="S63" s="2">
        <f t="shared" si="8"/>
        <v>0</v>
      </c>
    </row>
    <row r="64" spans="1:19">
      <c r="A64" s="3">
        <v>38</v>
      </c>
      <c r="B64" s="2" t="s">
        <v>12</v>
      </c>
      <c r="C64" s="2" t="s">
        <v>7</v>
      </c>
      <c r="D64" s="2">
        <v>4</v>
      </c>
      <c r="E64" s="2">
        <v>194</v>
      </c>
      <c r="F64" s="3" t="s">
        <v>8</v>
      </c>
      <c r="G64" s="1">
        <v>1</v>
      </c>
      <c r="H64" s="1">
        <v>1</v>
      </c>
      <c r="I64" s="2"/>
      <c r="J64" s="2"/>
      <c r="K64" s="2"/>
      <c r="L64" s="2"/>
      <c r="M64" s="2">
        <f t="shared" si="4"/>
        <v>1</v>
      </c>
      <c r="N64" s="2">
        <f t="shared" si="10"/>
        <v>1</v>
      </c>
      <c r="O64" s="2"/>
      <c r="P64" s="2"/>
      <c r="Q64" s="13">
        <f t="shared" si="6"/>
        <v>3.8022813688212928E-3</v>
      </c>
      <c r="R64" s="2">
        <f t="shared" si="7"/>
        <v>0</v>
      </c>
      <c r="S64" s="2">
        <f t="shared" si="8"/>
        <v>0</v>
      </c>
    </row>
    <row r="65" spans="1:19">
      <c r="A65" s="8">
        <v>15</v>
      </c>
      <c r="B65" s="2" t="s">
        <v>85</v>
      </c>
      <c r="C65" s="2" t="s">
        <v>7</v>
      </c>
      <c r="D65" s="2">
        <v>4</v>
      </c>
      <c r="E65" s="2">
        <v>321</v>
      </c>
      <c r="F65" s="8" t="s">
        <v>82</v>
      </c>
      <c r="G65" s="1">
        <v>1</v>
      </c>
      <c r="H65" s="1">
        <v>1</v>
      </c>
      <c r="I65" s="2"/>
      <c r="J65" s="2"/>
      <c r="K65" s="2"/>
      <c r="L65" s="2"/>
      <c r="M65" s="2">
        <f t="shared" si="4"/>
        <v>1</v>
      </c>
      <c r="N65" s="2">
        <f t="shared" si="10"/>
        <v>1</v>
      </c>
      <c r="O65" s="2"/>
      <c r="P65" s="2"/>
      <c r="Q65" s="13">
        <f t="shared" si="6"/>
        <v>3.8022813688212928E-3</v>
      </c>
      <c r="R65" s="2">
        <f t="shared" si="7"/>
        <v>0</v>
      </c>
      <c r="S65" s="2">
        <f t="shared" si="8"/>
        <v>0</v>
      </c>
    </row>
    <row r="66" spans="1:19">
      <c r="A66" s="8">
        <v>50</v>
      </c>
      <c r="B66" s="2" t="s">
        <v>86</v>
      </c>
      <c r="C66" s="2" t="s">
        <v>7</v>
      </c>
      <c r="D66" s="2">
        <v>4</v>
      </c>
      <c r="E66" s="2">
        <v>242</v>
      </c>
      <c r="F66" s="8" t="s">
        <v>82</v>
      </c>
      <c r="G66" s="1">
        <v>1</v>
      </c>
      <c r="H66" s="1">
        <v>1</v>
      </c>
      <c r="I66" s="2"/>
      <c r="J66" s="2"/>
      <c r="K66" s="2"/>
      <c r="L66" s="2"/>
      <c r="M66" s="2">
        <f t="shared" ref="M66:M97" si="11">G66*(H66+I66+J66+K66+L66)</f>
        <v>1</v>
      </c>
      <c r="N66" s="2">
        <f t="shared" si="10"/>
        <v>1</v>
      </c>
      <c r="O66" s="2"/>
      <c r="P66" s="2"/>
      <c r="Q66" s="13">
        <f t="shared" ref="Q66:Q86" si="12">N66/N$87</f>
        <v>3.8022813688212928E-3</v>
      </c>
      <c r="R66" s="2">
        <f t="shared" ref="R66:R97" si="13">O66*Q66</f>
        <v>0</v>
      </c>
      <c r="S66" s="2">
        <f t="shared" ref="S66:S86" si="14">P66*Q66</f>
        <v>0</v>
      </c>
    </row>
    <row r="67" spans="1:19">
      <c r="A67" s="7">
        <v>66</v>
      </c>
      <c r="B67" s="2" t="s">
        <v>76</v>
      </c>
      <c r="C67" s="2" t="s">
        <v>7</v>
      </c>
      <c r="D67" s="2">
        <v>4</v>
      </c>
      <c r="E67" s="2">
        <v>104</v>
      </c>
      <c r="F67" s="7" t="s">
        <v>73</v>
      </c>
      <c r="G67" s="1">
        <v>1</v>
      </c>
      <c r="H67" s="1">
        <v>1</v>
      </c>
      <c r="I67" s="2"/>
      <c r="J67" s="2"/>
      <c r="K67" s="2"/>
      <c r="L67" s="2"/>
      <c r="M67" s="2">
        <f t="shared" si="11"/>
        <v>1</v>
      </c>
      <c r="N67" s="2">
        <f t="shared" si="10"/>
        <v>1</v>
      </c>
      <c r="O67" s="2"/>
      <c r="P67" s="2"/>
      <c r="Q67" s="13">
        <f t="shared" si="12"/>
        <v>3.8022813688212928E-3</v>
      </c>
      <c r="R67" s="2">
        <f t="shared" si="13"/>
        <v>0</v>
      </c>
      <c r="S67" s="2">
        <f t="shared" si="14"/>
        <v>0</v>
      </c>
    </row>
    <row r="68" spans="1:19">
      <c r="A68" s="7">
        <v>67</v>
      </c>
      <c r="B68" s="2" t="s">
        <v>78</v>
      </c>
      <c r="C68" s="2" t="s">
        <v>7</v>
      </c>
      <c r="D68" s="2">
        <v>4</v>
      </c>
      <c r="E68" s="2">
        <v>173</v>
      </c>
      <c r="F68" s="7" t="s">
        <v>73</v>
      </c>
      <c r="G68" s="1">
        <v>1</v>
      </c>
      <c r="H68" s="1">
        <v>1</v>
      </c>
      <c r="I68" s="2"/>
      <c r="J68" s="2"/>
      <c r="K68" s="2"/>
      <c r="L68" s="2"/>
      <c r="M68" s="2">
        <f t="shared" si="11"/>
        <v>1</v>
      </c>
      <c r="N68" s="2">
        <f t="shared" si="10"/>
        <v>1</v>
      </c>
      <c r="O68" s="2"/>
      <c r="P68" s="2"/>
      <c r="Q68" s="13">
        <f t="shared" si="12"/>
        <v>3.8022813688212928E-3</v>
      </c>
      <c r="R68" s="2">
        <f t="shared" si="13"/>
        <v>0</v>
      </c>
      <c r="S68" s="2">
        <f t="shared" si="14"/>
        <v>0</v>
      </c>
    </row>
    <row r="69" spans="1:19">
      <c r="A69" s="4">
        <v>46</v>
      </c>
      <c r="B69" s="2" t="s">
        <v>44</v>
      </c>
      <c r="C69" s="2" t="s">
        <v>7</v>
      </c>
      <c r="D69" s="2">
        <v>4</v>
      </c>
      <c r="E69" s="2">
        <v>151</v>
      </c>
      <c r="F69" s="4" t="s">
        <v>27</v>
      </c>
      <c r="G69" s="1">
        <v>1</v>
      </c>
      <c r="H69" s="1">
        <v>1</v>
      </c>
      <c r="I69" s="2"/>
      <c r="J69" s="2"/>
      <c r="K69" s="2"/>
      <c r="L69" s="2"/>
      <c r="M69" s="2">
        <f t="shared" si="11"/>
        <v>1</v>
      </c>
      <c r="N69" s="2">
        <f t="shared" si="10"/>
        <v>1</v>
      </c>
      <c r="O69" s="2"/>
      <c r="P69" s="2"/>
      <c r="Q69" s="13">
        <f t="shared" si="12"/>
        <v>3.8022813688212928E-3</v>
      </c>
      <c r="R69" s="2">
        <f t="shared" si="13"/>
        <v>0</v>
      </c>
      <c r="S69" s="2">
        <f t="shared" si="14"/>
        <v>0</v>
      </c>
    </row>
    <row r="70" spans="1:19">
      <c r="A70" s="3">
        <v>47</v>
      </c>
      <c r="B70" s="2" t="s">
        <v>16</v>
      </c>
      <c r="C70" s="2" t="s">
        <v>7</v>
      </c>
      <c r="D70" s="2">
        <v>4</v>
      </c>
      <c r="E70" s="2">
        <v>176</v>
      </c>
      <c r="F70" s="3" t="s">
        <v>8</v>
      </c>
      <c r="G70" s="1">
        <v>1</v>
      </c>
      <c r="H70" s="1">
        <v>1</v>
      </c>
      <c r="I70" s="2"/>
      <c r="J70" s="2"/>
      <c r="K70" s="2"/>
      <c r="L70" s="2"/>
      <c r="M70" s="2">
        <f t="shared" si="11"/>
        <v>1</v>
      </c>
      <c r="N70" s="2">
        <f t="shared" si="10"/>
        <v>1</v>
      </c>
      <c r="O70" s="2"/>
      <c r="P70" s="2"/>
      <c r="Q70" s="13">
        <f t="shared" si="12"/>
        <v>3.8022813688212928E-3</v>
      </c>
      <c r="R70" s="2">
        <f t="shared" si="13"/>
        <v>0</v>
      </c>
      <c r="S70" s="2">
        <f t="shared" si="14"/>
        <v>0</v>
      </c>
    </row>
    <row r="71" spans="1:19">
      <c r="A71" s="8">
        <v>76</v>
      </c>
      <c r="B71" s="2" t="s">
        <v>87</v>
      </c>
      <c r="C71" s="2" t="s">
        <v>7</v>
      </c>
      <c r="D71" s="2">
        <v>4</v>
      </c>
      <c r="E71" s="2">
        <v>356</v>
      </c>
      <c r="F71" s="8" t="s">
        <v>82</v>
      </c>
      <c r="G71" s="1">
        <v>1</v>
      </c>
      <c r="H71" s="1">
        <v>1</v>
      </c>
      <c r="I71" s="2"/>
      <c r="J71" s="2"/>
      <c r="K71" s="2"/>
      <c r="L71" s="2"/>
      <c r="M71" s="2">
        <f t="shared" si="11"/>
        <v>1</v>
      </c>
      <c r="N71" s="2">
        <f t="shared" si="10"/>
        <v>1</v>
      </c>
      <c r="O71" s="2"/>
      <c r="P71" s="2"/>
      <c r="Q71" s="13">
        <f t="shared" si="12"/>
        <v>3.8022813688212928E-3</v>
      </c>
      <c r="R71" s="2">
        <f t="shared" si="13"/>
        <v>0</v>
      </c>
      <c r="S71" s="2">
        <f t="shared" si="14"/>
        <v>0</v>
      </c>
    </row>
    <row r="72" spans="1:19">
      <c r="A72" s="8">
        <v>62</v>
      </c>
      <c r="B72" s="2" t="s">
        <v>90</v>
      </c>
      <c r="C72" s="2" t="s">
        <v>7</v>
      </c>
      <c r="D72" s="2">
        <v>4</v>
      </c>
      <c r="E72" s="2">
        <v>406</v>
      </c>
      <c r="F72" s="8" t="s">
        <v>82</v>
      </c>
      <c r="G72" s="1">
        <v>1</v>
      </c>
      <c r="H72" s="1">
        <v>1</v>
      </c>
      <c r="I72" s="2"/>
      <c r="J72" s="2"/>
      <c r="K72" s="2"/>
      <c r="L72" s="2"/>
      <c r="M72" s="2">
        <f t="shared" si="11"/>
        <v>1</v>
      </c>
      <c r="N72" s="2">
        <f t="shared" si="10"/>
        <v>1</v>
      </c>
      <c r="O72" s="2"/>
      <c r="P72" s="2"/>
      <c r="Q72" s="13">
        <f t="shared" si="12"/>
        <v>3.8022813688212928E-3</v>
      </c>
      <c r="R72" s="2">
        <f t="shared" si="13"/>
        <v>0</v>
      </c>
      <c r="S72" s="2">
        <f t="shared" si="14"/>
        <v>0</v>
      </c>
    </row>
    <row r="73" spans="1:19">
      <c r="A73" s="8">
        <v>57</v>
      </c>
      <c r="B73" s="2" t="s">
        <v>91</v>
      </c>
      <c r="C73" s="2" t="s">
        <v>7</v>
      </c>
      <c r="D73" s="2">
        <v>4</v>
      </c>
      <c r="E73" s="2">
        <v>397</v>
      </c>
      <c r="F73" s="8" t="s">
        <v>82</v>
      </c>
      <c r="G73" s="1">
        <v>1</v>
      </c>
      <c r="H73" s="1">
        <v>1</v>
      </c>
      <c r="I73" s="2"/>
      <c r="J73" s="2"/>
      <c r="K73" s="2"/>
      <c r="L73" s="2"/>
      <c r="M73" s="2">
        <f t="shared" si="11"/>
        <v>1</v>
      </c>
      <c r="N73" s="2">
        <f t="shared" si="10"/>
        <v>1</v>
      </c>
      <c r="O73" s="2"/>
      <c r="P73" s="2"/>
      <c r="Q73" s="13">
        <f t="shared" si="12"/>
        <v>3.8022813688212928E-3</v>
      </c>
      <c r="R73" s="2">
        <f t="shared" si="13"/>
        <v>0</v>
      </c>
      <c r="S73" s="2">
        <f t="shared" si="14"/>
        <v>0</v>
      </c>
    </row>
    <row r="74" spans="1:19">
      <c r="A74" s="3">
        <v>31</v>
      </c>
      <c r="B74" s="2" t="s">
        <v>17</v>
      </c>
      <c r="C74" s="2" t="s">
        <v>7</v>
      </c>
      <c r="D74" s="2">
        <v>4</v>
      </c>
      <c r="E74" s="2">
        <v>264</v>
      </c>
      <c r="F74" s="3" t="s">
        <v>8</v>
      </c>
      <c r="G74" s="1">
        <v>1</v>
      </c>
      <c r="H74" s="1">
        <v>1</v>
      </c>
      <c r="I74" s="2"/>
      <c r="J74" s="2"/>
      <c r="K74" s="2"/>
      <c r="L74" s="2"/>
      <c r="M74" s="2">
        <f t="shared" si="11"/>
        <v>1</v>
      </c>
      <c r="N74" s="2">
        <f t="shared" si="10"/>
        <v>1</v>
      </c>
      <c r="O74" s="2"/>
      <c r="P74" s="2"/>
      <c r="Q74" s="13">
        <f t="shared" si="12"/>
        <v>3.8022813688212928E-3</v>
      </c>
      <c r="R74" s="2">
        <f t="shared" si="13"/>
        <v>0</v>
      </c>
      <c r="S74" s="2">
        <f t="shared" si="14"/>
        <v>0</v>
      </c>
    </row>
    <row r="75" spans="1:19">
      <c r="A75" s="3">
        <v>55</v>
      </c>
      <c r="B75" s="2" t="s">
        <v>18</v>
      </c>
      <c r="C75" s="2" t="s">
        <v>7</v>
      </c>
      <c r="D75" s="2">
        <v>4</v>
      </c>
      <c r="E75" s="2">
        <v>197</v>
      </c>
      <c r="F75" s="3" t="s">
        <v>8</v>
      </c>
      <c r="G75" s="1">
        <v>1</v>
      </c>
      <c r="H75" s="1">
        <v>1</v>
      </c>
      <c r="I75" s="2"/>
      <c r="J75" s="2"/>
      <c r="K75" s="2"/>
      <c r="L75" s="2"/>
      <c r="M75" s="2">
        <f t="shared" si="11"/>
        <v>1</v>
      </c>
      <c r="N75" s="2">
        <f t="shared" si="10"/>
        <v>1</v>
      </c>
      <c r="O75" s="2"/>
      <c r="P75" s="2"/>
      <c r="Q75" s="13">
        <f t="shared" si="12"/>
        <v>3.8022813688212928E-3</v>
      </c>
      <c r="R75" s="2">
        <f t="shared" si="13"/>
        <v>0</v>
      </c>
      <c r="S75" s="2">
        <f t="shared" si="14"/>
        <v>0</v>
      </c>
    </row>
    <row r="76" spans="1:19">
      <c r="A76" s="4">
        <v>64</v>
      </c>
      <c r="B76" s="2" t="s">
        <v>58</v>
      </c>
      <c r="C76" s="2" t="s">
        <v>7</v>
      </c>
      <c r="D76" s="2">
        <v>4</v>
      </c>
      <c r="E76" s="2">
        <v>46.2</v>
      </c>
      <c r="F76" s="4" t="s">
        <v>27</v>
      </c>
      <c r="G76" s="1">
        <v>1</v>
      </c>
      <c r="H76" s="1">
        <v>1</v>
      </c>
      <c r="I76" s="2"/>
      <c r="J76" s="2"/>
      <c r="K76" s="2"/>
      <c r="L76" s="2"/>
      <c r="M76" s="2">
        <f t="shared" si="11"/>
        <v>1</v>
      </c>
      <c r="N76" s="2">
        <f t="shared" si="10"/>
        <v>1</v>
      </c>
      <c r="O76" s="2"/>
      <c r="P76" s="2"/>
      <c r="Q76" s="13">
        <f t="shared" si="12"/>
        <v>3.8022813688212928E-3</v>
      </c>
      <c r="R76" s="2">
        <f t="shared" si="13"/>
        <v>0</v>
      </c>
      <c r="S76" s="2">
        <f t="shared" si="14"/>
        <v>0</v>
      </c>
    </row>
    <row r="77" spans="1:19">
      <c r="A77" s="8">
        <v>74</v>
      </c>
      <c r="B77" s="2" t="s">
        <v>93</v>
      </c>
      <c r="C77" s="2" t="s">
        <v>7</v>
      </c>
      <c r="D77" s="2">
        <v>4</v>
      </c>
      <c r="E77" s="2">
        <v>492</v>
      </c>
      <c r="F77" s="8" t="s">
        <v>82</v>
      </c>
      <c r="G77" s="1">
        <v>1</v>
      </c>
      <c r="H77" s="1">
        <v>1</v>
      </c>
      <c r="I77" s="2"/>
      <c r="J77" s="2"/>
      <c r="K77" s="2"/>
      <c r="L77" s="2"/>
      <c r="M77" s="2">
        <f t="shared" si="11"/>
        <v>1</v>
      </c>
      <c r="N77" s="2">
        <f t="shared" si="10"/>
        <v>1</v>
      </c>
      <c r="O77" s="2"/>
      <c r="P77" s="2"/>
      <c r="Q77" s="13">
        <f t="shared" si="12"/>
        <v>3.8022813688212928E-3</v>
      </c>
      <c r="R77" s="2">
        <f t="shared" si="13"/>
        <v>0</v>
      </c>
      <c r="S77" s="2">
        <f t="shared" si="14"/>
        <v>0</v>
      </c>
    </row>
    <row r="78" spans="1:19">
      <c r="A78" s="7">
        <v>32</v>
      </c>
      <c r="B78" s="2" t="s">
        <v>79</v>
      </c>
      <c r="C78" s="2" t="s">
        <v>7</v>
      </c>
      <c r="D78" s="2">
        <v>4</v>
      </c>
      <c r="E78" s="2">
        <v>67.099999999999994</v>
      </c>
      <c r="F78" s="7" t="s">
        <v>73</v>
      </c>
      <c r="G78" s="1">
        <v>1</v>
      </c>
      <c r="H78" s="1">
        <v>1</v>
      </c>
      <c r="I78" s="2"/>
      <c r="J78" s="2"/>
      <c r="K78" s="2"/>
      <c r="L78" s="2"/>
      <c r="M78" s="2">
        <f t="shared" si="11"/>
        <v>1</v>
      </c>
      <c r="N78" s="2">
        <f t="shared" si="10"/>
        <v>1</v>
      </c>
      <c r="O78" s="2"/>
      <c r="P78" s="2"/>
      <c r="Q78" s="13">
        <f t="shared" si="12"/>
        <v>3.8022813688212928E-3</v>
      </c>
      <c r="R78" s="2">
        <f t="shared" si="13"/>
        <v>0</v>
      </c>
      <c r="S78" s="2">
        <f t="shared" si="14"/>
        <v>0</v>
      </c>
    </row>
    <row r="79" spans="1:19">
      <c r="A79" s="4">
        <v>43</v>
      </c>
      <c r="B79" s="2" t="s">
        <v>59</v>
      </c>
      <c r="C79" s="2" t="s">
        <v>7</v>
      </c>
      <c r="D79" s="2">
        <v>4</v>
      </c>
      <c r="E79" s="2">
        <v>124</v>
      </c>
      <c r="F79" s="4" t="s">
        <v>27</v>
      </c>
      <c r="G79" s="1">
        <v>1</v>
      </c>
      <c r="H79" s="1">
        <v>1</v>
      </c>
      <c r="I79" s="2"/>
      <c r="J79" s="2"/>
      <c r="K79" s="2"/>
      <c r="L79" s="2"/>
      <c r="M79" s="2">
        <f t="shared" si="11"/>
        <v>1</v>
      </c>
      <c r="N79" s="2">
        <f t="shared" si="10"/>
        <v>1</v>
      </c>
      <c r="O79" s="2"/>
      <c r="P79" s="2"/>
      <c r="Q79" s="13">
        <f t="shared" si="12"/>
        <v>3.8022813688212928E-3</v>
      </c>
      <c r="R79" s="2">
        <f t="shared" si="13"/>
        <v>0</v>
      </c>
      <c r="S79" s="2">
        <f t="shared" si="14"/>
        <v>0</v>
      </c>
    </row>
    <row r="80" spans="1:19">
      <c r="A80" s="8">
        <v>19</v>
      </c>
      <c r="B80" s="2" t="s">
        <v>94</v>
      </c>
      <c r="C80" s="2" t="s">
        <v>7</v>
      </c>
      <c r="D80" s="2">
        <v>4</v>
      </c>
      <c r="E80" s="2">
        <v>254</v>
      </c>
      <c r="F80" s="8" t="s">
        <v>82</v>
      </c>
      <c r="G80" s="1">
        <v>1</v>
      </c>
      <c r="H80" s="1">
        <v>1</v>
      </c>
      <c r="I80" s="2"/>
      <c r="J80" s="2"/>
      <c r="K80" s="2"/>
      <c r="L80" s="2"/>
      <c r="M80" s="2">
        <f t="shared" si="11"/>
        <v>1</v>
      </c>
      <c r="N80" s="2">
        <f t="shared" si="10"/>
        <v>1</v>
      </c>
      <c r="O80" s="2"/>
      <c r="P80" s="2"/>
      <c r="Q80" s="13">
        <f t="shared" si="12"/>
        <v>3.8022813688212928E-3</v>
      </c>
      <c r="R80" s="2">
        <f t="shared" si="13"/>
        <v>0</v>
      </c>
      <c r="S80" s="2">
        <f t="shared" si="14"/>
        <v>0</v>
      </c>
    </row>
    <row r="81" spans="1:19">
      <c r="A81" s="7">
        <v>75</v>
      </c>
      <c r="B81" s="2" t="s">
        <v>80</v>
      </c>
      <c r="C81" s="2" t="s">
        <v>7</v>
      </c>
      <c r="D81" s="2">
        <v>4</v>
      </c>
      <c r="E81" s="2">
        <v>120</v>
      </c>
      <c r="F81" s="7" t="s">
        <v>73</v>
      </c>
      <c r="G81" s="1">
        <v>1</v>
      </c>
      <c r="H81" s="1">
        <v>1</v>
      </c>
      <c r="I81" s="2"/>
      <c r="J81" s="2"/>
      <c r="K81" s="2"/>
      <c r="L81" s="2"/>
      <c r="M81" s="2">
        <f t="shared" si="11"/>
        <v>1</v>
      </c>
      <c r="N81" s="2">
        <f t="shared" si="10"/>
        <v>1</v>
      </c>
      <c r="O81" s="2"/>
      <c r="P81" s="2"/>
      <c r="Q81" s="13">
        <f t="shared" si="12"/>
        <v>3.8022813688212928E-3</v>
      </c>
      <c r="R81" s="2">
        <f t="shared" si="13"/>
        <v>0</v>
      </c>
      <c r="S81" s="2">
        <f t="shared" si="14"/>
        <v>0</v>
      </c>
    </row>
    <row r="82" spans="1:19">
      <c r="A82" s="7">
        <v>73</v>
      </c>
      <c r="B82" s="2" t="s">
        <v>64</v>
      </c>
      <c r="C82" s="2" t="s">
        <v>7</v>
      </c>
      <c r="D82" s="2">
        <v>4</v>
      </c>
      <c r="E82" s="2">
        <v>192</v>
      </c>
      <c r="F82" s="7" t="s">
        <v>73</v>
      </c>
      <c r="G82" s="1">
        <v>1</v>
      </c>
      <c r="H82" s="1">
        <v>1</v>
      </c>
      <c r="I82" s="2"/>
      <c r="J82" s="2"/>
      <c r="K82" s="2"/>
      <c r="L82" s="2"/>
      <c r="M82" s="2">
        <f t="shared" si="11"/>
        <v>1</v>
      </c>
      <c r="N82" s="2">
        <v>4</v>
      </c>
      <c r="O82" s="2"/>
      <c r="P82" s="2"/>
      <c r="Q82" s="13">
        <f t="shared" si="12"/>
        <v>1.5209125475285171E-2</v>
      </c>
      <c r="R82" s="2">
        <f t="shared" si="13"/>
        <v>0</v>
      </c>
      <c r="S82" s="2">
        <f t="shared" si="14"/>
        <v>0</v>
      </c>
    </row>
    <row r="83" spans="1:19">
      <c r="A83" s="3">
        <v>39</v>
      </c>
      <c r="B83" s="2" t="s">
        <v>20</v>
      </c>
      <c r="C83" s="2" t="s">
        <v>7</v>
      </c>
      <c r="D83" s="2">
        <v>4</v>
      </c>
      <c r="E83" s="2">
        <v>202</v>
      </c>
      <c r="F83" s="3" t="s">
        <v>8</v>
      </c>
      <c r="G83" s="1">
        <v>1</v>
      </c>
      <c r="H83" s="1">
        <v>1</v>
      </c>
      <c r="I83" s="2"/>
      <c r="J83" s="2"/>
      <c r="K83" s="2"/>
      <c r="L83" s="2"/>
      <c r="M83" s="2">
        <f t="shared" si="11"/>
        <v>1</v>
      </c>
      <c r="N83" s="2">
        <f>M83</f>
        <v>1</v>
      </c>
      <c r="O83" s="2"/>
      <c r="P83" s="2"/>
      <c r="Q83" s="13">
        <f t="shared" si="12"/>
        <v>3.8022813688212928E-3</v>
      </c>
      <c r="R83" s="2">
        <f t="shared" si="13"/>
        <v>0</v>
      </c>
      <c r="S83" s="2">
        <f t="shared" si="14"/>
        <v>0</v>
      </c>
    </row>
    <row r="84" spans="1:19">
      <c r="A84" s="4">
        <v>33</v>
      </c>
      <c r="B84" s="2" t="s">
        <v>66</v>
      </c>
      <c r="C84" s="2" t="s">
        <v>7</v>
      </c>
      <c r="D84" s="2">
        <v>4</v>
      </c>
      <c r="E84" s="2">
        <v>189</v>
      </c>
      <c r="F84" s="4" t="s">
        <v>27</v>
      </c>
      <c r="G84" s="1">
        <v>1</v>
      </c>
      <c r="H84" s="1">
        <v>1</v>
      </c>
      <c r="I84" s="2"/>
      <c r="J84" s="2"/>
      <c r="K84" s="2"/>
      <c r="L84" s="2"/>
      <c r="M84" s="2">
        <f t="shared" si="11"/>
        <v>1</v>
      </c>
      <c r="N84" s="2">
        <f>M84</f>
        <v>1</v>
      </c>
      <c r="O84" s="2"/>
      <c r="P84" s="2"/>
      <c r="Q84" s="13">
        <f t="shared" si="12"/>
        <v>3.8022813688212928E-3</v>
      </c>
      <c r="R84" s="2">
        <f t="shared" si="13"/>
        <v>0</v>
      </c>
      <c r="S84" s="2">
        <f t="shared" si="14"/>
        <v>0</v>
      </c>
    </row>
    <row r="85" spans="1:19">
      <c r="A85" s="4">
        <v>45</v>
      </c>
      <c r="B85" s="2" t="s">
        <v>69</v>
      </c>
      <c r="C85" s="2" t="s">
        <v>7</v>
      </c>
      <c r="D85" s="2">
        <v>4</v>
      </c>
      <c r="E85" s="2">
        <v>103</v>
      </c>
      <c r="F85" s="4" t="s">
        <v>27</v>
      </c>
      <c r="G85" s="1">
        <v>1</v>
      </c>
      <c r="H85" s="1">
        <v>1</v>
      </c>
      <c r="I85" s="2"/>
      <c r="J85" s="2"/>
      <c r="K85" s="2"/>
      <c r="L85" s="2"/>
      <c r="M85" s="2">
        <f t="shared" si="11"/>
        <v>1</v>
      </c>
      <c r="N85" s="2">
        <f>M85</f>
        <v>1</v>
      </c>
      <c r="O85" s="2"/>
      <c r="P85" s="2"/>
      <c r="Q85" s="13">
        <f t="shared" si="12"/>
        <v>3.8022813688212928E-3</v>
      </c>
      <c r="R85" s="2">
        <f t="shared" si="13"/>
        <v>0</v>
      </c>
      <c r="S85" s="2">
        <f t="shared" si="14"/>
        <v>0</v>
      </c>
    </row>
    <row r="86" spans="1:19">
      <c r="A86" s="3">
        <v>40</v>
      </c>
      <c r="B86" s="2" t="s">
        <v>25</v>
      </c>
      <c r="C86" s="2" t="s">
        <v>7</v>
      </c>
      <c r="D86" s="2">
        <v>4</v>
      </c>
      <c r="E86" s="2">
        <v>167</v>
      </c>
      <c r="F86" s="3" t="s">
        <v>8</v>
      </c>
      <c r="G86" s="1">
        <v>1</v>
      </c>
      <c r="H86" s="1">
        <v>1</v>
      </c>
      <c r="I86" s="2"/>
      <c r="J86" s="2"/>
      <c r="K86" s="2"/>
      <c r="L86" s="2"/>
      <c r="M86" s="2">
        <f t="shared" si="11"/>
        <v>1</v>
      </c>
      <c r="N86" s="2">
        <f>M86</f>
        <v>1</v>
      </c>
      <c r="O86" s="2"/>
      <c r="P86" s="2"/>
      <c r="Q86" s="13">
        <f t="shared" si="12"/>
        <v>3.8022813688212928E-3</v>
      </c>
      <c r="R86" s="2">
        <f t="shared" si="13"/>
        <v>0</v>
      </c>
      <c r="S86" s="2">
        <f t="shared" si="14"/>
        <v>0</v>
      </c>
    </row>
    <row r="87" spans="1:19">
      <c r="A87" s="11"/>
      <c r="G87" s="10"/>
      <c r="H87" s="10"/>
      <c r="I87" s="10"/>
      <c r="J87" s="10"/>
      <c r="K87" s="10"/>
      <c r="L87" s="10"/>
      <c r="M87" s="10"/>
      <c r="N87" s="12">
        <f>SUM(N2:N86)</f>
        <v>263</v>
      </c>
      <c r="O87" s="10"/>
      <c r="P87" s="10"/>
      <c r="Q87" s="14">
        <f>SUM(Q2:Q86)</f>
        <v>0.99999999999999978</v>
      </c>
      <c r="R87" s="10">
        <f>SUM(R2:R86)</f>
        <v>0.91444866920152079</v>
      </c>
      <c r="S87" s="10">
        <f>SUM(S2:S86)</f>
        <v>-1.0212927756653991</v>
      </c>
    </row>
  </sheetData>
  <autoFilter ref="A1:S86">
    <filterColumn colId="7" showButton="0"/>
    <filterColumn colId="8" showButton="0"/>
    <filterColumn colId="9" showButton="0"/>
    <filterColumn colId="10" showButton="0"/>
    <filterColumn colId="14"/>
    <sortState ref="A2:S87">
      <sortCondition descending="1" ref="D1:D86"/>
    </sortState>
  </autoFilter>
  <mergeCells count="1">
    <mergeCell ref="H1:L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H30" zoomScale="235" zoomScaleNormal="235" workbookViewId="0">
      <selection activeCell="S32" sqref="S32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>
      <selection activeCell="E41" sqref="E41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LOJAS</vt:lpstr>
      <vt:lpstr>MAPA CG</vt:lpstr>
      <vt:lpstr>Plan3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2014-09-23T22:30:17Z</dcterms:created>
  <dcterms:modified xsi:type="dcterms:W3CDTF">2014-09-27T00:09:40Z</dcterms:modified>
</cp:coreProperties>
</file>