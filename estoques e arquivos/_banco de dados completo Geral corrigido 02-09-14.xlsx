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9440" windowHeight="10050" activeTab="3"/>
  </bookViews>
  <sheets>
    <sheet name="BANCO DE DADOS" sheetId="3" r:id="rId1"/>
    <sheet name="LEAD TIME POR CATEGORIA" sheetId="5" r:id="rId2"/>
    <sheet name="Plan3" sheetId="10" r:id="rId3"/>
    <sheet name="Planos de Cont." sheetId="8" r:id="rId4"/>
    <sheet name="Relat. Correções" sheetId="7" r:id="rId5"/>
  </sheets>
  <definedNames>
    <definedName name="_xlnm._FilterDatabase" localSheetId="0" hidden="1">'BANCO DE DADOS'!$A$1:$V$1749</definedName>
    <definedName name="_xlnm._FilterDatabase" localSheetId="3" hidden="1">'Planos de Cont.'!$A$3:$D$3</definedName>
  </definedNames>
  <calcPr calcId="145621"/>
  <pivotCaches>
    <pivotCache cacheId="0" r:id="rId6"/>
  </pivotCaches>
</workbook>
</file>

<file path=xl/calcChain.xml><?xml version="1.0" encoding="utf-8"?>
<calcChain xmlns="http://schemas.openxmlformats.org/spreadsheetml/2006/main">
  <c r="Q777" i="3" l="1"/>
  <c r="Q752" i="3"/>
  <c r="Q677" i="3"/>
  <c r="Q764" i="3"/>
  <c r="Q756" i="3"/>
  <c r="Q824" i="3"/>
  <c r="Q727" i="3"/>
  <c r="Q760" i="3"/>
  <c r="Q830" i="3"/>
  <c r="Q787" i="3"/>
  <c r="Q700" i="3"/>
  <c r="Q645" i="3"/>
  <c r="Q665" i="3"/>
  <c r="Q655" i="3"/>
  <c r="Q687" i="3"/>
  <c r="Q659" i="3"/>
  <c r="Q676" i="3"/>
  <c r="Q680" i="3"/>
  <c r="Q835" i="3"/>
  <c r="Q1178" i="3"/>
  <c r="Q1140" i="3"/>
  <c r="Q1179" i="3"/>
  <c r="Q1246" i="3"/>
  <c r="Q1141" i="3"/>
  <c r="Q1180" i="3"/>
  <c r="Q1182" i="3"/>
  <c r="Q1121" i="3"/>
  <c r="Q1149" i="3"/>
  <c r="Q1181" i="3"/>
  <c r="Q998" i="3"/>
  <c r="Q988" i="3"/>
  <c r="Q867" i="3"/>
  <c r="Q723" i="3"/>
  <c r="Q678" i="3"/>
  <c r="Q819" i="3"/>
  <c r="Q902" i="3"/>
  <c r="Q668" i="3"/>
  <c r="Q840" i="3"/>
  <c r="Q827" i="3"/>
  <c r="Q847" i="3"/>
  <c r="Q864" i="3"/>
  <c r="Q836" i="3"/>
  <c r="Q828" i="3"/>
  <c r="Q793" i="3"/>
  <c r="Q820" i="3"/>
  <c r="Q825" i="3"/>
  <c r="Q889" i="3"/>
  <c r="Q750" i="3"/>
  <c r="Q774" i="3"/>
  <c r="Q801" i="3"/>
  <c r="Q733" i="3"/>
  <c r="Q675" i="3"/>
  <c r="Q694" i="3"/>
  <c r="Q800" i="3"/>
  <c r="Q806" i="3"/>
  <c r="Q745" i="3"/>
  <c r="Q761" i="3"/>
  <c r="Q765" i="3"/>
  <c r="Q673" i="3"/>
  <c r="Q743" i="3"/>
  <c r="O98" i="3"/>
  <c r="O102" i="3"/>
  <c r="O93" i="3"/>
  <c r="O72" i="3"/>
  <c r="O155" i="3"/>
  <c r="O140" i="3"/>
  <c r="O131" i="3"/>
  <c r="O91" i="3"/>
  <c r="O56" i="3"/>
  <c r="O101" i="3"/>
  <c r="O87" i="3"/>
  <c r="O82" i="3"/>
  <c r="O67" i="3"/>
  <c r="O88" i="3"/>
  <c r="O97" i="3"/>
  <c r="O96" i="3"/>
  <c r="O100" i="3"/>
  <c r="O81" i="3"/>
  <c r="O53" i="3"/>
  <c r="O69" i="3"/>
  <c r="O110" i="3"/>
  <c r="O92" i="3"/>
  <c r="O116" i="3"/>
  <c r="O117" i="3"/>
  <c r="O95" i="3"/>
  <c r="O107" i="3"/>
  <c r="O118" i="3"/>
  <c r="O112" i="3"/>
  <c r="O22" i="3"/>
  <c r="O61" i="3"/>
  <c r="O51" i="3"/>
  <c r="O66" i="3"/>
  <c r="O15" i="3"/>
  <c r="O62" i="3"/>
  <c r="O70" i="3"/>
  <c r="O114" i="3"/>
  <c r="O138" i="3"/>
  <c r="O119" i="3"/>
  <c r="O105" i="3"/>
  <c r="O75" i="3"/>
  <c r="O74" i="3"/>
  <c r="O132" i="3"/>
  <c r="O142" i="3"/>
  <c r="O136" i="3"/>
  <c r="O135" i="3"/>
  <c r="O38" i="3"/>
  <c r="O27" i="3"/>
  <c r="O21" i="3"/>
  <c r="O4" i="3"/>
  <c r="O14" i="3"/>
  <c r="O174" i="3"/>
  <c r="O233" i="3"/>
  <c r="O217" i="3"/>
  <c r="O203" i="3"/>
  <c r="O184" i="3"/>
  <c r="O160" i="3"/>
  <c r="O208" i="3"/>
  <c r="O200" i="3"/>
  <c r="O239" i="3"/>
  <c r="O215" i="3"/>
  <c r="O226" i="3"/>
  <c r="O227" i="3"/>
  <c r="O243" i="3"/>
  <c r="O211" i="3"/>
  <c r="O242" i="3"/>
  <c r="O220" i="3"/>
  <c r="O223" i="3"/>
  <c r="O238" i="3"/>
  <c r="O231" i="3"/>
  <c r="O193" i="3"/>
  <c r="O221" i="3"/>
  <c r="O236" i="3"/>
  <c r="O169" i="3"/>
  <c r="O229" i="3"/>
  <c r="O240" i="3"/>
  <c r="O230" i="3"/>
  <c r="O228" i="3"/>
  <c r="O241" i="3"/>
  <c r="O237" i="3"/>
  <c r="O171" i="3"/>
  <c r="O113" i="3"/>
  <c r="O128" i="3"/>
  <c r="O126" i="3"/>
  <c r="O129" i="3"/>
  <c r="O127" i="3"/>
  <c r="O120" i="3"/>
  <c r="O121" i="3"/>
  <c r="O83" i="3"/>
  <c r="O124" i="3"/>
  <c r="O139" i="3"/>
  <c r="O156" i="3"/>
  <c r="O144" i="3"/>
  <c r="O163" i="3"/>
  <c r="O172" i="3"/>
  <c r="O158" i="3"/>
  <c r="O178" i="3"/>
  <c r="O189" i="3"/>
  <c r="O106" i="3"/>
  <c r="O190" i="3"/>
  <c r="O209" i="3"/>
  <c r="O143" i="3"/>
  <c r="O141" i="3"/>
  <c r="O145" i="3"/>
  <c r="O147" i="3"/>
  <c r="O187" i="3"/>
  <c r="O182" i="3"/>
  <c r="O146" i="3"/>
  <c r="O157" i="3"/>
  <c r="O205" i="3"/>
  <c r="O185" i="3"/>
  <c r="O195" i="3"/>
  <c r="O197" i="3"/>
  <c r="O198" i="3"/>
  <c r="O224" i="3"/>
  <c r="O179" i="3"/>
  <c r="O183" i="3"/>
  <c r="O235" i="3"/>
  <c r="O176" i="3"/>
  <c r="O219" i="3"/>
  <c r="O166" i="3"/>
  <c r="O170" i="3"/>
  <c r="O225" i="3"/>
  <c r="O218" i="3"/>
  <c r="O214" i="3"/>
  <c r="O210" i="3"/>
  <c r="O206" i="3"/>
  <c r="O161" i="3"/>
  <c r="O222" i="3"/>
  <c r="O151" i="3"/>
  <c r="O234" i="3"/>
  <c r="O162" i="3"/>
  <c r="O90" i="3"/>
  <c r="O80" i="3"/>
  <c r="O85" i="3"/>
  <c r="O188" i="3"/>
  <c r="O149" i="3"/>
  <c r="O111" i="3"/>
  <c r="O123" i="3"/>
  <c r="O191" i="3"/>
  <c r="O65" i="3"/>
  <c r="O153" i="3"/>
  <c r="O134" i="3"/>
  <c r="O130" i="3"/>
  <c r="O133" i="3"/>
  <c r="O76" i="3"/>
  <c r="O104" i="3"/>
  <c r="O137" i="3"/>
  <c r="O164" i="3"/>
  <c r="O125" i="3"/>
  <c r="O192" i="3"/>
  <c r="O71" i="3"/>
  <c r="O47" i="3"/>
  <c r="O109" i="3"/>
  <c r="O52" i="3"/>
  <c r="O20" i="3"/>
  <c r="O16" i="3"/>
  <c r="O29" i="3"/>
  <c r="O19" i="3"/>
  <c r="O30" i="3"/>
  <c r="O24" i="3"/>
  <c r="O39" i="3"/>
  <c r="O23" i="3"/>
  <c r="O18" i="3"/>
  <c r="O32" i="3"/>
  <c r="O17" i="3"/>
  <c r="O43" i="3"/>
  <c r="O31" i="3"/>
  <c r="O5" i="3"/>
  <c r="O6" i="3"/>
  <c r="O7" i="3"/>
  <c r="O9" i="3"/>
  <c r="O10" i="3"/>
  <c r="O33" i="3"/>
  <c r="O3" i="3"/>
  <c r="O11" i="3"/>
  <c r="O26" i="3"/>
  <c r="O34" i="3"/>
  <c r="O35" i="3"/>
  <c r="O42" i="3"/>
  <c r="O40" i="3"/>
  <c r="O25" i="3"/>
  <c r="O46" i="3"/>
  <c r="O50" i="3"/>
  <c r="O63" i="3"/>
  <c r="O54" i="3"/>
  <c r="O57" i="3"/>
  <c r="O68" i="3"/>
  <c r="O58" i="3"/>
  <c r="O59" i="3"/>
  <c r="O48" i="3"/>
  <c r="O49" i="3"/>
  <c r="O55" i="3"/>
  <c r="O86" i="3"/>
  <c r="O84" i="3"/>
  <c r="O79" i="3"/>
  <c r="O77" i="3"/>
  <c r="O12" i="3"/>
  <c r="O13" i="3"/>
  <c r="O28" i="3"/>
  <c r="O45" i="3"/>
  <c r="O8" i="3"/>
  <c r="O248" i="3"/>
  <c r="O246" i="3"/>
  <c r="O245" i="3"/>
  <c r="O244" i="3"/>
  <c r="O249" i="3"/>
  <c r="O258" i="3"/>
  <c r="O252" i="3"/>
  <c r="O261" i="3"/>
  <c r="O259" i="3"/>
  <c r="O255" i="3"/>
  <c r="O253" i="3"/>
  <c r="O247" i="3"/>
  <c r="O254" i="3"/>
  <c r="O250" i="3"/>
  <c r="O256" i="3"/>
  <c r="O251" i="3"/>
  <c r="O263" i="3"/>
  <c r="O262" i="3"/>
  <c r="O264" i="3"/>
  <c r="O260" i="3"/>
  <c r="O257" i="3"/>
  <c r="O266" i="3"/>
  <c r="O275" i="3"/>
  <c r="O273" i="3"/>
  <c r="O281" i="3"/>
  <c r="O375" i="3"/>
  <c r="O341" i="3"/>
  <c r="O362" i="3"/>
  <c r="O318" i="3"/>
  <c r="O323" i="3"/>
  <c r="O312" i="3"/>
  <c r="O316" i="3"/>
  <c r="O350" i="3"/>
  <c r="O331" i="3"/>
  <c r="O330" i="3"/>
  <c r="O360" i="3"/>
  <c r="O353" i="3"/>
  <c r="O354" i="3"/>
  <c r="O365" i="3"/>
  <c r="O333" i="3"/>
  <c r="O359" i="3"/>
  <c r="O307" i="3"/>
  <c r="O320" i="3"/>
  <c r="O294" i="3"/>
  <c r="O303" i="3"/>
  <c r="O326" i="3"/>
  <c r="O295" i="3"/>
  <c r="O337" i="3"/>
  <c r="O317" i="3"/>
  <c r="O313" i="3"/>
  <c r="O311" i="3"/>
  <c r="O315" i="3"/>
  <c r="O268" i="3"/>
  <c r="O267" i="3"/>
  <c r="O299" i="3"/>
  <c r="O293" i="3"/>
  <c r="O298" i="3"/>
  <c r="O305" i="3"/>
  <c r="O271" i="3"/>
  <c r="O272" i="3"/>
  <c r="O297" i="3"/>
  <c r="O296" i="3"/>
  <c r="O284" i="3"/>
  <c r="O277" i="3"/>
  <c r="O274" i="3"/>
  <c r="O302" i="3"/>
  <c r="O292" i="3"/>
  <c r="O265" i="3"/>
  <c r="O321" i="3"/>
  <c r="O357" i="3"/>
  <c r="O366" i="3"/>
  <c r="O364" i="3"/>
  <c r="O368" i="3"/>
  <c r="O371" i="3"/>
  <c r="O380" i="3"/>
  <c r="O314" i="3"/>
  <c r="O270" i="3"/>
  <c r="O339" i="3"/>
  <c r="O335" i="3"/>
  <c r="O310" i="3"/>
  <c r="O352" i="3"/>
  <c r="O332" i="3"/>
  <c r="O345" i="3"/>
  <c r="O346" i="3"/>
  <c r="O355" i="3"/>
  <c r="O348" i="3"/>
  <c r="O349" i="3"/>
  <c r="O290" i="3"/>
  <c r="O283" i="3"/>
  <c r="O289" i="3"/>
  <c r="O291" i="3"/>
  <c r="O334" i="3"/>
  <c r="O340" i="3"/>
  <c r="O325" i="3"/>
  <c r="O328" i="3"/>
  <c r="O367" i="3"/>
  <c r="O369" i="3"/>
  <c r="O358" i="3"/>
  <c r="O361" i="3"/>
  <c r="O373" i="3"/>
  <c r="O376" i="3"/>
  <c r="O377" i="3"/>
  <c r="O379" i="3"/>
  <c r="O372" i="3"/>
  <c r="O374" i="3"/>
  <c r="O370" i="3"/>
  <c r="O378" i="3"/>
  <c r="O338" i="3"/>
  <c r="O344" i="3"/>
  <c r="O278" i="3"/>
  <c r="O322" i="3"/>
  <c r="O324" i="3"/>
  <c r="O336" i="3"/>
  <c r="O327" i="3"/>
  <c r="O288" i="3"/>
  <c r="O319" i="3"/>
  <c r="O347" i="3"/>
  <c r="O279" i="3"/>
  <c r="O356" i="3"/>
  <c r="O342" i="3"/>
  <c r="O301" i="3"/>
  <c r="O363" i="3"/>
  <c r="O304" i="3"/>
  <c r="O351" i="3"/>
  <c r="O329" i="3"/>
  <c r="O343" i="3"/>
  <c r="O300" i="3"/>
  <c r="O282" i="3"/>
  <c r="O285" i="3"/>
  <c r="O280" i="3"/>
  <c r="O286" i="3"/>
  <c r="O306" i="3"/>
  <c r="O309" i="3"/>
  <c r="O287" i="3"/>
  <c r="O276" i="3"/>
  <c r="O269" i="3"/>
  <c r="O308" i="3"/>
  <c r="O432" i="3"/>
  <c r="O439" i="3"/>
  <c r="O437" i="3"/>
  <c r="O436" i="3"/>
  <c r="O427" i="3"/>
  <c r="O440" i="3"/>
  <c r="O416" i="3"/>
  <c r="O415" i="3"/>
  <c r="O442" i="3"/>
  <c r="O417" i="3"/>
  <c r="O414" i="3"/>
  <c r="O434" i="3"/>
  <c r="O424" i="3"/>
  <c r="O438" i="3"/>
  <c r="O445" i="3"/>
  <c r="O446" i="3"/>
  <c r="O441" i="3"/>
  <c r="O406" i="3"/>
  <c r="O426" i="3"/>
  <c r="O411" i="3"/>
  <c r="O381" i="3"/>
  <c r="O410" i="3"/>
  <c r="O386" i="3"/>
  <c r="O407" i="3"/>
  <c r="O389" i="3"/>
  <c r="O383" i="3"/>
  <c r="O397" i="3"/>
  <c r="O388" i="3"/>
  <c r="O392" i="3"/>
  <c r="O395" i="3"/>
  <c r="O382" i="3"/>
  <c r="O393" i="3"/>
  <c r="O385" i="3"/>
  <c r="O384" i="3"/>
  <c r="O387" i="3"/>
  <c r="O425" i="3"/>
  <c r="O435" i="3"/>
  <c r="O412" i="3"/>
  <c r="O443" i="3"/>
  <c r="O444" i="3"/>
  <c r="O418" i="3"/>
  <c r="O423" i="3"/>
  <c r="O433" i="3"/>
  <c r="O428" i="3"/>
  <c r="O430" i="3"/>
  <c r="O429" i="3"/>
  <c r="O448" i="3"/>
  <c r="O449" i="3"/>
  <c r="O455" i="3"/>
  <c r="O469" i="3"/>
  <c r="O451" i="3"/>
  <c r="O453" i="3"/>
  <c r="O456" i="3"/>
  <c r="O457" i="3"/>
  <c r="O452" i="3"/>
  <c r="O450" i="3"/>
  <c r="O471" i="3"/>
  <c r="O463" i="3"/>
  <c r="O462" i="3"/>
  <c r="O465" i="3"/>
  <c r="O466" i="3"/>
  <c r="O467" i="3"/>
  <c r="O464" i="3"/>
  <c r="O461" i="3"/>
  <c r="O454" i="3"/>
  <c r="O458" i="3"/>
  <c r="O470" i="3"/>
  <c r="O468" i="3"/>
  <c r="O447" i="3"/>
  <c r="O459" i="3"/>
  <c r="O460" i="3"/>
  <c r="O419" i="3"/>
  <c r="O390" i="3"/>
  <c r="O420" i="3"/>
  <c r="O413" i="3"/>
  <c r="O408" i="3"/>
  <c r="O431" i="3"/>
  <c r="O421" i="3"/>
  <c r="O399" i="3"/>
  <c r="O401" i="3"/>
  <c r="O422" i="3"/>
  <c r="O403" i="3"/>
  <c r="O409" i="3"/>
  <c r="O391" i="3"/>
  <c r="O396" i="3"/>
  <c r="O398" i="3"/>
  <c r="O394" i="3"/>
  <c r="O400" i="3"/>
  <c r="O402" i="3"/>
  <c r="O404" i="3"/>
  <c r="O405" i="3"/>
  <c r="O524" i="3"/>
  <c r="O472" i="3"/>
  <c r="O474" i="3"/>
  <c r="O483" i="3"/>
  <c r="O476" i="3"/>
  <c r="O492" i="3"/>
  <c r="O480" i="3"/>
  <c r="O486" i="3"/>
  <c r="O487" i="3"/>
  <c r="O497" i="3"/>
  <c r="O484" i="3"/>
  <c r="O502" i="3"/>
  <c r="O496" i="3"/>
  <c r="O477" i="3"/>
  <c r="O479" i="3"/>
  <c r="O482" i="3"/>
  <c r="O511" i="3"/>
  <c r="O494" i="3"/>
  <c r="O499" i="3"/>
  <c r="O500" i="3"/>
  <c r="O509" i="3"/>
  <c r="O473" i="3"/>
  <c r="O539" i="3"/>
  <c r="O519" i="3"/>
  <c r="O540" i="3"/>
  <c r="O542" i="3"/>
  <c r="O531" i="3"/>
  <c r="O549" i="3"/>
  <c r="O538" i="3"/>
  <c r="O527" i="3"/>
  <c r="O526" i="3"/>
  <c r="O525" i="3"/>
  <c r="O533" i="3"/>
  <c r="O529" i="3"/>
  <c r="O592" i="3"/>
  <c r="O598" i="3"/>
  <c r="O560" i="3"/>
  <c r="O544" i="3"/>
  <c r="O515" i="3"/>
  <c r="O517" i="3"/>
  <c r="O520" i="3"/>
  <c r="O537" i="3"/>
  <c r="O534" i="3"/>
  <c r="O522" i="3"/>
  <c r="O523" i="3"/>
  <c r="O536" i="3"/>
  <c r="O518" i="3"/>
  <c r="O512" i="3"/>
  <c r="O501" i="3"/>
  <c r="O505" i="3"/>
  <c r="O532" i="3"/>
  <c r="O597" i="3"/>
  <c r="O566" i="3"/>
  <c r="O553" i="3"/>
  <c r="O596" i="3"/>
  <c r="O579" i="3"/>
  <c r="O514" i="3"/>
  <c r="O516" i="3"/>
  <c r="O521" i="3"/>
  <c r="O488" i="3"/>
  <c r="O562" i="3"/>
  <c r="O564" i="3"/>
  <c r="O567" i="3"/>
  <c r="O570" i="3"/>
  <c r="O559" i="3"/>
  <c r="O606" i="3"/>
  <c r="O554" i="3"/>
  <c r="O541" i="3"/>
  <c r="O545" i="3"/>
  <c r="O610" i="3"/>
  <c r="O558" i="3"/>
  <c r="O546" i="3"/>
  <c r="O565" i="3"/>
  <c r="O568" i="3"/>
  <c r="O561" i="3"/>
  <c r="O478" i="3"/>
  <c r="O508" i="3"/>
  <c r="O485" i="3"/>
  <c r="O489" i="3"/>
  <c r="O563" i="3"/>
  <c r="O578" i="3"/>
  <c r="O593" i="3"/>
  <c r="O599" i="3"/>
  <c r="O576" i="3"/>
  <c r="O572" i="3"/>
  <c r="O587" i="3"/>
  <c r="O591" i="3"/>
  <c r="O584" i="3"/>
  <c r="O585" i="3"/>
  <c r="O615" i="3"/>
  <c r="O608" i="3"/>
  <c r="O594" i="3"/>
  <c r="O506" i="3"/>
  <c r="O614" i="3"/>
  <c r="O616" i="3"/>
  <c r="O619" i="3"/>
  <c r="O625" i="3"/>
  <c r="O621" i="3"/>
  <c r="O603" i="3"/>
  <c r="O624" i="3"/>
  <c r="O588" i="3"/>
  <c r="O595" i="3"/>
  <c r="O557" i="3"/>
  <c r="O604" i="3"/>
  <c r="O602" i="3"/>
  <c r="O583" i="3"/>
  <c r="O491" i="3"/>
  <c r="O498" i="3"/>
  <c r="O503" i="3"/>
  <c r="O507" i="3"/>
  <c r="O475" i="3"/>
  <c r="O495" i="3"/>
  <c r="O556" i="3"/>
  <c r="O550" i="3"/>
  <c r="O551" i="3"/>
  <c r="O555" i="3"/>
  <c r="O528" i="3"/>
  <c r="O547" i="3"/>
  <c r="O605" i="3"/>
  <c r="O589" i="3"/>
  <c r="O613" i="3"/>
  <c r="O617" i="3"/>
  <c r="O611" i="3"/>
  <c r="O618" i="3"/>
  <c r="O612" i="3"/>
  <c r="O609" i="3"/>
  <c r="O600" i="3"/>
  <c r="O580" i="3"/>
  <c r="O571" i="3"/>
  <c r="O590" i="3"/>
  <c r="O575" i="3"/>
  <c r="O543" i="3"/>
  <c r="O510" i="3"/>
  <c r="O490" i="3"/>
  <c r="O493" i="3"/>
  <c r="O607" i="3"/>
  <c r="O601" i="3"/>
  <c r="O552" i="3"/>
  <c r="O548" i="3"/>
  <c r="O481" i="3"/>
  <c r="O504" i="3"/>
  <c r="O620" i="3"/>
  <c r="O623" i="3"/>
  <c r="O622" i="3"/>
  <c r="O626" i="3"/>
  <c r="O627" i="3"/>
  <c r="O535" i="3"/>
  <c r="O530" i="3"/>
  <c r="O513" i="3"/>
  <c r="O581" i="3"/>
  <c r="O586" i="3"/>
  <c r="O582" i="3"/>
  <c r="O573" i="3"/>
  <c r="O569" i="3"/>
  <c r="O577" i="3"/>
  <c r="O574" i="3"/>
  <c r="O1339" i="3"/>
  <c r="O1060" i="3"/>
  <c r="O1080" i="3"/>
  <c r="O1046" i="3"/>
  <c r="O1067" i="3"/>
  <c r="O1052" i="3"/>
  <c r="O1063" i="3"/>
  <c r="O1172" i="3"/>
  <c r="O1226" i="3"/>
  <c r="O1114" i="3"/>
  <c r="O1213" i="3"/>
  <c r="O1205" i="3"/>
  <c r="O1166" i="3"/>
  <c r="O1187" i="3"/>
  <c r="O1196" i="3"/>
  <c r="O1211" i="3"/>
  <c r="O1229" i="3"/>
  <c r="O1231" i="3"/>
  <c r="O1207" i="3"/>
  <c r="O1212" i="3"/>
  <c r="O1190" i="3"/>
  <c r="O1233" i="3"/>
  <c r="O1169" i="3"/>
  <c r="O1264" i="3"/>
  <c r="O1249" i="3"/>
  <c r="O1234" i="3"/>
  <c r="O1188" i="3"/>
  <c r="O1238" i="3"/>
  <c r="O1245" i="3"/>
  <c r="O1247" i="3"/>
  <c r="O1282" i="3"/>
  <c r="O1210" i="3"/>
  <c r="O1259" i="3"/>
  <c r="O1225" i="3"/>
  <c r="O1236" i="3"/>
  <c r="O1159" i="3"/>
  <c r="O1156" i="3"/>
  <c r="O1186" i="3"/>
  <c r="O1224" i="3"/>
  <c r="O1258" i="3"/>
  <c r="O1228" i="3"/>
  <c r="O1157" i="3"/>
  <c r="O1123" i="3"/>
  <c r="O1077" i="3"/>
  <c r="O1297" i="3"/>
  <c r="O1289" i="3"/>
  <c r="O1283" i="3"/>
  <c r="O1275" i="3"/>
  <c r="O1276" i="3"/>
  <c r="O1284" i="3"/>
  <c r="O1244" i="3"/>
  <c r="O1295" i="3"/>
  <c r="O1167" i="3"/>
  <c r="O1265" i="3"/>
  <c r="O965" i="3"/>
  <c r="O1142" i="3"/>
  <c r="O1232" i="3"/>
  <c r="O1294" i="3"/>
  <c r="O1158" i="3"/>
  <c r="O1214" i="3"/>
  <c r="O1239" i="3"/>
  <c r="O1189" i="3"/>
  <c r="O1170" i="3"/>
  <c r="O1192" i="3"/>
  <c r="O1343" i="3"/>
  <c r="O1256" i="3"/>
  <c r="O1081" i="3"/>
  <c r="O1329" i="3"/>
  <c r="O1330" i="3"/>
  <c r="O1277" i="3"/>
  <c r="O1257" i="3"/>
  <c r="O1129" i="3"/>
  <c r="O1354" i="3"/>
  <c r="O1355" i="3"/>
  <c r="O1209" i="3"/>
  <c r="O1153" i="3"/>
  <c r="O1296" i="3"/>
  <c r="O1086" i="3"/>
  <c r="O1221" i="3"/>
  <c r="O1222" i="3"/>
  <c r="O1223" i="3"/>
  <c r="O1298" i="3"/>
  <c r="O1349" i="3"/>
  <c r="O1350" i="3"/>
  <c r="O1323" i="3"/>
  <c r="O1332" i="3"/>
  <c r="O1333" i="3"/>
  <c r="O1334" i="3"/>
  <c r="O1335" i="3"/>
  <c r="O1356" i="3"/>
  <c r="O1303" i="3"/>
  <c r="O1304" i="3"/>
  <c r="O1299" i="3"/>
  <c r="O1300" i="3"/>
  <c r="O1301" i="3"/>
  <c r="O1302" i="3"/>
  <c r="O1305" i="3"/>
  <c r="O1147" i="3"/>
  <c r="O1290" i="3"/>
  <c r="O1340" i="3"/>
  <c r="O1268" i="3"/>
  <c r="O1269" i="3"/>
  <c r="O1270" i="3"/>
  <c r="O1337" i="3"/>
  <c r="O1324" i="3"/>
  <c r="O1336" i="3"/>
  <c r="O1357" i="3"/>
  <c r="O1358" i="3"/>
  <c r="O1359" i="3"/>
  <c r="O1307" i="3"/>
  <c r="O1308" i="3"/>
  <c r="O1309" i="3"/>
  <c r="O1319" i="3"/>
  <c r="O1287" i="3"/>
  <c r="O1242" i="3"/>
  <c r="O1352" i="3"/>
  <c r="O1353" i="3"/>
  <c r="O1266" i="3"/>
  <c r="O1326" i="3"/>
  <c r="O1320" i="3"/>
  <c r="O1321" i="3"/>
  <c r="O1341" i="3"/>
  <c r="O1079" i="3"/>
  <c r="O1346" i="3"/>
  <c r="O1347" i="3"/>
  <c r="O1348" i="3"/>
  <c r="O1342" i="3"/>
  <c r="O1322" i="3"/>
  <c r="O1291" i="3"/>
  <c r="O1344" i="3"/>
  <c r="O679" i="3"/>
  <c r="O1033" i="3"/>
  <c r="O1048" i="3"/>
  <c r="O1049" i="3"/>
  <c r="O1050" i="3"/>
  <c r="O1054" i="3"/>
  <c r="O907" i="3"/>
  <c r="O1006" i="3"/>
  <c r="O986" i="3"/>
  <c r="O866" i="3"/>
  <c r="O1062" i="3"/>
  <c r="O684" i="3"/>
  <c r="O690" i="3"/>
  <c r="O721" i="3"/>
  <c r="O778" i="3"/>
  <c r="O714" i="3"/>
  <c r="O754" i="3"/>
  <c r="O729" i="3"/>
  <c r="O741" i="3"/>
  <c r="O710" i="3"/>
  <c r="O726" i="3"/>
  <c r="O683" i="3"/>
  <c r="O1084" i="3"/>
  <c r="O1095" i="3"/>
  <c r="O1191" i="3"/>
  <c r="O1064" i="3"/>
  <c r="O1023" i="3"/>
  <c r="O1059" i="3"/>
  <c r="O1099" i="3"/>
  <c r="O1051" i="3"/>
  <c r="O1102" i="3"/>
  <c r="O1027" i="3"/>
  <c r="O1010" i="3"/>
  <c r="O1088" i="3"/>
  <c r="O1130" i="3"/>
  <c r="O1061" i="3"/>
  <c r="O812" i="3"/>
  <c r="O796" i="3"/>
  <c r="O753" i="3"/>
  <c r="O757" i="3"/>
  <c r="O667" i="3"/>
  <c r="O661" i="3"/>
  <c r="O654" i="3"/>
  <c r="O663" i="3"/>
  <c r="O656" i="3"/>
  <c r="O695" i="3"/>
  <c r="O924" i="3"/>
  <c r="O891" i="3"/>
  <c r="O976" i="3"/>
  <c r="O977" i="3"/>
  <c r="O1032" i="3"/>
  <c r="O989" i="3"/>
  <c r="O692" i="3"/>
  <c r="O842" i="3"/>
  <c r="O813" i="3"/>
  <c r="O814" i="3"/>
  <c r="O689" i="3"/>
  <c r="O711" i="3"/>
  <c r="O671" i="3"/>
  <c r="O691" i="3"/>
  <c r="O669" i="3"/>
  <c r="O709" i="3"/>
  <c r="O713" i="3"/>
  <c r="O728" i="3"/>
  <c r="O979" i="3"/>
  <c r="O899" i="3"/>
  <c r="O1230" i="3"/>
  <c r="O1160" i="3"/>
  <c r="O1008" i="3"/>
  <c r="O934" i="3"/>
  <c r="O935" i="3"/>
  <c r="O927" i="3"/>
  <c r="O928" i="3"/>
  <c r="O929" i="3"/>
  <c r="O930" i="3"/>
  <c r="O918" i="3"/>
  <c r="O919" i="3"/>
  <c r="O920" i="3"/>
  <c r="O945" i="3"/>
  <c r="O946" i="3"/>
  <c r="O947" i="3"/>
  <c r="O936" i="3"/>
  <c r="O937" i="3"/>
  <c r="O938" i="3"/>
  <c r="O939" i="3"/>
  <c r="O952" i="3"/>
  <c r="O948" i="3"/>
  <c r="O949" i="3"/>
  <c r="O950" i="3"/>
  <c r="O747" i="3"/>
  <c r="O791" i="3"/>
  <c r="O685" i="3"/>
  <c r="O702" i="3"/>
  <c r="O704" i="3"/>
  <c r="O715" i="3"/>
  <c r="O697" i="3"/>
  <c r="O734" i="3"/>
  <c r="O716" i="3"/>
  <c r="O698" i="3"/>
  <c r="O735" i="3"/>
  <c r="O736" i="3"/>
  <c r="O708" i="3"/>
  <c r="O653" i="3"/>
  <c r="O980" i="3"/>
  <c r="O966" i="3"/>
  <c r="O999" i="3"/>
  <c r="O1009" i="3"/>
  <c r="O958" i="3"/>
  <c r="O981" i="3"/>
  <c r="O1002" i="3"/>
  <c r="O1047" i="3"/>
  <c r="O962" i="3"/>
  <c r="O994" i="3"/>
  <c r="O973" i="3"/>
  <c r="O995" i="3"/>
  <c r="O974" i="3"/>
  <c r="O1001" i="3"/>
  <c r="O961" i="3"/>
  <c r="O1020" i="3"/>
  <c r="O1021" i="3"/>
  <c r="O1026" i="3"/>
  <c r="O1007" i="3"/>
  <c r="O1003" i="3"/>
  <c r="O1015" i="3"/>
  <c r="O1016" i="3"/>
  <c r="O1069" i="3"/>
  <c r="O861" i="3"/>
  <c r="O879" i="3"/>
  <c r="O900" i="3"/>
  <c r="O940" i="3"/>
  <c r="O841" i="3"/>
  <c r="O857" i="3"/>
  <c r="O859" i="3"/>
  <c r="O815" i="3"/>
  <c r="O803" i="3"/>
  <c r="O762" i="3"/>
  <c r="O880" i="3"/>
  <c r="O860" i="3"/>
  <c r="O972" i="3"/>
  <c r="O797" i="3"/>
  <c r="O808" i="3"/>
  <c r="O914" i="3"/>
  <c r="O915" i="3"/>
  <c r="O953" i="3"/>
  <c r="O951" i="3"/>
  <c r="O916" i="3"/>
  <c r="O881" i="3"/>
  <c r="O885" i="3"/>
  <c r="O882" i="3"/>
  <c r="O755" i="3"/>
  <c r="O854" i="3"/>
  <c r="O894" i="3"/>
  <c r="O816" i="3"/>
  <c r="O1151" i="3"/>
  <c r="O725" i="3"/>
  <c r="O910" i="3"/>
  <c r="O730" i="3"/>
  <c r="O905" i="3"/>
  <c r="O896" i="3"/>
  <c r="O993" i="3"/>
  <c r="O751" i="3"/>
  <c r="O737" i="3"/>
  <c r="O769" i="3"/>
  <c r="O779" i="3"/>
  <c r="O845" i="3"/>
  <c r="O1039" i="3"/>
  <c r="O1022" i="3"/>
  <c r="O1024" i="3"/>
  <c r="O644" i="3"/>
  <c r="O1040" i="3"/>
  <c r="O955" i="3"/>
  <c r="O959" i="3"/>
  <c r="O921" i="3"/>
  <c r="O858" i="3"/>
  <c r="O873" i="3"/>
  <c r="O933" i="3"/>
  <c r="O960" i="3"/>
  <c r="O878" i="3"/>
  <c r="O1076" i="3"/>
  <c r="O1310" i="3"/>
  <c r="O1325" i="3"/>
  <c r="O1345" i="3"/>
  <c r="O1267" i="3"/>
  <c r="O1235" i="3"/>
  <c r="O1338" i="3"/>
  <c r="O1312" i="3"/>
  <c r="O1327" i="3"/>
  <c r="O1288" i="3"/>
  <c r="O1216" i="3"/>
  <c r="O1137" i="3"/>
  <c r="O1183" i="3"/>
  <c r="O1126" i="3"/>
  <c r="O1119" i="3"/>
  <c r="O1127" i="3"/>
  <c r="O1150" i="3"/>
  <c r="O1100" i="3"/>
  <c r="O1101" i="3"/>
  <c r="O1117" i="3"/>
  <c r="O1118" i="3"/>
  <c r="O1184" i="3"/>
  <c r="O1073" i="3"/>
  <c r="O1074" i="3"/>
  <c r="O1075" i="3"/>
  <c r="O664" i="3"/>
  <c r="O992" i="3"/>
  <c r="O652" i="3"/>
  <c r="O638" i="3"/>
  <c r="O775" i="3"/>
  <c r="O792" i="3"/>
  <c r="O786" i="3"/>
  <c r="O776" i="3"/>
  <c r="O922" i="3"/>
  <c r="O628" i="3"/>
  <c r="O957" i="3"/>
  <c r="O766" i="3"/>
  <c r="O767" i="3"/>
  <c r="O1068" i="3"/>
  <c r="O641" i="3"/>
  <c r="O1058" i="3"/>
  <c r="O772" i="3"/>
  <c r="O944" i="3"/>
  <c r="O1093" i="3"/>
  <c r="O1017" i="3"/>
  <c r="O1090" i="3"/>
  <c r="O1132" i="3"/>
  <c r="O890" i="3"/>
  <c r="O897" i="3"/>
  <c r="O1031" i="3"/>
  <c r="O1078" i="3"/>
  <c r="O1110" i="3"/>
  <c r="O1111" i="3"/>
  <c r="O1243" i="3"/>
  <c r="O1171" i="3"/>
  <c r="O1128" i="3"/>
  <c r="O633" i="3"/>
  <c r="O903" i="3"/>
  <c r="O869" i="3"/>
  <c r="O931" i="3"/>
  <c r="O985" i="3"/>
  <c r="O1096" i="3"/>
  <c r="O1082" i="3"/>
  <c r="O904" i="3"/>
  <c r="O932" i="3"/>
  <c r="O1000" i="3"/>
  <c r="O731" i="3"/>
  <c r="O1097" i="3"/>
  <c r="O908" i="3"/>
  <c r="O699" i="3"/>
  <c r="O1065" i="3"/>
  <c r="O798" i="3"/>
  <c r="O1012" i="3"/>
  <c r="O780" i="3"/>
  <c r="O795" i="3"/>
  <c r="O799" i="3"/>
  <c r="O844" i="3"/>
  <c r="O773" i="3"/>
  <c r="O987" i="3"/>
  <c r="O1165" i="3"/>
  <c r="O886" i="3"/>
  <c r="O887" i="3"/>
  <c r="O901" i="3"/>
  <c r="O963" i="3"/>
  <c r="O941" i="3"/>
  <c r="O917" i="3"/>
  <c r="O892" i="3"/>
  <c r="O1034" i="3"/>
  <c r="O1011" i="3"/>
  <c r="O925" i="3"/>
  <c r="O837" i="3"/>
  <c r="O982" i="3"/>
  <c r="O1217" i="3"/>
  <c r="O632" i="3"/>
  <c r="O640" i="3"/>
  <c r="O788" i="3"/>
  <c r="O1162" i="3"/>
  <c r="O967" i="3"/>
  <c r="O639" i="3"/>
  <c r="O1163" i="3"/>
  <c r="O1193" i="3"/>
  <c r="O646" i="3"/>
  <c r="O1104" i="3"/>
  <c r="O1133" i="3"/>
  <c r="O1025" i="3"/>
  <c r="O1036" i="3"/>
  <c r="O740" i="3"/>
  <c r="O785" i="3"/>
  <c r="O705" i="3"/>
  <c r="O1251" i="3"/>
  <c r="O789" i="3"/>
  <c r="O851" i="3"/>
  <c r="O749" i="3"/>
  <c r="O888" i="3"/>
  <c r="O821" i="3"/>
  <c r="O898" i="3"/>
  <c r="O849" i="3"/>
  <c r="O1208" i="3"/>
  <c r="O1197" i="3"/>
  <c r="O850" i="3"/>
  <c r="O660" i="3"/>
  <c r="O693" i="3"/>
  <c r="O682" i="3"/>
  <c r="O991" i="3"/>
  <c r="O782" i="3"/>
  <c r="O706" i="3"/>
  <c r="O833" i="3"/>
  <c r="O744" i="3"/>
  <c r="O1227" i="3"/>
  <c r="O688" i="3"/>
  <c r="O783" i="3"/>
  <c r="O1194" i="3"/>
  <c r="O738" i="3"/>
  <c r="O662" i="3"/>
  <c r="O804" i="3"/>
  <c r="O686" i="3"/>
  <c r="O674" i="3"/>
  <c r="O703" i="3"/>
  <c r="O832" i="3"/>
  <c r="O794" i="3"/>
  <c r="O1055" i="3"/>
  <c r="O874" i="3"/>
  <c r="O855" i="3"/>
  <c r="O865" i="3"/>
  <c r="O872" i="3"/>
  <c r="O742" i="3"/>
  <c r="O681" i="3"/>
  <c r="O672" i="3"/>
  <c r="O834" i="3"/>
  <c r="O895" i="3"/>
  <c r="O883" i="3"/>
  <c r="O862" i="3"/>
  <c r="O696" i="3"/>
  <c r="O990" i="3"/>
  <c r="O722" i="3"/>
  <c r="O1351" i="3"/>
  <c r="O1274" i="3"/>
  <c r="O1056" i="3"/>
  <c r="O1089" i="3"/>
  <c r="O838" i="3"/>
  <c r="O909" i="3"/>
  <c r="O1107" i="3"/>
  <c r="O1198" i="3"/>
  <c r="O707" i="3"/>
  <c r="O748" i="3"/>
  <c r="O817" i="3"/>
  <c r="O818" i="3"/>
  <c r="O871" i="3"/>
  <c r="O863" i="3"/>
  <c r="O884" i="3"/>
  <c r="O763" i="3"/>
  <c r="O1260" i="3"/>
  <c r="O996" i="3"/>
  <c r="O1037" i="3"/>
  <c r="O1087" i="3"/>
  <c r="O746" i="3"/>
  <c r="O997" i="3"/>
  <c r="O771" i="3"/>
  <c r="O848" i="3"/>
  <c r="O913" i="3"/>
  <c r="O1070" i="3"/>
  <c r="O805" i="3"/>
  <c r="O852" i="3"/>
  <c r="O983" i="3"/>
  <c r="O1013" i="3"/>
  <c r="O968" i="3"/>
  <c r="O724" i="3"/>
  <c r="O701" i="3"/>
  <c r="O822" i="3"/>
  <c r="O790" i="3"/>
  <c r="O670" i="3"/>
  <c r="O1263" i="3"/>
  <c r="O1029" i="3"/>
  <c r="O868" i="3"/>
  <c r="O1091" i="3"/>
  <c r="O975" i="3"/>
  <c r="O906" i="3"/>
  <c r="O1014" i="3"/>
  <c r="O1004" i="3"/>
  <c r="O1019" i="3"/>
  <c r="O831" i="3"/>
  <c r="O1028" i="3"/>
  <c r="O893" i="3"/>
  <c r="O970" i="3"/>
  <c r="O853" i="3"/>
  <c r="O870" i="3"/>
  <c r="O843" i="3"/>
  <c r="O877" i="3"/>
  <c r="O807" i="3"/>
  <c r="O717" i="3"/>
  <c r="O770" i="3"/>
  <c r="O768" i="3"/>
  <c r="O911" i="3"/>
  <c r="O969" i="3"/>
  <c r="O923" i="3"/>
  <c r="O956" i="3"/>
  <c r="O876" i="3"/>
  <c r="O1035" i="3"/>
  <c r="O1094" i="3"/>
  <c r="O856" i="3"/>
  <c r="O1293" i="3"/>
  <c r="O926" i="3"/>
  <c r="O1018" i="3"/>
  <c r="O802" i="3"/>
  <c r="O912" i="3"/>
  <c r="O826" i="3"/>
  <c r="O984" i="3"/>
  <c r="O875" i="3"/>
  <c r="O1286" i="3"/>
  <c r="O1120" i="3"/>
  <c r="O1145" i="3"/>
  <c r="O823" i="3"/>
  <c r="O739" i="3"/>
  <c r="O829" i="3"/>
  <c r="O712" i="3"/>
  <c r="O1071" i="3"/>
  <c r="O784" i="3"/>
  <c r="O839" i="3"/>
  <c r="O732" i="3"/>
  <c r="O846" i="3"/>
  <c r="O1106" i="3"/>
  <c r="O1199" i="3"/>
  <c r="O1005" i="3"/>
  <c r="O1030" i="3"/>
  <c r="O1148" i="3"/>
  <c r="O1125" i="3"/>
  <c r="O1066" i="3"/>
  <c r="O1124" i="3"/>
  <c r="O1306" i="3"/>
  <c r="O1131" i="3"/>
  <c r="O1103" i="3"/>
  <c r="O1043" i="3"/>
  <c r="O1092" i="3"/>
  <c r="O954" i="3"/>
  <c r="O942" i="3"/>
  <c r="O1098" i="3"/>
  <c r="O1057" i="3"/>
  <c r="O1161" i="3"/>
  <c r="O1122" i="3"/>
  <c r="O1085" i="3"/>
  <c r="O1134" i="3"/>
  <c r="O1328" i="3"/>
  <c r="O1138" i="3"/>
  <c r="O1115" i="3"/>
  <c r="O1173" i="3"/>
  <c r="O1113" i="3"/>
  <c r="O1240" i="3"/>
  <c r="O1271" i="3"/>
  <c r="O1143" i="3"/>
  <c r="O1252" i="3"/>
  <c r="O1241" i="3"/>
  <c r="O1200" i="3"/>
  <c r="O1038" i="3"/>
  <c r="O1174" i="3"/>
  <c r="O1146" i="3"/>
  <c r="O1154" i="3"/>
  <c r="O1195" i="3"/>
  <c r="O1201" i="3"/>
  <c r="O1139" i="3"/>
  <c r="O1175" i="3"/>
  <c r="O964" i="3"/>
  <c r="O971" i="3"/>
  <c r="O1285" i="3"/>
  <c r="O1152" i="3"/>
  <c r="O1116" i="3"/>
  <c r="O1144" i="3"/>
  <c r="O1248" i="3"/>
  <c r="O1218" i="3"/>
  <c r="O1237" i="3"/>
  <c r="O1215" i="3"/>
  <c r="O1202" i="3"/>
  <c r="O1105" i="3"/>
  <c r="O1253" i="3"/>
  <c r="O1313" i="3"/>
  <c r="O1083" i="3"/>
  <c r="O1135" i="3"/>
  <c r="O1072" i="3"/>
  <c r="O1041" i="3"/>
  <c r="O1136" i="3"/>
  <c r="O1185" i="3"/>
  <c r="O1176" i="3"/>
  <c r="O1164" i="3"/>
  <c r="O1112" i="3"/>
  <c r="O1042" i="3"/>
  <c r="O1311" i="3"/>
  <c r="O1314" i="3"/>
  <c r="O1278" i="3"/>
  <c r="O1315" i="3"/>
  <c r="O1219" i="3"/>
  <c r="O1168" i="3"/>
  <c r="O1279" i="3"/>
  <c r="O1254" i="3"/>
  <c r="O1220" i="3"/>
  <c r="O1203" i="3"/>
  <c r="O943" i="3"/>
  <c r="O781" i="3"/>
  <c r="O1316" i="3"/>
  <c r="O1261" i="3"/>
  <c r="O1280" i="3"/>
  <c r="O1262" i="3"/>
  <c r="O1250" i="3"/>
  <c r="O1255" i="3"/>
  <c r="O1177" i="3"/>
  <c r="O1331" i="3"/>
  <c r="O1317" i="3"/>
  <c r="O1272" i="3"/>
  <c r="O1204" i="3"/>
  <c r="O978" i="3"/>
  <c r="O1044" i="3"/>
  <c r="O1281" i="3"/>
  <c r="O1108" i="3"/>
  <c r="O1045" i="3"/>
  <c r="O1155" i="3"/>
  <c r="O1053" i="3"/>
  <c r="O1292" i="3"/>
  <c r="O1318" i="3"/>
  <c r="O1273" i="3"/>
  <c r="O1206" i="3"/>
  <c r="O1109" i="3"/>
  <c r="O657" i="3"/>
  <c r="O634" i="3"/>
  <c r="O629" i="3"/>
  <c r="O630" i="3"/>
  <c r="O647" i="3"/>
  <c r="O648" i="3"/>
  <c r="O649" i="3"/>
  <c r="O650" i="3"/>
  <c r="O635" i="3"/>
  <c r="O658" i="3"/>
  <c r="O666" i="3"/>
  <c r="O651" i="3"/>
  <c r="O642" i="3"/>
  <c r="O631" i="3"/>
  <c r="O643" i="3"/>
  <c r="O636" i="3"/>
  <c r="O637" i="3"/>
  <c r="O718" i="3"/>
  <c r="O758" i="3"/>
  <c r="O719" i="3"/>
  <c r="O809" i="3"/>
  <c r="O810" i="3"/>
  <c r="O811" i="3"/>
  <c r="O759" i="3"/>
  <c r="O743" i="3"/>
  <c r="O673" i="3"/>
  <c r="O777" i="3"/>
  <c r="O752" i="3"/>
  <c r="O677" i="3"/>
  <c r="O764" i="3"/>
  <c r="O756" i="3"/>
  <c r="O824" i="3"/>
  <c r="O727" i="3"/>
  <c r="O760" i="3"/>
  <c r="O830" i="3"/>
  <c r="O787" i="3"/>
  <c r="O700" i="3"/>
  <c r="O645" i="3"/>
  <c r="O665" i="3"/>
  <c r="O655" i="3"/>
  <c r="O687" i="3"/>
  <c r="O659" i="3"/>
  <c r="O676" i="3"/>
  <c r="O680" i="3"/>
  <c r="O835" i="3"/>
  <c r="O1178" i="3"/>
  <c r="O1140" i="3"/>
  <c r="O1179" i="3"/>
  <c r="O1246" i="3"/>
  <c r="O1141" i="3"/>
  <c r="O1180" i="3"/>
  <c r="O1182" i="3"/>
  <c r="O1121" i="3"/>
  <c r="O1149" i="3"/>
  <c r="O1181" i="3"/>
  <c r="O998" i="3"/>
  <c r="O988" i="3"/>
  <c r="O867" i="3"/>
  <c r="O723" i="3"/>
  <c r="O678" i="3"/>
  <c r="O819" i="3"/>
  <c r="O902" i="3"/>
  <c r="O668" i="3"/>
  <c r="O840" i="3"/>
  <c r="O827" i="3"/>
  <c r="O847" i="3"/>
  <c r="O864" i="3"/>
  <c r="O836" i="3"/>
  <c r="O828" i="3"/>
  <c r="O793" i="3"/>
  <c r="O820" i="3"/>
  <c r="O825" i="3"/>
  <c r="O889" i="3"/>
  <c r="O750" i="3"/>
  <c r="O774" i="3"/>
  <c r="O801" i="3"/>
  <c r="O733" i="3"/>
  <c r="O675" i="3"/>
  <c r="O694" i="3"/>
  <c r="O800" i="3"/>
  <c r="O806" i="3"/>
  <c r="O745" i="3"/>
  <c r="O761" i="3"/>
  <c r="O765" i="3"/>
  <c r="O720" i="3"/>
  <c r="O1361" i="3"/>
  <c r="O1360" i="3"/>
  <c r="O1363" i="3"/>
  <c r="O1362" i="3"/>
  <c r="O1366" i="3"/>
  <c r="O1365" i="3"/>
  <c r="O1364" i="3"/>
  <c r="O1368" i="3"/>
  <c r="O1371" i="3"/>
  <c r="O1370" i="3"/>
  <c r="O1376" i="3"/>
  <c r="O1372" i="3"/>
  <c r="O1367" i="3"/>
  <c r="O1389" i="3"/>
  <c r="O1369" i="3"/>
  <c r="O1381" i="3"/>
  <c r="O1382" i="3"/>
  <c r="O1373" i="3"/>
  <c r="O1374" i="3"/>
  <c r="O1385" i="3"/>
  <c r="O1375" i="3"/>
  <c r="O1379" i="3"/>
  <c r="O1378" i="3"/>
  <c r="O1377" i="3"/>
  <c r="O1383" i="3"/>
  <c r="O1384" i="3"/>
  <c r="O1386" i="3"/>
  <c r="O1380" i="3"/>
  <c r="O1387" i="3"/>
  <c r="O1388" i="3"/>
  <c r="O1427" i="3"/>
  <c r="O1428" i="3"/>
  <c r="O1423" i="3"/>
  <c r="O1424" i="3"/>
  <c r="O1419" i="3"/>
  <c r="O1420" i="3"/>
  <c r="O1429" i="3"/>
  <c r="O1430" i="3"/>
  <c r="O1436" i="3"/>
  <c r="O1437" i="3"/>
  <c r="O1438" i="3"/>
  <c r="O1439" i="3"/>
  <c r="O1490" i="3"/>
  <c r="O1491" i="3"/>
  <c r="O1470" i="3"/>
  <c r="O1471" i="3"/>
  <c r="O1444" i="3"/>
  <c r="O1441" i="3"/>
  <c r="O1467" i="3"/>
  <c r="O1468" i="3"/>
  <c r="O1443" i="3"/>
  <c r="O1455" i="3"/>
  <c r="O1514" i="3"/>
  <c r="O1515" i="3"/>
  <c r="O1509" i="3"/>
  <c r="O1510" i="3"/>
  <c r="O1484" i="3"/>
  <c r="O1485" i="3"/>
  <c r="O1504" i="3"/>
  <c r="O1505" i="3"/>
  <c r="O1408" i="3"/>
  <c r="O1442" i="3"/>
  <c r="O1447" i="3"/>
  <c r="O1489" i="3"/>
  <c r="O1500" i="3"/>
  <c r="O1522" i="3"/>
  <c r="O1426" i="3"/>
  <c r="O1488" i="3"/>
  <c r="O1521" i="3"/>
  <c r="O1531" i="3"/>
  <c r="O1532" i="3"/>
  <c r="O1533" i="3"/>
  <c r="O1525" i="3"/>
  <c r="O1526" i="3"/>
  <c r="O1534" i="3"/>
  <c r="O1401" i="3"/>
  <c r="O1397" i="3"/>
  <c r="O1390" i="3"/>
  <c r="O1391" i="3"/>
  <c r="O1460" i="3"/>
  <c r="O1461" i="3"/>
  <c r="O1462" i="3"/>
  <c r="O1453" i="3"/>
  <c r="O1445" i="3"/>
  <c r="O1463" i="3"/>
  <c r="O1454" i="3"/>
  <c r="O1446" i="3"/>
  <c r="O1416" i="3"/>
  <c r="O1431" i="3"/>
  <c r="O1417" i="3"/>
  <c r="O1432" i="3"/>
  <c r="O1394" i="3"/>
  <c r="O1395" i="3"/>
  <c r="O1414" i="3"/>
  <c r="O1434" i="3"/>
  <c r="O1398" i="3"/>
  <c r="O1406" i="3"/>
  <c r="O1480" i="3"/>
  <c r="O1506" i="3"/>
  <c r="O1452" i="3"/>
  <c r="O1402" i="3"/>
  <c r="O1403" i="3"/>
  <c r="O1410" i="3"/>
  <c r="O1411" i="3"/>
  <c r="O1412" i="3"/>
  <c r="O1413" i="3"/>
  <c r="O1448" i="3"/>
  <c r="O1449" i="3"/>
  <c r="O1474" i="3"/>
  <c r="O1475" i="3"/>
  <c r="O1456" i="3"/>
  <c r="O1457" i="3"/>
  <c r="O1451" i="3"/>
  <c r="O1511" i="3"/>
  <c r="O1486" i="3"/>
  <c r="O1473" i="3"/>
  <c r="O1498" i="3"/>
  <c r="O1481" i="3"/>
  <c r="O1501" i="3"/>
  <c r="O1494" i="3"/>
  <c r="O1482" i="3"/>
  <c r="O1499" i="3"/>
  <c r="O1496" i="3"/>
  <c r="O1497" i="3"/>
  <c r="O1495" i="3"/>
  <c r="O1508" i="3"/>
  <c r="O1507" i="3"/>
  <c r="O1479" i="3"/>
  <c r="O1476" i="3"/>
  <c r="O1487" i="3"/>
  <c r="O1492" i="3"/>
  <c r="O1433" i="3"/>
  <c r="O1477" i="3"/>
  <c r="O1478" i="3"/>
  <c r="O1469" i="3"/>
  <c r="O1466" i="3"/>
  <c r="O1483" i="3"/>
  <c r="O1493" i="3"/>
  <c r="O1459" i="3"/>
  <c r="O1458" i="3"/>
  <c r="O1450" i="3"/>
  <c r="O1472" i="3"/>
  <c r="O1513" i="3"/>
  <c r="O1518" i="3"/>
  <c r="O1512" i="3"/>
  <c r="O1537" i="3"/>
  <c r="O1557" i="3"/>
  <c r="O1535" i="3"/>
  <c r="O1563" i="3"/>
  <c r="O1553" i="3"/>
  <c r="O1552" i="3"/>
  <c r="O1538" i="3"/>
  <c r="O1546" i="3"/>
  <c r="O1571" i="3"/>
  <c r="O1539" i="3"/>
  <c r="O1549" i="3"/>
  <c r="O1550" i="3"/>
  <c r="O1542" i="3"/>
  <c r="O1543" i="3"/>
  <c r="O1725" i="3"/>
  <c r="O1544" i="3"/>
  <c r="O1536" i="3"/>
  <c r="O1540" i="3"/>
  <c r="O1545" i="3"/>
  <c r="O1569" i="3"/>
  <c r="O1560" i="3"/>
  <c r="O1576" i="3"/>
  <c r="O1581" i="3"/>
  <c r="O1608" i="3"/>
  <c r="O1587" i="3"/>
  <c r="O1604" i="3"/>
  <c r="O1605" i="3"/>
  <c r="O1609" i="3"/>
  <c r="O1600" i="3"/>
  <c r="O1568" i="3"/>
  <c r="O1627" i="3"/>
  <c r="O1633" i="3"/>
  <c r="O1588" i="3"/>
  <c r="O1663" i="3"/>
  <c r="O1636" i="3"/>
  <c r="O1637" i="3"/>
  <c r="O1629" i="3"/>
  <c r="O1640" i="3"/>
  <c r="O1673" i="3"/>
  <c r="O1678" i="3"/>
  <c r="O1709" i="3"/>
  <c r="O1698" i="3"/>
  <c r="O1683" i="3"/>
  <c r="O1667" i="3"/>
  <c r="O1670" i="3"/>
  <c r="O1599" i="3"/>
  <c r="O1617" i="3"/>
  <c r="O1592" i="3"/>
  <c r="O1575" i="3"/>
  <c r="O1606" i="3"/>
  <c r="O1590" i="3"/>
  <c r="O1661" i="3"/>
  <c r="O1601" i="3"/>
  <c r="O1616" i="3"/>
  <c r="O1613" i="3"/>
  <c r="O1579" i="3"/>
  <c r="O1610" i="3"/>
  <c r="O1625" i="3"/>
  <c r="O1573" i="3"/>
  <c r="O1634" i="3"/>
  <c r="O1594" i="3"/>
  <c r="O1630" i="3"/>
  <c r="O1607" i="3"/>
  <c r="O1620" i="3"/>
  <c r="O1622" i="3"/>
  <c r="O1603" i="3"/>
  <c r="O1691" i="3"/>
  <c r="O1641" i="3"/>
  <c r="O1624" i="3"/>
  <c r="O1660" i="3"/>
  <c r="O1682" i="3"/>
  <c r="O1615" i="3"/>
  <c r="O1711" i="3"/>
  <c r="O1658" i="3"/>
  <c r="O1695" i="3"/>
  <c r="O1681" i="3"/>
  <c r="O1669" i="3"/>
  <c r="O1672" i="3"/>
  <c r="O1635" i="3"/>
  <c r="O1694" i="3"/>
  <c r="O1671" i="3"/>
  <c r="O1680" i="3"/>
  <c r="O1656" i="3"/>
  <c r="O1642" i="3"/>
  <c r="O1710" i="3"/>
  <c r="O1702" i="3"/>
  <c r="O1668" i="3"/>
  <c r="O1715" i="3"/>
  <c r="O1728" i="3"/>
  <c r="O1717" i="3"/>
  <c r="O1734" i="3"/>
  <c r="O1733" i="3"/>
  <c r="O1727" i="3"/>
  <c r="O1740" i="3"/>
  <c r="O1735" i="3"/>
  <c r="O1736" i="3"/>
  <c r="O1729" i="3"/>
  <c r="O1577" i="3"/>
  <c r="O1572" i="3"/>
  <c r="O1677" i="3"/>
  <c r="O1650" i="3"/>
  <c r="O1558" i="3"/>
  <c r="O1602" i="3"/>
  <c r="O1611" i="3"/>
  <c r="O1646" i="3"/>
  <c r="O1643" i="3"/>
  <c r="O1647" i="3"/>
  <c r="O1547" i="3"/>
  <c r="O1644" i="3"/>
  <c r="O1639" i="3"/>
  <c r="O1562" i="3"/>
  <c r="O1645" i="3"/>
  <c r="O1638" i="3"/>
  <c r="O1649" i="3"/>
  <c r="O1652" i="3"/>
  <c r="O1664" i="3"/>
  <c r="O1614" i="3"/>
  <c r="O1559" i="3"/>
  <c r="O1654" i="3"/>
  <c r="O1665" i="3"/>
  <c r="O1686" i="3"/>
  <c r="O1687" i="3"/>
  <c r="O1688" i="3"/>
  <c r="O1689" i="3"/>
  <c r="O1690" i="3"/>
  <c r="O1676" i="3"/>
  <c r="O1612" i="3"/>
  <c r="O1693" i="3"/>
  <c r="O1666" i="3"/>
  <c r="O1707" i="3"/>
  <c r="O1723" i="3"/>
  <c r="O1738" i="3"/>
  <c r="O1741" i="3"/>
  <c r="O1739" i="3"/>
  <c r="O1731" i="3"/>
  <c r="O1732" i="3"/>
  <c r="O1705" i="3"/>
  <c r="O1706" i="3"/>
  <c r="O1726" i="3"/>
  <c r="O1716" i="3"/>
  <c r="O1737" i="3"/>
  <c r="O1724" i="3"/>
  <c r="O1746" i="3"/>
  <c r="O1743" i="3"/>
  <c r="O1744" i="3"/>
  <c r="O1745" i="3"/>
  <c r="O1701" i="3"/>
  <c r="O1742" i="3"/>
  <c r="O1730" i="3"/>
  <c r="O1722" i="3"/>
  <c r="O1565" i="3"/>
  <c r="O1692" i="3"/>
  <c r="O1561" i="3"/>
  <c r="O1582" i="3"/>
  <c r="O1555" i="3"/>
  <c r="O1580" i="3"/>
  <c r="O1541" i="3"/>
  <c r="O1548" i="3"/>
  <c r="O1589" i="3"/>
  <c r="O1618" i="3"/>
  <c r="O1564" i="3"/>
  <c r="O1583" i="3"/>
  <c r="O1567" i="3"/>
  <c r="O1595" i="3"/>
  <c r="O1621" i="3"/>
  <c r="O1554" i="3"/>
  <c r="O1623" i="3"/>
  <c r="O1684" i="3"/>
  <c r="O1570" i="3"/>
  <c r="O1628" i="3"/>
  <c r="O1574" i="3"/>
  <c r="O1551" i="3"/>
  <c r="O1556" i="3"/>
  <c r="O1566" i="3"/>
  <c r="O1578" i="3"/>
  <c r="O1586" i="3"/>
  <c r="O1585" i="3"/>
  <c r="O1626" i="3"/>
  <c r="O1631" i="3"/>
  <c r="O1597" i="3"/>
  <c r="O1584" i="3"/>
  <c r="O1619" i="3"/>
  <c r="O1598" i="3"/>
  <c r="O1596" i="3"/>
  <c r="O1593" i="3"/>
  <c r="O1591" i="3"/>
  <c r="O1651" i="3"/>
  <c r="O1712" i="3"/>
  <c r="O1655" i="3"/>
  <c r="O1632" i="3"/>
  <c r="O1648" i="3"/>
  <c r="O1659" i="3"/>
  <c r="O1653" i="3"/>
  <c r="O1700" i="3"/>
  <c r="O1718" i="3"/>
  <c r="O1699" i="3"/>
  <c r="O1657" i="3"/>
  <c r="O1662" i="3"/>
  <c r="O1675" i="3"/>
  <c r="O1713" i="3"/>
  <c r="O1714" i="3"/>
  <c r="O1679" i="3"/>
  <c r="O1703" i="3"/>
  <c r="O1704" i="3"/>
  <c r="O1696" i="3"/>
  <c r="O1685" i="3"/>
  <c r="O1719" i="3"/>
  <c r="O1720" i="3"/>
  <c r="O1721" i="3"/>
  <c r="O1674" i="3"/>
  <c r="O1708" i="3"/>
  <c r="O1697" i="3"/>
  <c r="R95" i="3" l="1"/>
  <c r="R107" i="3"/>
  <c r="R118" i="3"/>
  <c r="R112" i="3"/>
  <c r="R22" i="3"/>
  <c r="R61" i="3"/>
  <c r="R51" i="3"/>
  <c r="R66" i="3"/>
  <c r="R15" i="3"/>
  <c r="R62" i="3"/>
  <c r="R70" i="3"/>
  <c r="R114" i="3"/>
  <c r="R138" i="3"/>
  <c r="R119" i="3"/>
  <c r="R105" i="3"/>
  <c r="R75" i="3"/>
  <c r="R74" i="3"/>
  <c r="R132" i="3"/>
  <c r="R142" i="3"/>
  <c r="R136" i="3"/>
  <c r="R135" i="3"/>
  <c r="R38" i="3"/>
  <c r="R27" i="3"/>
  <c r="R21" i="3"/>
  <c r="R4" i="3"/>
  <c r="R14" i="3"/>
  <c r="R174" i="3"/>
  <c r="R233" i="3"/>
  <c r="R217" i="3"/>
  <c r="R203" i="3"/>
  <c r="R184" i="3"/>
  <c r="R160" i="3"/>
  <c r="R208" i="3"/>
  <c r="R200" i="3"/>
  <c r="R239" i="3"/>
  <c r="R215" i="3"/>
  <c r="R226" i="3"/>
  <c r="R227" i="3"/>
  <c r="R243" i="3"/>
  <c r="R211" i="3"/>
  <c r="R242" i="3"/>
  <c r="R220" i="3"/>
  <c r="R223" i="3"/>
  <c r="R238" i="3"/>
  <c r="R231" i="3"/>
  <c r="R193" i="3"/>
  <c r="R221" i="3"/>
  <c r="R236" i="3"/>
  <c r="R169" i="3"/>
  <c r="R229" i="3"/>
  <c r="R240" i="3"/>
  <c r="R230" i="3"/>
  <c r="R228" i="3"/>
  <c r="R241" i="3"/>
  <c r="R237" i="3"/>
  <c r="R171" i="3"/>
  <c r="R113" i="3"/>
  <c r="R128" i="3"/>
  <c r="R126" i="3"/>
  <c r="R129" i="3"/>
  <c r="R127" i="3"/>
  <c r="R120" i="3"/>
  <c r="R121" i="3"/>
  <c r="R83" i="3"/>
  <c r="R124" i="3"/>
  <c r="R139" i="3"/>
  <c r="R156" i="3"/>
  <c r="R144" i="3"/>
  <c r="R163" i="3"/>
  <c r="R172" i="3"/>
  <c r="R158" i="3"/>
  <c r="R178" i="3"/>
  <c r="R189" i="3"/>
  <c r="R106" i="3"/>
  <c r="R190" i="3"/>
  <c r="R209" i="3"/>
  <c r="R143" i="3"/>
  <c r="R141" i="3"/>
  <c r="R145" i="3"/>
  <c r="R147" i="3"/>
  <c r="R187" i="3"/>
  <c r="R182" i="3"/>
  <c r="R146" i="3"/>
  <c r="R157" i="3"/>
  <c r="R205" i="3"/>
  <c r="R185" i="3"/>
  <c r="R195" i="3"/>
  <c r="R197" i="3"/>
  <c r="R198" i="3"/>
  <c r="R224" i="3"/>
  <c r="R179" i="3"/>
  <c r="R183" i="3"/>
  <c r="R235" i="3"/>
  <c r="R176" i="3"/>
  <c r="R219" i="3"/>
  <c r="R166" i="3"/>
  <c r="R170" i="3"/>
  <c r="R225" i="3"/>
  <c r="R218" i="3"/>
  <c r="R214" i="3"/>
  <c r="R210" i="3"/>
  <c r="R206" i="3"/>
  <c r="R161" i="3"/>
  <c r="R222" i="3"/>
  <c r="R151" i="3"/>
  <c r="R234" i="3"/>
  <c r="R162" i="3"/>
  <c r="R90" i="3"/>
  <c r="R80" i="3"/>
  <c r="R85" i="3"/>
  <c r="R188" i="3"/>
  <c r="R149" i="3"/>
  <c r="R111" i="3"/>
  <c r="R123" i="3"/>
  <c r="R191" i="3"/>
  <c r="R65" i="3"/>
  <c r="R153" i="3"/>
  <c r="R134" i="3"/>
  <c r="R130" i="3"/>
  <c r="R133" i="3"/>
  <c r="R76" i="3"/>
  <c r="R104" i="3"/>
  <c r="R137" i="3"/>
  <c r="R164" i="3"/>
  <c r="R125" i="3"/>
  <c r="R192" i="3"/>
  <c r="R71" i="3"/>
  <c r="R47" i="3"/>
  <c r="R109" i="3"/>
  <c r="R52" i="3"/>
  <c r="R20" i="3"/>
  <c r="R16" i="3"/>
  <c r="R29" i="3"/>
  <c r="R19" i="3"/>
  <c r="R30" i="3"/>
  <c r="R24" i="3"/>
  <c r="R39" i="3"/>
  <c r="R23" i="3"/>
  <c r="R18" i="3"/>
  <c r="R32" i="3"/>
  <c r="R17" i="3"/>
  <c r="R43" i="3"/>
  <c r="R31" i="3"/>
  <c r="R5" i="3"/>
  <c r="R6" i="3"/>
  <c r="R7" i="3"/>
  <c r="R9" i="3"/>
  <c r="R10" i="3"/>
  <c r="R33" i="3"/>
  <c r="R3" i="3"/>
  <c r="R11" i="3"/>
  <c r="R26" i="3"/>
  <c r="R34" i="3"/>
  <c r="R35" i="3"/>
  <c r="R42" i="3"/>
  <c r="R40" i="3"/>
  <c r="R25" i="3"/>
  <c r="R46" i="3"/>
  <c r="R50" i="3"/>
  <c r="R63" i="3"/>
  <c r="R54" i="3"/>
  <c r="R57" i="3"/>
  <c r="R68" i="3"/>
  <c r="R58" i="3"/>
  <c r="R59" i="3"/>
  <c r="R48" i="3"/>
  <c r="R49" i="3"/>
  <c r="R55" i="3"/>
  <c r="R86" i="3"/>
  <c r="R84" i="3"/>
  <c r="R79" i="3"/>
  <c r="R77" i="3"/>
  <c r="R12" i="3"/>
  <c r="R13" i="3"/>
  <c r="R28" i="3"/>
  <c r="R45" i="3"/>
  <c r="R8" i="3"/>
  <c r="R248" i="3"/>
  <c r="R246" i="3"/>
  <c r="R245" i="3"/>
  <c r="R244" i="3"/>
  <c r="R249" i="3"/>
  <c r="R258" i="3"/>
  <c r="R252" i="3"/>
  <c r="R261" i="3"/>
  <c r="R259" i="3"/>
  <c r="R255" i="3"/>
  <c r="R253" i="3"/>
  <c r="R247" i="3"/>
  <c r="R254" i="3"/>
  <c r="R250" i="3"/>
  <c r="R256" i="3"/>
  <c r="R251" i="3"/>
  <c r="R263" i="3"/>
  <c r="R262" i="3"/>
  <c r="R264" i="3"/>
  <c r="R260" i="3"/>
  <c r="R257" i="3"/>
  <c r="R266" i="3"/>
  <c r="R275" i="3"/>
  <c r="R273" i="3"/>
  <c r="R281" i="3"/>
  <c r="R375" i="3"/>
  <c r="R341" i="3"/>
  <c r="R362" i="3"/>
  <c r="R318" i="3"/>
  <c r="R323" i="3"/>
  <c r="R312" i="3"/>
  <c r="R316" i="3"/>
  <c r="R350" i="3"/>
  <c r="R331" i="3"/>
  <c r="R330" i="3"/>
  <c r="R360" i="3"/>
  <c r="R353" i="3"/>
  <c r="R354" i="3"/>
  <c r="R365" i="3"/>
  <c r="R333" i="3"/>
  <c r="R359" i="3"/>
  <c r="R307" i="3"/>
  <c r="R320" i="3"/>
  <c r="R294" i="3"/>
  <c r="R303" i="3"/>
  <c r="R326" i="3"/>
  <c r="R295" i="3"/>
  <c r="R337" i="3"/>
  <c r="R317" i="3"/>
  <c r="R313" i="3"/>
  <c r="R311" i="3"/>
  <c r="R315" i="3"/>
  <c r="R268" i="3"/>
  <c r="R267" i="3"/>
  <c r="R299" i="3"/>
  <c r="R293" i="3"/>
  <c r="R298" i="3"/>
  <c r="R305" i="3"/>
  <c r="R271" i="3"/>
  <c r="R272" i="3"/>
  <c r="R297" i="3"/>
  <c r="R296" i="3"/>
  <c r="R284" i="3"/>
  <c r="R277" i="3"/>
  <c r="R274" i="3"/>
  <c r="R302" i="3"/>
  <c r="R292" i="3"/>
  <c r="R265" i="3"/>
  <c r="R321" i="3"/>
  <c r="R357" i="3"/>
  <c r="R366" i="3"/>
  <c r="R364" i="3"/>
  <c r="R368" i="3"/>
  <c r="R371" i="3"/>
  <c r="R380" i="3"/>
  <c r="R314" i="3"/>
  <c r="R270" i="3"/>
  <c r="R339" i="3"/>
  <c r="R335" i="3"/>
  <c r="R310" i="3"/>
  <c r="R352" i="3"/>
  <c r="R332" i="3"/>
  <c r="R345" i="3"/>
  <c r="R346" i="3"/>
  <c r="R355" i="3"/>
  <c r="R348" i="3"/>
  <c r="R349" i="3"/>
  <c r="R290" i="3"/>
  <c r="R283" i="3"/>
  <c r="R289" i="3"/>
  <c r="R291" i="3"/>
  <c r="R334" i="3"/>
  <c r="R340" i="3"/>
  <c r="R325" i="3"/>
  <c r="R328" i="3"/>
  <c r="R367" i="3"/>
  <c r="R369" i="3"/>
  <c r="R358" i="3"/>
  <c r="R361" i="3"/>
  <c r="R373" i="3"/>
  <c r="R376" i="3"/>
  <c r="R377" i="3"/>
  <c r="R379" i="3"/>
  <c r="R372" i="3"/>
  <c r="R374" i="3"/>
  <c r="R370" i="3"/>
  <c r="R378" i="3"/>
  <c r="R338" i="3"/>
  <c r="R344" i="3"/>
  <c r="R278" i="3"/>
  <c r="R322" i="3"/>
  <c r="R324" i="3"/>
  <c r="R336" i="3"/>
  <c r="R327" i="3"/>
  <c r="R288" i="3"/>
  <c r="R319" i="3"/>
  <c r="R347" i="3"/>
  <c r="R279" i="3"/>
  <c r="R356" i="3"/>
  <c r="R342" i="3"/>
  <c r="R301" i="3"/>
  <c r="R363" i="3"/>
  <c r="R304" i="3"/>
  <c r="R351" i="3"/>
  <c r="R329" i="3"/>
  <c r="R343" i="3"/>
  <c r="R300" i="3"/>
  <c r="R282" i="3"/>
  <c r="R285" i="3"/>
  <c r="R280" i="3"/>
  <c r="R286" i="3"/>
  <c r="R306" i="3"/>
  <c r="R309" i="3"/>
  <c r="R287" i="3"/>
  <c r="R276" i="3"/>
  <c r="R269" i="3"/>
  <c r="R308" i="3"/>
  <c r="R432" i="3"/>
  <c r="R439" i="3"/>
  <c r="R437" i="3"/>
  <c r="R436" i="3"/>
  <c r="R427" i="3"/>
  <c r="R440" i="3"/>
  <c r="R416" i="3"/>
  <c r="R415" i="3"/>
  <c r="R442" i="3"/>
  <c r="R417" i="3"/>
  <c r="R414" i="3"/>
  <c r="R434" i="3"/>
  <c r="R424" i="3"/>
  <c r="R438" i="3"/>
  <c r="R445" i="3"/>
  <c r="R446" i="3"/>
  <c r="R441" i="3"/>
  <c r="R406" i="3"/>
  <c r="R426" i="3"/>
  <c r="R411" i="3"/>
  <c r="R381" i="3"/>
  <c r="R410" i="3"/>
  <c r="R386" i="3"/>
  <c r="R407" i="3"/>
  <c r="R389" i="3"/>
  <c r="R383" i="3"/>
  <c r="R397" i="3"/>
  <c r="R388" i="3"/>
  <c r="R392" i="3"/>
  <c r="R395" i="3"/>
  <c r="R382" i="3"/>
  <c r="R393" i="3"/>
  <c r="R385" i="3"/>
  <c r="R384" i="3"/>
  <c r="R387" i="3"/>
  <c r="R425" i="3"/>
  <c r="R435" i="3"/>
  <c r="R412" i="3"/>
  <c r="R443" i="3"/>
  <c r="R444" i="3"/>
  <c r="R418" i="3"/>
  <c r="R423" i="3"/>
  <c r="R433" i="3"/>
  <c r="R428" i="3"/>
  <c r="R430" i="3"/>
  <c r="R429" i="3"/>
  <c r="R448" i="3"/>
  <c r="R449" i="3"/>
  <c r="R455" i="3"/>
  <c r="R469" i="3"/>
  <c r="R451" i="3"/>
  <c r="R453" i="3"/>
  <c r="R456" i="3"/>
  <c r="R457" i="3"/>
  <c r="R452" i="3"/>
  <c r="R450" i="3"/>
  <c r="R471" i="3"/>
  <c r="R463" i="3"/>
  <c r="R462" i="3"/>
  <c r="R465" i="3"/>
  <c r="R466" i="3"/>
  <c r="R467" i="3"/>
  <c r="R464" i="3"/>
  <c r="R461" i="3"/>
  <c r="R454" i="3"/>
  <c r="R458" i="3"/>
  <c r="R470" i="3"/>
  <c r="R468" i="3"/>
  <c r="R447" i="3"/>
  <c r="R459" i="3"/>
  <c r="R460" i="3"/>
  <c r="R419" i="3"/>
  <c r="R390" i="3"/>
  <c r="R420" i="3"/>
  <c r="R413" i="3"/>
  <c r="R408" i="3"/>
  <c r="R431" i="3"/>
  <c r="R421" i="3"/>
  <c r="R399" i="3"/>
  <c r="R401" i="3"/>
  <c r="R422" i="3"/>
  <c r="R403" i="3"/>
  <c r="R409" i="3"/>
  <c r="R391" i="3"/>
  <c r="R396" i="3"/>
  <c r="R398" i="3"/>
  <c r="R394" i="3"/>
  <c r="R400" i="3"/>
  <c r="R402" i="3"/>
  <c r="R404" i="3"/>
  <c r="R405" i="3"/>
  <c r="R524" i="3"/>
  <c r="R472" i="3"/>
  <c r="R474" i="3"/>
  <c r="R483" i="3"/>
  <c r="R476" i="3"/>
  <c r="R492" i="3"/>
  <c r="R480" i="3"/>
  <c r="R486" i="3"/>
  <c r="R487" i="3"/>
  <c r="R497" i="3"/>
  <c r="R484" i="3"/>
  <c r="R502" i="3"/>
  <c r="R496" i="3"/>
  <c r="R477" i="3"/>
  <c r="R479" i="3"/>
  <c r="R482" i="3"/>
  <c r="R511" i="3"/>
  <c r="R494" i="3"/>
  <c r="R499" i="3"/>
  <c r="R500" i="3"/>
  <c r="R509" i="3"/>
  <c r="R473" i="3"/>
  <c r="R539" i="3"/>
  <c r="R519" i="3"/>
  <c r="R540" i="3"/>
  <c r="R542" i="3"/>
  <c r="R531" i="3"/>
  <c r="R549" i="3"/>
  <c r="R538" i="3"/>
  <c r="R527" i="3"/>
  <c r="R526" i="3"/>
  <c r="R525" i="3"/>
  <c r="R533" i="3"/>
  <c r="R529" i="3"/>
  <c r="R592" i="3"/>
  <c r="R598" i="3"/>
  <c r="R560" i="3"/>
  <c r="R544" i="3"/>
  <c r="R515" i="3"/>
  <c r="R517" i="3"/>
  <c r="R520" i="3"/>
  <c r="R537" i="3"/>
  <c r="R534" i="3"/>
  <c r="R522" i="3"/>
  <c r="R523" i="3"/>
  <c r="R536" i="3"/>
  <c r="R518" i="3"/>
  <c r="R512" i="3"/>
  <c r="R501" i="3"/>
  <c r="R505" i="3"/>
  <c r="R532" i="3"/>
  <c r="R597" i="3"/>
  <c r="R566" i="3"/>
  <c r="R553" i="3"/>
  <c r="R596" i="3"/>
  <c r="R579" i="3"/>
  <c r="R514" i="3"/>
  <c r="R516" i="3"/>
  <c r="R521" i="3"/>
  <c r="R488" i="3"/>
  <c r="R562" i="3"/>
  <c r="R564" i="3"/>
  <c r="R567" i="3"/>
  <c r="R570" i="3"/>
  <c r="R559" i="3"/>
  <c r="R606" i="3"/>
  <c r="R554" i="3"/>
  <c r="R541" i="3"/>
  <c r="R545" i="3"/>
  <c r="R610" i="3"/>
  <c r="R558" i="3"/>
  <c r="R546" i="3"/>
  <c r="R565" i="3"/>
  <c r="R568" i="3"/>
  <c r="R561" i="3"/>
  <c r="R478" i="3"/>
  <c r="R508" i="3"/>
  <c r="R485" i="3"/>
  <c r="R489" i="3"/>
  <c r="R563" i="3"/>
  <c r="R578" i="3"/>
  <c r="R593" i="3"/>
  <c r="R599" i="3"/>
  <c r="R576" i="3"/>
  <c r="R572" i="3"/>
  <c r="R587" i="3"/>
  <c r="R591" i="3"/>
  <c r="R584" i="3"/>
  <c r="R585" i="3"/>
  <c r="R615" i="3"/>
  <c r="R608" i="3"/>
  <c r="R594" i="3"/>
  <c r="R506" i="3"/>
  <c r="R614" i="3"/>
  <c r="R616" i="3"/>
  <c r="R619" i="3"/>
  <c r="R625" i="3"/>
  <c r="R621" i="3"/>
  <c r="R603" i="3"/>
  <c r="R624" i="3"/>
  <c r="R588" i="3"/>
  <c r="R595" i="3"/>
  <c r="R557" i="3"/>
  <c r="R604" i="3"/>
  <c r="R602" i="3"/>
  <c r="R583" i="3"/>
  <c r="R491" i="3"/>
  <c r="R498" i="3"/>
  <c r="R503" i="3"/>
  <c r="R507" i="3"/>
  <c r="R475" i="3"/>
  <c r="R495" i="3"/>
  <c r="R556" i="3"/>
  <c r="R550" i="3"/>
  <c r="R551" i="3"/>
  <c r="R555" i="3"/>
  <c r="R528" i="3"/>
  <c r="R547" i="3"/>
  <c r="R605" i="3"/>
  <c r="R589" i="3"/>
  <c r="R613" i="3"/>
  <c r="R617" i="3"/>
  <c r="R611" i="3"/>
  <c r="R618" i="3"/>
  <c r="R612" i="3"/>
  <c r="R609" i="3"/>
  <c r="R600" i="3"/>
  <c r="R580" i="3"/>
  <c r="R571" i="3"/>
  <c r="R590" i="3"/>
  <c r="R575" i="3"/>
  <c r="R543" i="3"/>
  <c r="R510" i="3"/>
  <c r="R490" i="3"/>
  <c r="R493" i="3"/>
  <c r="R607" i="3"/>
  <c r="R601" i="3"/>
  <c r="R552" i="3"/>
  <c r="R548" i="3"/>
  <c r="R481" i="3"/>
  <c r="R504" i="3"/>
  <c r="R620" i="3"/>
  <c r="R623" i="3"/>
  <c r="R622" i="3"/>
  <c r="R626" i="3"/>
  <c r="R627" i="3"/>
  <c r="R535" i="3"/>
  <c r="R530" i="3"/>
  <c r="R513" i="3"/>
  <c r="R581" i="3"/>
  <c r="R586" i="3"/>
  <c r="R582" i="3"/>
  <c r="R573" i="3"/>
  <c r="R569" i="3"/>
  <c r="R577" i="3"/>
  <c r="R574" i="3"/>
  <c r="R1339" i="3"/>
  <c r="R1060" i="3"/>
  <c r="R1080" i="3"/>
  <c r="R1046" i="3"/>
  <c r="R1067" i="3"/>
  <c r="R1052" i="3"/>
  <c r="R1063" i="3"/>
  <c r="R1172" i="3"/>
  <c r="R1226" i="3"/>
  <c r="R1114" i="3"/>
  <c r="R1213" i="3"/>
  <c r="R1205" i="3"/>
  <c r="R1166" i="3"/>
  <c r="R1187" i="3"/>
  <c r="R1196" i="3"/>
  <c r="R1211" i="3"/>
  <c r="R1229" i="3"/>
  <c r="R1231" i="3"/>
  <c r="R1207" i="3"/>
  <c r="R1212" i="3"/>
  <c r="R1190" i="3"/>
  <c r="R1233" i="3"/>
  <c r="R1169" i="3"/>
  <c r="R1264" i="3"/>
  <c r="R1249" i="3"/>
  <c r="R1234" i="3"/>
  <c r="R1188" i="3"/>
  <c r="R1238" i="3"/>
  <c r="R1245" i="3"/>
  <c r="R1247" i="3"/>
  <c r="R1282" i="3"/>
  <c r="R1210" i="3"/>
  <c r="R1259" i="3"/>
  <c r="R1225" i="3"/>
  <c r="R1236" i="3"/>
  <c r="R1159" i="3"/>
  <c r="R1156" i="3"/>
  <c r="R1186" i="3"/>
  <c r="R1224" i="3"/>
  <c r="R1258" i="3"/>
  <c r="R1228" i="3"/>
  <c r="R1157" i="3"/>
  <c r="R1123" i="3"/>
  <c r="R1077" i="3"/>
  <c r="R1297" i="3"/>
  <c r="R1289" i="3"/>
  <c r="R1283" i="3"/>
  <c r="R1275" i="3"/>
  <c r="R1276" i="3"/>
  <c r="R1284" i="3"/>
  <c r="R1244" i="3"/>
  <c r="R1295" i="3"/>
  <c r="R1167" i="3"/>
  <c r="R1265" i="3"/>
  <c r="R965" i="3"/>
  <c r="R1142" i="3"/>
  <c r="R1232" i="3"/>
  <c r="R1294" i="3"/>
  <c r="R1158" i="3"/>
  <c r="R1214" i="3"/>
  <c r="R1239" i="3"/>
  <c r="R1189" i="3"/>
  <c r="R1170" i="3"/>
  <c r="R1192" i="3"/>
  <c r="R1343" i="3"/>
  <c r="R1256" i="3"/>
  <c r="R1081" i="3"/>
  <c r="R1329" i="3"/>
  <c r="R1330" i="3"/>
  <c r="R1277" i="3"/>
  <c r="R1257" i="3"/>
  <c r="R1129" i="3"/>
  <c r="R1354" i="3"/>
  <c r="R1355" i="3"/>
  <c r="R1209" i="3"/>
  <c r="R1153" i="3"/>
  <c r="R1296" i="3"/>
  <c r="R1086" i="3"/>
  <c r="R1221" i="3"/>
  <c r="R1222" i="3"/>
  <c r="R1223" i="3"/>
  <c r="R1298" i="3"/>
  <c r="R1349" i="3"/>
  <c r="R1350" i="3"/>
  <c r="R1323" i="3"/>
  <c r="R1332" i="3"/>
  <c r="R1333" i="3"/>
  <c r="R1334" i="3"/>
  <c r="R1335" i="3"/>
  <c r="R1356" i="3"/>
  <c r="R1303" i="3"/>
  <c r="R1304" i="3"/>
  <c r="R1299" i="3"/>
  <c r="R1300" i="3"/>
  <c r="R1301" i="3"/>
  <c r="R1302" i="3"/>
  <c r="R1305" i="3"/>
  <c r="R1147" i="3"/>
  <c r="R1290" i="3"/>
  <c r="R1340" i="3"/>
  <c r="R1268" i="3"/>
  <c r="R1269" i="3"/>
  <c r="R1270" i="3"/>
  <c r="R1337" i="3"/>
  <c r="R1324" i="3"/>
  <c r="R1336" i="3"/>
  <c r="R1357" i="3"/>
  <c r="R1358" i="3"/>
  <c r="R1359" i="3"/>
  <c r="R1307" i="3"/>
  <c r="R1308" i="3"/>
  <c r="R1309" i="3"/>
  <c r="R1319" i="3"/>
  <c r="R1287" i="3"/>
  <c r="R1242" i="3"/>
  <c r="R1352" i="3"/>
  <c r="R1353" i="3"/>
  <c r="R1266" i="3"/>
  <c r="R1326" i="3"/>
  <c r="R1320" i="3"/>
  <c r="R1321" i="3"/>
  <c r="R1341" i="3"/>
  <c r="R1079" i="3"/>
  <c r="R1346" i="3"/>
  <c r="R1347" i="3"/>
  <c r="R1348" i="3"/>
  <c r="R1342" i="3"/>
  <c r="R1322" i="3"/>
  <c r="R1291" i="3"/>
  <c r="R1344" i="3"/>
  <c r="R679" i="3"/>
  <c r="R1033" i="3"/>
  <c r="R1048" i="3"/>
  <c r="R1049" i="3"/>
  <c r="R1050" i="3"/>
  <c r="R1054" i="3"/>
  <c r="R907" i="3"/>
  <c r="R1006" i="3"/>
  <c r="R986" i="3"/>
  <c r="R866" i="3"/>
  <c r="R1062" i="3"/>
  <c r="R684" i="3"/>
  <c r="R690" i="3"/>
  <c r="R721" i="3"/>
  <c r="R778" i="3"/>
  <c r="R714" i="3"/>
  <c r="R754" i="3"/>
  <c r="R729" i="3"/>
  <c r="R741" i="3"/>
  <c r="R710" i="3"/>
  <c r="R726" i="3"/>
  <c r="R683" i="3"/>
  <c r="R1084" i="3"/>
  <c r="R1095" i="3"/>
  <c r="R1191" i="3"/>
  <c r="R1064" i="3"/>
  <c r="R1023" i="3"/>
  <c r="R1059" i="3"/>
  <c r="R1099" i="3"/>
  <c r="R1051" i="3"/>
  <c r="R1102" i="3"/>
  <c r="R1027" i="3"/>
  <c r="R1010" i="3"/>
  <c r="R1088" i="3"/>
  <c r="R1130" i="3"/>
  <c r="R1061" i="3"/>
  <c r="R812" i="3"/>
  <c r="R796" i="3"/>
  <c r="R753" i="3"/>
  <c r="R757" i="3"/>
  <c r="R667" i="3"/>
  <c r="R661" i="3"/>
  <c r="R654" i="3"/>
  <c r="R663" i="3"/>
  <c r="R656" i="3"/>
  <c r="R695" i="3"/>
  <c r="R924" i="3"/>
  <c r="R891" i="3"/>
  <c r="R976" i="3"/>
  <c r="R977" i="3"/>
  <c r="R1032" i="3"/>
  <c r="R989" i="3"/>
  <c r="R692" i="3"/>
  <c r="R842" i="3"/>
  <c r="R813" i="3"/>
  <c r="R814" i="3"/>
  <c r="R689" i="3"/>
  <c r="R711" i="3"/>
  <c r="R671" i="3"/>
  <c r="R691" i="3"/>
  <c r="R669" i="3"/>
  <c r="R709" i="3"/>
  <c r="R713" i="3"/>
  <c r="R728" i="3"/>
  <c r="R979" i="3"/>
  <c r="R899" i="3"/>
  <c r="R1230" i="3"/>
  <c r="R1160" i="3"/>
  <c r="R1008" i="3"/>
  <c r="R934" i="3"/>
  <c r="R935" i="3"/>
  <c r="R927" i="3"/>
  <c r="R928" i="3"/>
  <c r="R929" i="3"/>
  <c r="R930" i="3"/>
  <c r="R918" i="3"/>
  <c r="R919" i="3"/>
  <c r="R920" i="3"/>
  <c r="R945" i="3"/>
  <c r="R946" i="3"/>
  <c r="R947" i="3"/>
  <c r="R936" i="3"/>
  <c r="R937" i="3"/>
  <c r="R938" i="3"/>
  <c r="R939" i="3"/>
  <c r="R952" i="3"/>
  <c r="R948" i="3"/>
  <c r="R949" i="3"/>
  <c r="R950" i="3"/>
  <c r="R747" i="3"/>
  <c r="R791" i="3"/>
  <c r="R685" i="3"/>
  <c r="R702" i="3"/>
  <c r="R704" i="3"/>
  <c r="R715" i="3"/>
  <c r="R697" i="3"/>
  <c r="R734" i="3"/>
  <c r="R716" i="3"/>
  <c r="R698" i="3"/>
  <c r="R735" i="3"/>
  <c r="R736" i="3"/>
  <c r="R708" i="3"/>
  <c r="R653" i="3"/>
  <c r="R980" i="3"/>
  <c r="R966" i="3"/>
  <c r="R999" i="3"/>
  <c r="R1009" i="3"/>
  <c r="R958" i="3"/>
  <c r="R981" i="3"/>
  <c r="R1002" i="3"/>
  <c r="R1047" i="3"/>
  <c r="R962" i="3"/>
  <c r="R994" i="3"/>
  <c r="R973" i="3"/>
  <c r="R995" i="3"/>
  <c r="R974" i="3"/>
  <c r="R1001" i="3"/>
  <c r="R961" i="3"/>
  <c r="R1020" i="3"/>
  <c r="R1021" i="3"/>
  <c r="R1026" i="3"/>
  <c r="R1007" i="3"/>
  <c r="R1003" i="3"/>
  <c r="R1015" i="3"/>
  <c r="R1016" i="3"/>
  <c r="R1069" i="3"/>
  <c r="R861" i="3"/>
  <c r="R879" i="3"/>
  <c r="R900" i="3"/>
  <c r="R940" i="3"/>
  <c r="R841" i="3"/>
  <c r="R857" i="3"/>
  <c r="R859" i="3"/>
  <c r="R815" i="3"/>
  <c r="R803" i="3"/>
  <c r="R762" i="3"/>
  <c r="R880" i="3"/>
  <c r="R860" i="3"/>
  <c r="R972" i="3"/>
  <c r="R797" i="3"/>
  <c r="R808" i="3"/>
  <c r="R914" i="3"/>
  <c r="R915" i="3"/>
  <c r="R953" i="3"/>
  <c r="R951" i="3"/>
  <c r="R916" i="3"/>
  <c r="R881" i="3"/>
  <c r="R885" i="3"/>
  <c r="R882" i="3"/>
  <c r="R755" i="3"/>
  <c r="R854" i="3"/>
  <c r="R894" i="3"/>
  <c r="R816" i="3"/>
  <c r="R1151" i="3"/>
  <c r="R725" i="3"/>
  <c r="R910" i="3"/>
  <c r="R730" i="3"/>
  <c r="R905" i="3"/>
  <c r="R896" i="3"/>
  <c r="R993" i="3"/>
  <c r="R751" i="3"/>
  <c r="R737" i="3"/>
  <c r="R769" i="3"/>
  <c r="R779" i="3"/>
  <c r="R845" i="3"/>
  <c r="R1039" i="3"/>
  <c r="R1022" i="3"/>
  <c r="R1024" i="3"/>
  <c r="R644" i="3"/>
  <c r="R1040" i="3"/>
  <c r="R955" i="3"/>
  <c r="R959" i="3"/>
  <c r="R921" i="3"/>
  <c r="R858" i="3"/>
  <c r="R873" i="3"/>
  <c r="R933" i="3"/>
  <c r="R960" i="3"/>
  <c r="R878" i="3"/>
  <c r="R1076" i="3"/>
  <c r="R1310" i="3"/>
  <c r="R1325" i="3"/>
  <c r="R1345" i="3"/>
  <c r="R1267" i="3"/>
  <c r="R1235" i="3"/>
  <c r="R1338" i="3"/>
  <c r="R1312" i="3"/>
  <c r="R1327" i="3"/>
  <c r="R1288" i="3"/>
  <c r="R1216" i="3"/>
  <c r="R1137" i="3"/>
  <c r="R1183" i="3"/>
  <c r="R1126" i="3"/>
  <c r="R1119" i="3"/>
  <c r="R1127" i="3"/>
  <c r="R1150" i="3"/>
  <c r="R1100" i="3"/>
  <c r="R1101" i="3"/>
  <c r="R1117" i="3"/>
  <c r="R1118" i="3"/>
  <c r="R1184" i="3"/>
  <c r="R1073" i="3"/>
  <c r="R1074" i="3"/>
  <c r="R1075" i="3"/>
  <c r="R664" i="3"/>
  <c r="R992" i="3"/>
  <c r="R652" i="3"/>
  <c r="R638" i="3"/>
  <c r="R775" i="3"/>
  <c r="R792" i="3"/>
  <c r="R786" i="3"/>
  <c r="R776" i="3"/>
  <c r="R922" i="3"/>
  <c r="R628" i="3"/>
  <c r="R957" i="3"/>
  <c r="R766" i="3"/>
  <c r="R767" i="3"/>
  <c r="R1068" i="3"/>
  <c r="R641" i="3"/>
  <c r="R1058" i="3"/>
  <c r="R772" i="3"/>
  <c r="R944" i="3"/>
  <c r="R1093" i="3"/>
  <c r="R1017" i="3"/>
  <c r="R1090" i="3"/>
  <c r="R1132" i="3"/>
  <c r="R890" i="3"/>
  <c r="R897" i="3"/>
  <c r="R1031" i="3"/>
  <c r="R1078" i="3"/>
  <c r="R1110" i="3"/>
  <c r="R1111" i="3"/>
  <c r="R1243" i="3"/>
  <c r="R1171" i="3"/>
  <c r="R1128" i="3"/>
  <c r="R633" i="3"/>
  <c r="R903" i="3"/>
  <c r="R869" i="3"/>
  <c r="R931" i="3"/>
  <c r="R985" i="3"/>
  <c r="R1096" i="3"/>
  <c r="R1082" i="3"/>
  <c r="R904" i="3"/>
  <c r="R932" i="3"/>
  <c r="R1000" i="3"/>
  <c r="R731" i="3"/>
  <c r="R1097" i="3"/>
  <c r="R908" i="3"/>
  <c r="R699" i="3"/>
  <c r="R1065" i="3"/>
  <c r="R798" i="3"/>
  <c r="R1012" i="3"/>
  <c r="R780" i="3"/>
  <c r="R795" i="3"/>
  <c r="R799" i="3"/>
  <c r="R844" i="3"/>
  <c r="R773" i="3"/>
  <c r="R987" i="3"/>
  <c r="R1165" i="3"/>
  <c r="R886" i="3"/>
  <c r="R887" i="3"/>
  <c r="R901" i="3"/>
  <c r="R963" i="3"/>
  <c r="R941" i="3"/>
  <c r="R917" i="3"/>
  <c r="R892" i="3"/>
  <c r="R1034" i="3"/>
  <c r="R1011" i="3"/>
  <c r="R925" i="3"/>
  <c r="R837" i="3"/>
  <c r="R982" i="3"/>
  <c r="R1217" i="3"/>
  <c r="R632" i="3"/>
  <c r="R640" i="3"/>
  <c r="R788" i="3"/>
  <c r="R1162" i="3"/>
  <c r="R967" i="3"/>
  <c r="R639" i="3"/>
  <c r="R1163" i="3"/>
  <c r="R1193" i="3"/>
  <c r="R646" i="3"/>
  <c r="R1104" i="3"/>
  <c r="R1133" i="3"/>
  <c r="R1025" i="3"/>
  <c r="R1036" i="3"/>
  <c r="R740" i="3"/>
  <c r="R785" i="3"/>
  <c r="R705" i="3"/>
  <c r="R1251" i="3"/>
  <c r="R789" i="3"/>
  <c r="R851" i="3"/>
  <c r="R749" i="3"/>
  <c r="R888" i="3"/>
  <c r="R821" i="3"/>
  <c r="R898" i="3"/>
  <c r="R849" i="3"/>
  <c r="R1208" i="3"/>
  <c r="R1197" i="3"/>
  <c r="R850" i="3"/>
  <c r="R660" i="3"/>
  <c r="R693" i="3"/>
  <c r="R682" i="3"/>
  <c r="R991" i="3"/>
  <c r="R782" i="3"/>
  <c r="R706" i="3"/>
  <c r="R833" i="3"/>
  <c r="R744" i="3"/>
  <c r="R1227" i="3"/>
  <c r="R688" i="3"/>
  <c r="R783" i="3"/>
  <c r="R1194" i="3"/>
  <c r="R738" i="3"/>
  <c r="R662" i="3"/>
  <c r="R804" i="3"/>
  <c r="R686" i="3"/>
  <c r="R674" i="3"/>
  <c r="R703" i="3"/>
  <c r="R832" i="3"/>
  <c r="R794" i="3"/>
  <c r="R1055" i="3"/>
  <c r="R874" i="3"/>
  <c r="R855" i="3"/>
  <c r="R865" i="3"/>
  <c r="R872" i="3"/>
  <c r="R742" i="3"/>
  <c r="R681" i="3"/>
  <c r="R672" i="3"/>
  <c r="R834" i="3"/>
  <c r="R895" i="3"/>
  <c r="R883" i="3"/>
  <c r="R862" i="3"/>
  <c r="R696" i="3"/>
  <c r="R990" i="3"/>
  <c r="R722" i="3"/>
  <c r="R1351" i="3"/>
  <c r="R1274" i="3"/>
  <c r="R1056" i="3"/>
  <c r="R1089" i="3"/>
  <c r="R838" i="3"/>
  <c r="R909" i="3"/>
  <c r="R1107" i="3"/>
  <c r="R1198" i="3"/>
  <c r="R707" i="3"/>
  <c r="R748" i="3"/>
  <c r="R817" i="3"/>
  <c r="R818" i="3"/>
  <c r="R871" i="3"/>
  <c r="R863" i="3"/>
  <c r="R884" i="3"/>
  <c r="R763" i="3"/>
  <c r="R1260" i="3"/>
  <c r="R996" i="3"/>
  <c r="R1037" i="3"/>
  <c r="R1087" i="3"/>
  <c r="R746" i="3"/>
  <c r="R997" i="3"/>
  <c r="R771" i="3"/>
  <c r="R848" i="3"/>
  <c r="R913" i="3"/>
  <c r="R1070" i="3"/>
  <c r="R805" i="3"/>
  <c r="R852" i="3"/>
  <c r="R983" i="3"/>
  <c r="R1013" i="3"/>
  <c r="R968" i="3"/>
  <c r="R724" i="3"/>
  <c r="R701" i="3"/>
  <c r="R822" i="3"/>
  <c r="R790" i="3"/>
  <c r="R670" i="3"/>
  <c r="R1263" i="3"/>
  <c r="R1029" i="3"/>
  <c r="R868" i="3"/>
  <c r="R1091" i="3"/>
  <c r="R975" i="3"/>
  <c r="R906" i="3"/>
  <c r="R1014" i="3"/>
  <c r="R1004" i="3"/>
  <c r="R1019" i="3"/>
  <c r="R831" i="3"/>
  <c r="R1028" i="3"/>
  <c r="R893" i="3"/>
  <c r="R970" i="3"/>
  <c r="R853" i="3"/>
  <c r="R870" i="3"/>
  <c r="R843" i="3"/>
  <c r="R877" i="3"/>
  <c r="R807" i="3"/>
  <c r="R717" i="3"/>
  <c r="R770" i="3"/>
  <c r="R768" i="3"/>
  <c r="R911" i="3"/>
  <c r="R969" i="3"/>
  <c r="R923" i="3"/>
  <c r="R956" i="3"/>
  <c r="R876" i="3"/>
  <c r="R1035" i="3"/>
  <c r="R1094" i="3"/>
  <c r="R856" i="3"/>
  <c r="R1293" i="3"/>
  <c r="R926" i="3"/>
  <c r="R1018" i="3"/>
  <c r="R802" i="3"/>
  <c r="R912" i="3"/>
  <c r="R826" i="3"/>
  <c r="R984" i="3"/>
  <c r="R875" i="3"/>
  <c r="R1286" i="3"/>
  <c r="R1120" i="3"/>
  <c r="R1145" i="3"/>
  <c r="R823" i="3"/>
  <c r="R739" i="3"/>
  <c r="R829" i="3"/>
  <c r="R712" i="3"/>
  <c r="R1071" i="3"/>
  <c r="R784" i="3"/>
  <c r="R839" i="3"/>
  <c r="R732" i="3"/>
  <c r="R846" i="3"/>
  <c r="R1106" i="3"/>
  <c r="R1199" i="3"/>
  <c r="R1005" i="3"/>
  <c r="R1030" i="3"/>
  <c r="R1148" i="3"/>
  <c r="R1125" i="3"/>
  <c r="R1066" i="3"/>
  <c r="R1124" i="3"/>
  <c r="R1306" i="3"/>
  <c r="R1131" i="3"/>
  <c r="R1103" i="3"/>
  <c r="R1043" i="3"/>
  <c r="R1092" i="3"/>
  <c r="R954" i="3"/>
  <c r="R942" i="3"/>
  <c r="R1098" i="3"/>
  <c r="R1057" i="3"/>
  <c r="R1161" i="3"/>
  <c r="R1122" i="3"/>
  <c r="R1085" i="3"/>
  <c r="R1134" i="3"/>
  <c r="R1328" i="3"/>
  <c r="R1138" i="3"/>
  <c r="R1115" i="3"/>
  <c r="R1173" i="3"/>
  <c r="R1113" i="3"/>
  <c r="R1240" i="3"/>
  <c r="R1271" i="3"/>
  <c r="R1143" i="3"/>
  <c r="R1252" i="3"/>
  <c r="R1241" i="3"/>
  <c r="R1200" i="3"/>
  <c r="R1038" i="3"/>
  <c r="R1174" i="3"/>
  <c r="R1146" i="3"/>
  <c r="R1154" i="3"/>
  <c r="R1195" i="3"/>
  <c r="R1201" i="3"/>
  <c r="R1139" i="3"/>
  <c r="R1175" i="3"/>
  <c r="R964" i="3"/>
  <c r="R971" i="3"/>
  <c r="R1285" i="3"/>
  <c r="R1152" i="3"/>
  <c r="R1116" i="3"/>
  <c r="R1144" i="3"/>
  <c r="R1248" i="3"/>
  <c r="R1218" i="3"/>
  <c r="R1237" i="3"/>
  <c r="R1215" i="3"/>
  <c r="R1202" i="3"/>
  <c r="R1105" i="3"/>
  <c r="R1253" i="3"/>
  <c r="R1313" i="3"/>
  <c r="R1083" i="3"/>
  <c r="R1135" i="3"/>
  <c r="R1072" i="3"/>
  <c r="R1041" i="3"/>
  <c r="R1136" i="3"/>
  <c r="R1185" i="3"/>
  <c r="R1176" i="3"/>
  <c r="R1164" i="3"/>
  <c r="R1112" i="3"/>
  <c r="R1042" i="3"/>
  <c r="R1311" i="3"/>
  <c r="R1314" i="3"/>
  <c r="R1278" i="3"/>
  <c r="R1315" i="3"/>
  <c r="R1219" i="3"/>
  <c r="R1168" i="3"/>
  <c r="R1279" i="3"/>
  <c r="R1254" i="3"/>
  <c r="R1220" i="3"/>
  <c r="R1203" i="3"/>
  <c r="R943" i="3"/>
  <c r="R781" i="3"/>
  <c r="R1316" i="3"/>
  <c r="R1261" i="3"/>
  <c r="R1280" i="3"/>
  <c r="R1262" i="3"/>
  <c r="R1250" i="3"/>
  <c r="R1255" i="3"/>
  <c r="R1177" i="3"/>
  <c r="R1331" i="3"/>
  <c r="R1317" i="3"/>
  <c r="R1272" i="3"/>
  <c r="R1204" i="3"/>
  <c r="R978" i="3"/>
  <c r="R1044" i="3"/>
  <c r="R1281" i="3"/>
  <c r="R1108" i="3"/>
  <c r="R1045" i="3"/>
  <c r="R1155" i="3"/>
  <c r="R1053" i="3"/>
  <c r="R1292" i="3"/>
  <c r="R1318" i="3"/>
  <c r="R1273" i="3"/>
  <c r="R1206" i="3"/>
  <c r="R1109" i="3"/>
  <c r="R657" i="3"/>
  <c r="R634" i="3"/>
  <c r="R629" i="3"/>
  <c r="R630" i="3"/>
  <c r="R647" i="3"/>
  <c r="R648" i="3"/>
  <c r="R649" i="3"/>
  <c r="R650" i="3"/>
  <c r="R635" i="3"/>
  <c r="R658" i="3"/>
  <c r="R666" i="3"/>
  <c r="R651" i="3"/>
  <c r="R642" i="3"/>
  <c r="R631" i="3"/>
  <c r="R643" i="3"/>
  <c r="R636" i="3"/>
  <c r="R637" i="3"/>
  <c r="R718" i="3"/>
  <c r="R758" i="3"/>
  <c r="R719" i="3"/>
  <c r="R809" i="3"/>
  <c r="R810" i="3"/>
  <c r="R811" i="3"/>
  <c r="R759" i="3"/>
  <c r="R743" i="3"/>
  <c r="S743" i="3" s="1"/>
  <c r="R720" i="3"/>
  <c r="R1361" i="3"/>
  <c r="R1360" i="3"/>
  <c r="R1363" i="3"/>
  <c r="R1362" i="3"/>
  <c r="R1366" i="3"/>
  <c r="R1365" i="3"/>
  <c r="R1364" i="3"/>
  <c r="R1368" i="3"/>
  <c r="R1371" i="3"/>
  <c r="R1370" i="3"/>
  <c r="R1376" i="3"/>
  <c r="R1372" i="3"/>
  <c r="R1367" i="3"/>
  <c r="R1389" i="3"/>
  <c r="R1369" i="3"/>
  <c r="R1381" i="3"/>
  <c r="R1382" i="3"/>
  <c r="R1373" i="3"/>
  <c r="R1374" i="3"/>
  <c r="R1385" i="3"/>
  <c r="R1375" i="3"/>
  <c r="R1379" i="3"/>
  <c r="R1378" i="3"/>
  <c r="R1377" i="3"/>
  <c r="R1383" i="3"/>
  <c r="R1384" i="3"/>
  <c r="R1386" i="3"/>
  <c r="R1380" i="3"/>
  <c r="R1387" i="3"/>
  <c r="R1388" i="3"/>
  <c r="R1427" i="3"/>
  <c r="R1428" i="3"/>
  <c r="R1423" i="3"/>
  <c r="R1424" i="3"/>
  <c r="R1419" i="3"/>
  <c r="R1420" i="3"/>
  <c r="R1429" i="3"/>
  <c r="R1430" i="3"/>
  <c r="R1436" i="3"/>
  <c r="R1437" i="3"/>
  <c r="R1438" i="3"/>
  <c r="R1439" i="3"/>
  <c r="R1490" i="3"/>
  <c r="R1491" i="3"/>
  <c r="R1470" i="3"/>
  <c r="R1471" i="3"/>
  <c r="R1444" i="3"/>
  <c r="R1441" i="3"/>
  <c r="R1467" i="3"/>
  <c r="R1468" i="3"/>
  <c r="R1443" i="3"/>
  <c r="R1455" i="3"/>
  <c r="R1514" i="3"/>
  <c r="R1515" i="3"/>
  <c r="R1509" i="3"/>
  <c r="R1510" i="3"/>
  <c r="R1484" i="3"/>
  <c r="R1485" i="3"/>
  <c r="R1504" i="3"/>
  <c r="R1505" i="3"/>
  <c r="R1408" i="3"/>
  <c r="R1442" i="3"/>
  <c r="R1447" i="3"/>
  <c r="R1489" i="3"/>
  <c r="R1500" i="3"/>
  <c r="R1522" i="3"/>
  <c r="R1426" i="3"/>
  <c r="R1488" i="3"/>
  <c r="R1521" i="3"/>
  <c r="R1531" i="3"/>
  <c r="R1532" i="3"/>
  <c r="R1533" i="3"/>
  <c r="R1525" i="3"/>
  <c r="R1526" i="3"/>
  <c r="R1534" i="3"/>
  <c r="R1401" i="3"/>
  <c r="R1397" i="3"/>
  <c r="R1390" i="3"/>
  <c r="R1391" i="3"/>
  <c r="R1460" i="3"/>
  <c r="R1461" i="3"/>
  <c r="R1462" i="3"/>
  <c r="R1453" i="3"/>
  <c r="R1445" i="3"/>
  <c r="R1463" i="3"/>
  <c r="R1454" i="3"/>
  <c r="R1446" i="3"/>
  <c r="R1416" i="3"/>
  <c r="R1431" i="3"/>
  <c r="R1417" i="3"/>
  <c r="R1432" i="3"/>
  <c r="R1394" i="3"/>
  <c r="R1395" i="3"/>
  <c r="R1414" i="3"/>
  <c r="R1434" i="3"/>
  <c r="R1398" i="3"/>
  <c r="R1406" i="3"/>
  <c r="R1480" i="3"/>
  <c r="R1506" i="3"/>
  <c r="R1452" i="3"/>
  <c r="R1402" i="3"/>
  <c r="R1403" i="3"/>
  <c r="R1410" i="3"/>
  <c r="R1411" i="3"/>
  <c r="R1412" i="3"/>
  <c r="R1413" i="3"/>
  <c r="R1448" i="3"/>
  <c r="R1449" i="3"/>
  <c r="R1474" i="3"/>
  <c r="R1475" i="3"/>
  <c r="R1456" i="3"/>
  <c r="R1457" i="3"/>
  <c r="R1451" i="3"/>
  <c r="R1511" i="3"/>
  <c r="R1486" i="3"/>
  <c r="R1473" i="3"/>
  <c r="R1498" i="3"/>
  <c r="R1481" i="3"/>
  <c r="R1501" i="3"/>
  <c r="R1494" i="3"/>
  <c r="R1482" i="3"/>
  <c r="R1499" i="3"/>
  <c r="R1496" i="3"/>
  <c r="R1497" i="3"/>
  <c r="R1495" i="3"/>
  <c r="R1508" i="3"/>
  <c r="R1507" i="3"/>
  <c r="R1479" i="3"/>
  <c r="R1476" i="3"/>
  <c r="R1487" i="3"/>
  <c r="R1492" i="3"/>
  <c r="R1433" i="3"/>
  <c r="R1477" i="3"/>
  <c r="R1478" i="3"/>
  <c r="R1469" i="3"/>
  <c r="R1466" i="3"/>
  <c r="R1483" i="3"/>
  <c r="R1493" i="3"/>
  <c r="R1459" i="3"/>
  <c r="R1458" i="3"/>
  <c r="R1450" i="3"/>
  <c r="R1472" i="3"/>
  <c r="R1513" i="3"/>
  <c r="R1518" i="3"/>
  <c r="R1512" i="3"/>
  <c r="R1537" i="3"/>
  <c r="R1557" i="3"/>
  <c r="R1535" i="3"/>
  <c r="R1563" i="3"/>
  <c r="R1553" i="3"/>
  <c r="R1552" i="3"/>
  <c r="R1538" i="3"/>
  <c r="R1546" i="3"/>
  <c r="R1571" i="3"/>
  <c r="R1539" i="3"/>
  <c r="R1549" i="3"/>
  <c r="R1550" i="3"/>
  <c r="R1542" i="3"/>
  <c r="R1543" i="3"/>
  <c r="R1725" i="3"/>
  <c r="R1544" i="3"/>
  <c r="R1536" i="3"/>
  <c r="R1540" i="3"/>
  <c r="R1545" i="3"/>
  <c r="R1569" i="3"/>
  <c r="R1560" i="3"/>
  <c r="R1576" i="3"/>
  <c r="R1581" i="3"/>
  <c r="R1608" i="3"/>
  <c r="R1587" i="3"/>
  <c r="R1604" i="3"/>
  <c r="R1605" i="3"/>
  <c r="R1609" i="3"/>
  <c r="R1600" i="3"/>
  <c r="R1568" i="3"/>
  <c r="R1627" i="3"/>
  <c r="R1633" i="3"/>
  <c r="R1588" i="3"/>
  <c r="R1663" i="3"/>
  <c r="R1636" i="3"/>
  <c r="R1637" i="3"/>
  <c r="R1629" i="3"/>
  <c r="R1640" i="3"/>
  <c r="R1673" i="3"/>
  <c r="R1678" i="3"/>
  <c r="R1709" i="3"/>
  <c r="R1698" i="3"/>
  <c r="R1683" i="3"/>
  <c r="R1667" i="3"/>
  <c r="R1670" i="3"/>
  <c r="R1599" i="3"/>
  <c r="R1617" i="3"/>
  <c r="R1592" i="3"/>
  <c r="R1575" i="3"/>
  <c r="R1606" i="3"/>
  <c r="R1590" i="3"/>
  <c r="R1661" i="3"/>
  <c r="R1601" i="3"/>
  <c r="R1616" i="3"/>
  <c r="R1613" i="3"/>
  <c r="R1579" i="3"/>
  <c r="R1610" i="3"/>
  <c r="R1625" i="3"/>
  <c r="R1573" i="3"/>
  <c r="R1634" i="3"/>
  <c r="R1594" i="3"/>
  <c r="R1630" i="3"/>
  <c r="R1607" i="3"/>
  <c r="R1620" i="3"/>
  <c r="R1622" i="3"/>
  <c r="R1603" i="3"/>
  <c r="R1691" i="3"/>
  <c r="R1641" i="3"/>
  <c r="R1624" i="3"/>
  <c r="R1660" i="3"/>
  <c r="R1682" i="3"/>
  <c r="R1615" i="3"/>
  <c r="R1711" i="3"/>
  <c r="R1658" i="3"/>
  <c r="R1695" i="3"/>
  <c r="R1681" i="3"/>
  <c r="R1669" i="3"/>
  <c r="R1672" i="3"/>
  <c r="R1635" i="3"/>
  <c r="R1694" i="3"/>
  <c r="R1671" i="3"/>
  <c r="R1680" i="3"/>
  <c r="R1656" i="3"/>
  <c r="R1642" i="3"/>
  <c r="R1710" i="3"/>
  <c r="R1702" i="3"/>
  <c r="R1668" i="3"/>
  <c r="R1715" i="3"/>
  <c r="R1728" i="3"/>
  <c r="R1717" i="3"/>
  <c r="R1734" i="3"/>
  <c r="R1733" i="3"/>
  <c r="R1727" i="3"/>
  <c r="R1740" i="3"/>
  <c r="R1735" i="3"/>
  <c r="R1736" i="3"/>
  <c r="R1729" i="3"/>
  <c r="R1577" i="3"/>
  <c r="R1572" i="3"/>
  <c r="R1677" i="3"/>
  <c r="R1650" i="3"/>
  <c r="R1558" i="3"/>
  <c r="R1602" i="3"/>
  <c r="R1611" i="3"/>
  <c r="R1646" i="3"/>
  <c r="R1643" i="3"/>
  <c r="R1647" i="3"/>
  <c r="R1547" i="3"/>
  <c r="R1644" i="3"/>
  <c r="R1639" i="3"/>
  <c r="R1562" i="3"/>
  <c r="R1645" i="3"/>
  <c r="R1638" i="3"/>
  <c r="R1649" i="3"/>
  <c r="R1652" i="3"/>
  <c r="R1664" i="3"/>
  <c r="R1614" i="3"/>
  <c r="R1559" i="3"/>
  <c r="R1654" i="3"/>
  <c r="R1665" i="3"/>
  <c r="R1686" i="3"/>
  <c r="R1687" i="3"/>
  <c r="R1688" i="3"/>
  <c r="R1689" i="3"/>
  <c r="R1690" i="3"/>
  <c r="R1676" i="3"/>
  <c r="R1612" i="3"/>
  <c r="R1693" i="3"/>
  <c r="R1666" i="3"/>
  <c r="R1707" i="3"/>
  <c r="R1723" i="3"/>
  <c r="R1738" i="3"/>
  <c r="R1741" i="3"/>
  <c r="R1739" i="3"/>
  <c r="R1731" i="3"/>
  <c r="R1732" i="3"/>
  <c r="R1705" i="3"/>
  <c r="R1706" i="3"/>
  <c r="R1726" i="3"/>
  <c r="R1716" i="3"/>
  <c r="R1737" i="3"/>
  <c r="R1724" i="3"/>
  <c r="R1746" i="3"/>
  <c r="R1743" i="3"/>
  <c r="R1744" i="3"/>
  <c r="R1745" i="3"/>
  <c r="R1701" i="3"/>
  <c r="R1742" i="3"/>
  <c r="R1730" i="3"/>
  <c r="R1722" i="3"/>
  <c r="R1565" i="3"/>
  <c r="R1692" i="3"/>
  <c r="R1561" i="3"/>
  <c r="R1582" i="3"/>
  <c r="R1555" i="3"/>
  <c r="R1580" i="3"/>
  <c r="R1541" i="3"/>
  <c r="R1548" i="3"/>
  <c r="R1589" i="3"/>
  <c r="R1618" i="3"/>
  <c r="R1564" i="3"/>
  <c r="R1583" i="3"/>
  <c r="R1567" i="3"/>
  <c r="R1595" i="3"/>
  <c r="R1621" i="3"/>
  <c r="R1554" i="3"/>
  <c r="R1623" i="3"/>
  <c r="R1684" i="3"/>
  <c r="R1570" i="3"/>
  <c r="R1628" i="3"/>
  <c r="R1574" i="3"/>
  <c r="R1551" i="3"/>
  <c r="R1556" i="3"/>
  <c r="R1566" i="3"/>
  <c r="R1578" i="3"/>
  <c r="R1586" i="3"/>
  <c r="R1585" i="3"/>
  <c r="R1626" i="3"/>
  <c r="R1631" i="3"/>
  <c r="R1597" i="3"/>
  <c r="R1584" i="3"/>
  <c r="R1619" i="3"/>
  <c r="R1598" i="3"/>
  <c r="R1596" i="3"/>
  <c r="R1593" i="3"/>
  <c r="R1591" i="3"/>
  <c r="R1651" i="3"/>
  <c r="R1712" i="3"/>
  <c r="R1655" i="3"/>
  <c r="R1632" i="3"/>
  <c r="R1648" i="3"/>
  <c r="R1659" i="3"/>
  <c r="R1653" i="3"/>
  <c r="R1700" i="3"/>
  <c r="R1718" i="3"/>
  <c r="R1699" i="3"/>
  <c r="R1657" i="3"/>
  <c r="R1662" i="3"/>
  <c r="R1675" i="3"/>
  <c r="R1713" i="3"/>
  <c r="R1714" i="3"/>
  <c r="R1679" i="3"/>
  <c r="R1703" i="3"/>
  <c r="R1704" i="3"/>
  <c r="R1696" i="3"/>
  <c r="R1685" i="3"/>
  <c r="R1719" i="3"/>
  <c r="R1720" i="3"/>
  <c r="R1721" i="3"/>
  <c r="R1674" i="3"/>
  <c r="R1708" i="3"/>
  <c r="R1697" i="3"/>
  <c r="R102" i="3"/>
  <c r="R93" i="3"/>
  <c r="R72" i="3"/>
  <c r="R155" i="3"/>
  <c r="R140" i="3"/>
  <c r="R131" i="3"/>
  <c r="R91" i="3"/>
  <c r="R56" i="3"/>
  <c r="R101" i="3"/>
  <c r="R87" i="3"/>
  <c r="R82" i="3"/>
  <c r="R67" i="3"/>
  <c r="R88" i="3"/>
  <c r="R97" i="3"/>
  <c r="R96" i="3"/>
  <c r="R100" i="3"/>
  <c r="R81" i="3"/>
  <c r="R53" i="3"/>
  <c r="R69" i="3"/>
  <c r="R110" i="3"/>
  <c r="R92" i="3"/>
  <c r="R116" i="3"/>
  <c r="R117" i="3"/>
  <c r="Q102" i="3"/>
  <c r="Q93" i="3"/>
  <c r="Q72" i="3"/>
  <c r="Q155" i="3"/>
  <c r="Q140" i="3"/>
  <c r="Q131" i="3"/>
  <c r="Q91" i="3"/>
  <c r="Q56" i="3"/>
  <c r="Q101" i="3"/>
  <c r="Q87" i="3"/>
  <c r="Q82" i="3"/>
  <c r="Q67" i="3"/>
  <c r="Q88" i="3"/>
  <c r="Q97" i="3"/>
  <c r="Q96" i="3"/>
  <c r="Q100" i="3"/>
  <c r="Q81" i="3"/>
  <c r="Q53" i="3"/>
  <c r="Q69" i="3"/>
  <c r="Q110" i="3"/>
  <c r="Q92" i="3"/>
  <c r="Q116" i="3"/>
  <c r="Q117" i="3"/>
  <c r="Q95" i="3"/>
  <c r="Q107" i="3"/>
  <c r="Q118" i="3"/>
  <c r="Q112" i="3"/>
  <c r="Q22" i="3"/>
  <c r="Q61" i="3"/>
  <c r="Q51" i="3"/>
  <c r="Q66" i="3"/>
  <c r="Q15" i="3"/>
  <c r="Q62" i="3"/>
  <c r="Q70" i="3"/>
  <c r="Q114" i="3"/>
  <c r="Q138" i="3"/>
  <c r="Q119" i="3"/>
  <c r="Q105" i="3"/>
  <c r="Q75" i="3"/>
  <c r="Q74" i="3"/>
  <c r="Q132" i="3"/>
  <c r="Q142" i="3"/>
  <c r="Q136" i="3"/>
  <c r="Q135" i="3"/>
  <c r="Q38" i="3"/>
  <c r="Q27" i="3"/>
  <c r="Q21" i="3"/>
  <c r="Q4" i="3"/>
  <c r="Q14" i="3"/>
  <c r="Q174" i="3"/>
  <c r="Q233" i="3"/>
  <c r="Q217" i="3"/>
  <c r="Q203" i="3"/>
  <c r="Q184" i="3"/>
  <c r="Q160" i="3"/>
  <c r="Q208" i="3"/>
  <c r="Q200" i="3"/>
  <c r="Q239" i="3"/>
  <c r="Q215" i="3"/>
  <c r="Q226" i="3"/>
  <c r="Q227" i="3"/>
  <c r="Q243" i="3"/>
  <c r="Q211" i="3"/>
  <c r="Q242" i="3"/>
  <c r="Q220" i="3"/>
  <c r="Q223" i="3"/>
  <c r="Q238" i="3"/>
  <c r="Q231" i="3"/>
  <c r="Q193" i="3"/>
  <c r="Q221" i="3"/>
  <c r="Q236" i="3"/>
  <c r="Q169" i="3"/>
  <c r="Q229" i="3"/>
  <c r="Q240" i="3"/>
  <c r="Q230" i="3"/>
  <c r="Q228" i="3"/>
  <c r="Q241" i="3"/>
  <c r="Q237" i="3"/>
  <c r="Q171" i="3"/>
  <c r="Q113" i="3"/>
  <c r="Q128" i="3"/>
  <c r="Q126" i="3"/>
  <c r="Q129" i="3"/>
  <c r="Q127" i="3"/>
  <c r="Q120" i="3"/>
  <c r="Q121" i="3"/>
  <c r="Q83" i="3"/>
  <c r="Q124" i="3"/>
  <c r="Q139" i="3"/>
  <c r="Q156" i="3"/>
  <c r="Q144" i="3"/>
  <c r="Q163" i="3"/>
  <c r="Q172" i="3"/>
  <c r="Q158" i="3"/>
  <c r="Q178" i="3"/>
  <c r="Q189" i="3"/>
  <c r="Q106" i="3"/>
  <c r="Q190" i="3"/>
  <c r="Q209" i="3"/>
  <c r="Q143" i="3"/>
  <c r="Q141" i="3"/>
  <c r="Q145" i="3"/>
  <c r="Q147" i="3"/>
  <c r="Q187" i="3"/>
  <c r="Q182" i="3"/>
  <c r="Q146" i="3"/>
  <c r="Q157" i="3"/>
  <c r="Q205" i="3"/>
  <c r="Q185" i="3"/>
  <c r="S185" i="3" s="1"/>
  <c r="Q195" i="3"/>
  <c r="Q197" i="3"/>
  <c r="S197" i="3" s="1"/>
  <c r="Q198" i="3"/>
  <c r="Q224" i="3"/>
  <c r="S224" i="3" s="1"/>
  <c r="Q179" i="3"/>
  <c r="Q183" i="3"/>
  <c r="S183" i="3" s="1"/>
  <c r="Q235" i="3"/>
  <c r="Q176" i="3"/>
  <c r="S176" i="3" s="1"/>
  <c r="Q219" i="3"/>
  <c r="Q166" i="3"/>
  <c r="S166" i="3" s="1"/>
  <c r="Q170" i="3"/>
  <c r="Q225" i="3"/>
  <c r="S225" i="3" s="1"/>
  <c r="Q218" i="3"/>
  <c r="Q214" i="3"/>
  <c r="S214" i="3" s="1"/>
  <c r="Q210" i="3"/>
  <c r="Q206" i="3"/>
  <c r="S206" i="3" s="1"/>
  <c r="Q161" i="3"/>
  <c r="Q222" i="3"/>
  <c r="S222" i="3" s="1"/>
  <c r="Q151" i="3"/>
  <c r="Q234" i="3"/>
  <c r="S234" i="3" s="1"/>
  <c r="Q162" i="3"/>
  <c r="Q90" i="3"/>
  <c r="S90" i="3" s="1"/>
  <c r="Q80" i="3"/>
  <c r="Q85" i="3"/>
  <c r="S85" i="3" s="1"/>
  <c r="Q188" i="3"/>
  <c r="Q149" i="3"/>
  <c r="S149" i="3" s="1"/>
  <c r="Q111" i="3"/>
  <c r="Q123" i="3"/>
  <c r="S123" i="3" s="1"/>
  <c r="Q191" i="3"/>
  <c r="Q65" i="3"/>
  <c r="S65" i="3" s="1"/>
  <c r="Q153" i="3"/>
  <c r="Q134" i="3"/>
  <c r="S134" i="3" s="1"/>
  <c r="Q130" i="3"/>
  <c r="Q133" i="3"/>
  <c r="S133" i="3" s="1"/>
  <c r="Q76" i="3"/>
  <c r="Q104" i="3"/>
  <c r="S104" i="3" s="1"/>
  <c r="Q137" i="3"/>
  <c r="Q164" i="3"/>
  <c r="S164" i="3" s="1"/>
  <c r="Q125" i="3"/>
  <c r="Q192" i="3"/>
  <c r="S192" i="3" s="1"/>
  <c r="Q71" i="3"/>
  <c r="Q47" i="3"/>
  <c r="S47" i="3" s="1"/>
  <c r="Q109" i="3"/>
  <c r="Q52" i="3"/>
  <c r="S52" i="3" s="1"/>
  <c r="Q20" i="3"/>
  <c r="Q16" i="3"/>
  <c r="S16" i="3" s="1"/>
  <c r="Q29" i="3"/>
  <c r="Q19" i="3"/>
  <c r="S19" i="3" s="1"/>
  <c r="Q30" i="3"/>
  <c r="Q24" i="3"/>
  <c r="S24" i="3" s="1"/>
  <c r="Q39" i="3"/>
  <c r="Q23" i="3"/>
  <c r="S23" i="3" s="1"/>
  <c r="Q18" i="3"/>
  <c r="Q32" i="3"/>
  <c r="S32" i="3" s="1"/>
  <c r="Q17" i="3"/>
  <c r="Q43" i="3"/>
  <c r="S43" i="3" s="1"/>
  <c r="Q31" i="3"/>
  <c r="Q5" i="3"/>
  <c r="S5" i="3" s="1"/>
  <c r="Q6" i="3"/>
  <c r="Q7" i="3"/>
  <c r="S7" i="3" s="1"/>
  <c r="Q9" i="3"/>
  <c r="Q10" i="3"/>
  <c r="S10" i="3" s="1"/>
  <c r="Q33" i="3"/>
  <c r="Q3" i="3"/>
  <c r="S3" i="3" s="1"/>
  <c r="Q11" i="3"/>
  <c r="Q26" i="3"/>
  <c r="S26" i="3" s="1"/>
  <c r="Q34" i="3"/>
  <c r="Q35" i="3"/>
  <c r="S35" i="3" s="1"/>
  <c r="Q42" i="3"/>
  <c r="Q40" i="3"/>
  <c r="S40" i="3" s="1"/>
  <c r="Q25" i="3"/>
  <c r="Q46" i="3"/>
  <c r="S46" i="3" s="1"/>
  <c r="Q50" i="3"/>
  <c r="Q63" i="3"/>
  <c r="S63" i="3" s="1"/>
  <c r="Q54" i="3"/>
  <c r="Q57" i="3"/>
  <c r="S57" i="3" s="1"/>
  <c r="Q68" i="3"/>
  <c r="Q58" i="3"/>
  <c r="S58" i="3" s="1"/>
  <c r="Q59" i="3"/>
  <c r="Q48" i="3"/>
  <c r="S48" i="3" s="1"/>
  <c r="Q49" i="3"/>
  <c r="Q55" i="3"/>
  <c r="S55" i="3" s="1"/>
  <c r="Q86" i="3"/>
  <c r="Q84" i="3"/>
  <c r="S84" i="3" s="1"/>
  <c r="Q79" i="3"/>
  <c r="Q77" i="3"/>
  <c r="S77" i="3" s="1"/>
  <c r="Q12" i="3"/>
  <c r="Q13" i="3"/>
  <c r="S13" i="3" s="1"/>
  <c r="Q28" i="3"/>
  <c r="Q45" i="3"/>
  <c r="S45" i="3" s="1"/>
  <c r="Q8" i="3"/>
  <c r="Q248" i="3"/>
  <c r="Q246" i="3"/>
  <c r="Q245" i="3"/>
  <c r="Q244" i="3"/>
  <c r="Q249" i="3"/>
  <c r="Q258" i="3"/>
  <c r="Q252" i="3"/>
  <c r="Q261" i="3"/>
  <c r="Q259" i="3"/>
  <c r="Q255" i="3"/>
  <c r="Q253" i="3"/>
  <c r="Q247" i="3"/>
  <c r="Q254" i="3"/>
  <c r="Q250" i="3"/>
  <c r="Q256" i="3"/>
  <c r="Q251" i="3"/>
  <c r="Q263" i="3"/>
  <c r="Q262" i="3"/>
  <c r="Q264" i="3"/>
  <c r="Q260" i="3"/>
  <c r="Q257" i="3"/>
  <c r="Q266" i="3"/>
  <c r="Q275" i="3"/>
  <c r="Q273" i="3"/>
  <c r="Q281" i="3"/>
  <c r="Q375" i="3"/>
  <c r="Q341" i="3"/>
  <c r="Q362" i="3"/>
  <c r="Q318" i="3"/>
  <c r="Q323" i="3"/>
  <c r="Q312" i="3"/>
  <c r="Q316" i="3"/>
  <c r="Q350" i="3"/>
  <c r="Q331" i="3"/>
  <c r="Q330" i="3"/>
  <c r="Q360" i="3"/>
  <c r="Q353" i="3"/>
  <c r="Q354" i="3"/>
  <c r="Q365" i="3"/>
  <c r="Q333" i="3"/>
  <c r="Q359" i="3"/>
  <c r="Q307" i="3"/>
  <c r="Q320" i="3"/>
  <c r="Q294" i="3"/>
  <c r="Q303" i="3"/>
  <c r="Q326" i="3"/>
  <c r="Q295" i="3"/>
  <c r="Q337" i="3"/>
  <c r="Q317" i="3"/>
  <c r="Q313" i="3"/>
  <c r="Q311" i="3"/>
  <c r="Q315" i="3"/>
  <c r="Q268" i="3"/>
  <c r="Q267" i="3"/>
  <c r="Q299" i="3"/>
  <c r="Q293" i="3"/>
  <c r="Q298" i="3"/>
  <c r="Q305" i="3"/>
  <c r="Q271" i="3"/>
  <c r="Q272" i="3"/>
  <c r="Q297" i="3"/>
  <c r="Q296" i="3"/>
  <c r="Q284" i="3"/>
  <c r="Q277" i="3"/>
  <c r="Q274" i="3"/>
  <c r="Q302" i="3"/>
  <c r="Q292" i="3"/>
  <c r="Q265" i="3"/>
  <c r="Q321" i="3"/>
  <c r="Q357" i="3"/>
  <c r="Q366" i="3"/>
  <c r="Q364" i="3"/>
  <c r="Q368" i="3"/>
  <c r="Q371" i="3"/>
  <c r="Q380" i="3"/>
  <c r="Q314" i="3"/>
  <c r="Q270" i="3"/>
  <c r="Q339" i="3"/>
  <c r="Q335" i="3"/>
  <c r="Q310" i="3"/>
  <c r="Q352" i="3"/>
  <c r="Q332" i="3"/>
  <c r="Q345" i="3"/>
  <c r="Q346" i="3"/>
  <c r="Q355" i="3"/>
  <c r="S355" i="3" s="1"/>
  <c r="Q348" i="3"/>
  <c r="Q349" i="3"/>
  <c r="S349" i="3" s="1"/>
  <c r="Q290" i="3"/>
  <c r="Q283" i="3"/>
  <c r="S283" i="3" s="1"/>
  <c r="Q289" i="3"/>
  <c r="Q291" i="3"/>
  <c r="S291" i="3" s="1"/>
  <c r="Q334" i="3"/>
  <c r="Q340" i="3"/>
  <c r="S340" i="3" s="1"/>
  <c r="Q325" i="3"/>
  <c r="Q328" i="3"/>
  <c r="S328" i="3" s="1"/>
  <c r="Q367" i="3"/>
  <c r="Q369" i="3"/>
  <c r="S369" i="3" s="1"/>
  <c r="Q358" i="3"/>
  <c r="Q361" i="3"/>
  <c r="S361" i="3" s="1"/>
  <c r="Q373" i="3"/>
  <c r="Q376" i="3"/>
  <c r="S376" i="3" s="1"/>
  <c r="Q377" i="3"/>
  <c r="Q379" i="3"/>
  <c r="S379" i="3" s="1"/>
  <c r="Q372" i="3"/>
  <c r="Q374" i="3"/>
  <c r="S374" i="3" s="1"/>
  <c r="Q370" i="3"/>
  <c r="Q378" i="3"/>
  <c r="S378" i="3" s="1"/>
  <c r="Q338" i="3"/>
  <c r="Q344" i="3"/>
  <c r="S344" i="3" s="1"/>
  <c r="Q278" i="3"/>
  <c r="Q322" i="3"/>
  <c r="S322" i="3" s="1"/>
  <c r="Q324" i="3"/>
  <c r="Q336" i="3"/>
  <c r="S336" i="3" s="1"/>
  <c r="Q327" i="3"/>
  <c r="Q288" i="3"/>
  <c r="S288" i="3" s="1"/>
  <c r="Q319" i="3"/>
  <c r="Q347" i="3"/>
  <c r="S347" i="3" s="1"/>
  <c r="Q279" i="3"/>
  <c r="Q356" i="3"/>
  <c r="S356" i="3" s="1"/>
  <c r="Q342" i="3"/>
  <c r="Q301" i="3"/>
  <c r="S301" i="3" s="1"/>
  <c r="Q363" i="3"/>
  <c r="Q304" i="3"/>
  <c r="S304" i="3" s="1"/>
  <c r="Q351" i="3"/>
  <c r="Q329" i="3"/>
  <c r="S329" i="3" s="1"/>
  <c r="Q343" i="3"/>
  <c r="Q300" i="3"/>
  <c r="S300" i="3" s="1"/>
  <c r="Q282" i="3"/>
  <c r="Q285" i="3"/>
  <c r="S285" i="3" s="1"/>
  <c r="Q280" i="3"/>
  <c r="Q286" i="3"/>
  <c r="S286" i="3" s="1"/>
  <c r="Q306" i="3"/>
  <c r="Q309" i="3"/>
  <c r="S309" i="3" s="1"/>
  <c r="Q287" i="3"/>
  <c r="Q276" i="3"/>
  <c r="S276" i="3" s="1"/>
  <c r="Q269" i="3"/>
  <c r="Q308" i="3"/>
  <c r="S308" i="3" s="1"/>
  <c r="Q432" i="3"/>
  <c r="Q439" i="3"/>
  <c r="S439" i="3" s="1"/>
  <c r="Q437" i="3"/>
  <c r="Q436" i="3"/>
  <c r="S436" i="3" s="1"/>
  <c r="Q427" i="3"/>
  <c r="Q440" i="3"/>
  <c r="S440" i="3" s="1"/>
  <c r="Q416" i="3"/>
  <c r="Q415" i="3"/>
  <c r="S415" i="3" s="1"/>
  <c r="Q442" i="3"/>
  <c r="Q417" i="3"/>
  <c r="S417" i="3" s="1"/>
  <c r="Q414" i="3"/>
  <c r="Q434" i="3"/>
  <c r="S434" i="3" s="1"/>
  <c r="Q424" i="3"/>
  <c r="Q438" i="3"/>
  <c r="S438" i="3" s="1"/>
  <c r="Q445" i="3"/>
  <c r="Q446" i="3"/>
  <c r="S446" i="3" s="1"/>
  <c r="Q441" i="3"/>
  <c r="Q406" i="3"/>
  <c r="S406" i="3" s="1"/>
  <c r="Q426" i="3"/>
  <c r="Q411" i="3"/>
  <c r="S411" i="3" s="1"/>
  <c r="Q381" i="3"/>
  <c r="Q410" i="3"/>
  <c r="S410" i="3" s="1"/>
  <c r="Q386" i="3"/>
  <c r="Q407" i="3"/>
  <c r="S407" i="3" s="1"/>
  <c r="Q389" i="3"/>
  <c r="Q383" i="3"/>
  <c r="Q397" i="3"/>
  <c r="Q388" i="3"/>
  <c r="Q392" i="3"/>
  <c r="Q395" i="3"/>
  <c r="Q382" i="3"/>
  <c r="Q393" i="3"/>
  <c r="Q385" i="3"/>
  <c r="Q384" i="3"/>
  <c r="Q387" i="3"/>
  <c r="Q425" i="3"/>
  <c r="Q435" i="3"/>
  <c r="Q412" i="3"/>
  <c r="Q443" i="3"/>
  <c r="Q444" i="3"/>
  <c r="Q418" i="3"/>
  <c r="Q423" i="3"/>
  <c r="Q433" i="3"/>
  <c r="Q428" i="3"/>
  <c r="Q430" i="3"/>
  <c r="Q429" i="3"/>
  <c r="Q448" i="3"/>
  <c r="Q449" i="3"/>
  <c r="Q455" i="3"/>
  <c r="Q469" i="3"/>
  <c r="Q451" i="3"/>
  <c r="Q453" i="3"/>
  <c r="Q456" i="3"/>
  <c r="Q457" i="3"/>
  <c r="Q452" i="3"/>
  <c r="Q450" i="3"/>
  <c r="Q471" i="3"/>
  <c r="Q463" i="3"/>
  <c r="Q462" i="3"/>
  <c r="Q465" i="3"/>
  <c r="Q466" i="3"/>
  <c r="Q467" i="3"/>
  <c r="Q464" i="3"/>
  <c r="Q461" i="3"/>
  <c r="Q454" i="3"/>
  <c r="Q458" i="3"/>
  <c r="Q470" i="3"/>
  <c r="Q468" i="3"/>
  <c r="Q447" i="3"/>
  <c r="Q459" i="3"/>
  <c r="Q460" i="3"/>
  <c r="Q419" i="3"/>
  <c r="Q390" i="3"/>
  <c r="Q420" i="3"/>
  <c r="Q413" i="3"/>
  <c r="Q408" i="3"/>
  <c r="Q431" i="3"/>
  <c r="Q421" i="3"/>
  <c r="Q399" i="3"/>
  <c r="Q401" i="3"/>
  <c r="Q422" i="3"/>
  <c r="Q403" i="3"/>
  <c r="Q409" i="3"/>
  <c r="Q391" i="3"/>
  <c r="Q396" i="3"/>
  <c r="Q398" i="3"/>
  <c r="Q394" i="3"/>
  <c r="Q400" i="3"/>
  <c r="Q402" i="3"/>
  <c r="Q404" i="3"/>
  <c r="Q405" i="3"/>
  <c r="Q524" i="3"/>
  <c r="Q472" i="3"/>
  <c r="Q474" i="3"/>
  <c r="Q483" i="3"/>
  <c r="Q476" i="3"/>
  <c r="Q492" i="3"/>
  <c r="Q480" i="3"/>
  <c r="Q486" i="3"/>
  <c r="Q487" i="3"/>
  <c r="Q497" i="3"/>
  <c r="Q484" i="3"/>
  <c r="Q502" i="3"/>
  <c r="Q496" i="3"/>
  <c r="Q477" i="3"/>
  <c r="Q479" i="3"/>
  <c r="Q482" i="3"/>
  <c r="Q511" i="3"/>
  <c r="Q494" i="3"/>
  <c r="Q499" i="3"/>
  <c r="Q500" i="3"/>
  <c r="Q509" i="3"/>
  <c r="Q473" i="3"/>
  <c r="Q539" i="3"/>
  <c r="Q519" i="3"/>
  <c r="Q540" i="3"/>
  <c r="Q542" i="3"/>
  <c r="Q531" i="3"/>
  <c r="Q549" i="3"/>
  <c r="Q538" i="3"/>
  <c r="Q527" i="3"/>
  <c r="Q526" i="3"/>
  <c r="Q525" i="3"/>
  <c r="Q533" i="3"/>
  <c r="Q529" i="3"/>
  <c r="Q592" i="3"/>
  <c r="Q598" i="3"/>
  <c r="Q560" i="3"/>
  <c r="Q544" i="3"/>
  <c r="Q515" i="3"/>
  <c r="Q517" i="3"/>
  <c r="Q520" i="3"/>
  <c r="Q537" i="3"/>
  <c r="Q534" i="3"/>
  <c r="Q522" i="3"/>
  <c r="Q523" i="3"/>
  <c r="Q536" i="3"/>
  <c r="Q518" i="3"/>
  <c r="Q512" i="3"/>
  <c r="Q501" i="3"/>
  <c r="Q505" i="3"/>
  <c r="Q532" i="3"/>
  <c r="Q597" i="3"/>
  <c r="Q566" i="3"/>
  <c r="Q553" i="3"/>
  <c r="Q596" i="3"/>
  <c r="Q579" i="3"/>
  <c r="Q514" i="3"/>
  <c r="Q516" i="3"/>
  <c r="Q521" i="3"/>
  <c r="Q488" i="3"/>
  <c r="Q562" i="3"/>
  <c r="Q564" i="3"/>
  <c r="Q567" i="3"/>
  <c r="Q570" i="3"/>
  <c r="Q559" i="3"/>
  <c r="Q606" i="3"/>
  <c r="Q554" i="3"/>
  <c r="Q541" i="3"/>
  <c r="Q545" i="3"/>
  <c r="Q610" i="3"/>
  <c r="Q558" i="3"/>
  <c r="Q546" i="3"/>
  <c r="Q565" i="3"/>
  <c r="Q568" i="3"/>
  <c r="Q561" i="3"/>
  <c r="Q478" i="3"/>
  <c r="Q508" i="3"/>
  <c r="Q485" i="3"/>
  <c r="Q489" i="3"/>
  <c r="Q563" i="3"/>
  <c r="Q578" i="3"/>
  <c r="Q593" i="3"/>
  <c r="Q599" i="3"/>
  <c r="Q576" i="3"/>
  <c r="Q572" i="3"/>
  <c r="Q587" i="3"/>
  <c r="Q591" i="3"/>
  <c r="Q584" i="3"/>
  <c r="Q585" i="3"/>
  <c r="Q615" i="3"/>
  <c r="Q608" i="3"/>
  <c r="Q594" i="3"/>
  <c r="Q506" i="3"/>
  <c r="Q614" i="3"/>
  <c r="Q616" i="3"/>
  <c r="Q619" i="3"/>
  <c r="Q625" i="3"/>
  <c r="Q621" i="3"/>
  <c r="Q603" i="3"/>
  <c r="Q624" i="3"/>
  <c r="Q588" i="3"/>
  <c r="Q595" i="3"/>
  <c r="Q557" i="3"/>
  <c r="Q604" i="3"/>
  <c r="Q602" i="3"/>
  <c r="Q583" i="3"/>
  <c r="Q491" i="3"/>
  <c r="Q498" i="3"/>
  <c r="Q503" i="3"/>
  <c r="Q507" i="3"/>
  <c r="Q475" i="3"/>
  <c r="Q495" i="3"/>
  <c r="Q556" i="3"/>
  <c r="Q550" i="3"/>
  <c r="Q551" i="3"/>
  <c r="Q555" i="3"/>
  <c r="Q528" i="3"/>
  <c r="Q547" i="3"/>
  <c r="Q605" i="3"/>
  <c r="Q589" i="3"/>
  <c r="Q613" i="3"/>
  <c r="Q617" i="3"/>
  <c r="Q611" i="3"/>
  <c r="Q618" i="3"/>
  <c r="Q612" i="3"/>
  <c r="Q609" i="3"/>
  <c r="Q600" i="3"/>
  <c r="Q580" i="3"/>
  <c r="Q571" i="3"/>
  <c r="Q590" i="3"/>
  <c r="Q575" i="3"/>
  <c r="Q543" i="3"/>
  <c r="Q510" i="3"/>
  <c r="Q490" i="3"/>
  <c r="Q493" i="3"/>
  <c r="Q607" i="3"/>
  <c r="Q601" i="3"/>
  <c r="Q552" i="3"/>
  <c r="Q548" i="3"/>
  <c r="Q481" i="3"/>
  <c r="Q504" i="3"/>
  <c r="Q620" i="3"/>
  <c r="Q623" i="3"/>
  <c r="Q622" i="3"/>
  <c r="Q626" i="3"/>
  <c r="Q627" i="3"/>
  <c r="Q535" i="3"/>
  <c r="Q530" i="3"/>
  <c r="Q513" i="3"/>
  <c r="Q581" i="3"/>
  <c r="Q586" i="3"/>
  <c r="Q582" i="3"/>
  <c r="Q573" i="3"/>
  <c r="Q569" i="3"/>
  <c r="Q577" i="3"/>
  <c r="Q574" i="3"/>
  <c r="Q1339" i="3"/>
  <c r="Q1060" i="3"/>
  <c r="Q1080" i="3"/>
  <c r="Q1046" i="3"/>
  <c r="Q1067" i="3"/>
  <c r="Q1052" i="3"/>
  <c r="Q1063" i="3"/>
  <c r="Q1172" i="3"/>
  <c r="Q1226" i="3"/>
  <c r="Q1114" i="3"/>
  <c r="Q1213" i="3"/>
  <c r="Q1205" i="3"/>
  <c r="Q1166" i="3"/>
  <c r="Q1187" i="3"/>
  <c r="Q1196" i="3"/>
  <c r="Q1211" i="3"/>
  <c r="Q1229" i="3"/>
  <c r="Q1231" i="3"/>
  <c r="Q1207" i="3"/>
  <c r="Q1212" i="3"/>
  <c r="Q1190" i="3"/>
  <c r="Q1233" i="3"/>
  <c r="Q1169" i="3"/>
  <c r="Q1264" i="3"/>
  <c r="Q1249" i="3"/>
  <c r="Q1234" i="3"/>
  <c r="Q1188" i="3"/>
  <c r="Q1238" i="3"/>
  <c r="Q1245" i="3"/>
  <c r="Q1247" i="3"/>
  <c r="Q1282" i="3"/>
  <c r="Q1210" i="3"/>
  <c r="Q1259" i="3"/>
  <c r="Q1225" i="3"/>
  <c r="Q1236" i="3"/>
  <c r="Q1159" i="3"/>
  <c r="Q1156" i="3"/>
  <c r="Q1186" i="3"/>
  <c r="Q1224" i="3"/>
  <c r="Q1258" i="3"/>
  <c r="Q1228" i="3"/>
  <c r="Q1157" i="3"/>
  <c r="Q1123" i="3"/>
  <c r="Q1077" i="3"/>
  <c r="Q1297" i="3"/>
  <c r="Q1289" i="3"/>
  <c r="Q1283" i="3"/>
  <c r="Q1275" i="3"/>
  <c r="Q1276" i="3"/>
  <c r="Q1284" i="3"/>
  <c r="Q1244" i="3"/>
  <c r="Q1295" i="3"/>
  <c r="Q1167" i="3"/>
  <c r="Q1265" i="3"/>
  <c r="Q965" i="3"/>
  <c r="Q1142" i="3"/>
  <c r="Q1232" i="3"/>
  <c r="Q1294" i="3"/>
  <c r="Q1158" i="3"/>
  <c r="Q1214" i="3"/>
  <c r="Q1239" i="3"/>
  <c r="Q1189" i="3"/>
  <c r="Q1170" i="3"/>
  <c r="Q1192" i="3"/>
  <c r="Q1343" i="3"/>
  <c r="Q1256" i="3"/>
  <c r="Q1081" i="3"/>
  <c r="Q1329" i="3"/>
  <c r="Q1330" i="3"/>
  <c r="Q1277" i="3"/>
  <c r="Q1257" i="3"/>
  <c r="Q1129" i="3"/>
  <c r="Q1354" i="3"/>
  <c r="Q1355" i="3"/>
  <c r="Q1209" i="3"/>
  <c r="Q1153" i="3"/>
  <c r="Q1296" i="3"/>
  <c r="Q1086" i="3"/>
  <c r="Q1221" i="3"/>
  <c r="Q1222" i="3"/>
  <c r="Q1223" i="3"/>
  <c r="Q1298" i="3"/>
  <c r="Q1349" i="3"/>
  <c r="Q1350" i="3"/>
  <c r="Q1323" i="3"/>
  <c r="Q1332" i="3"/>
  <c r="Q1333" i="3"/>
  <c r="Q1334" i="3"/>
  <c r="Q1335" i="3"/>
  <c r="Q1356" i="3"/>
  <c r="Q1303" i="3"/>
  <c r="Q1304" i="3"/>
  <c r="Q1299" i="3"/>
  <c r="Q1300" i="3"/>
  <c r="Q1301" i="3"/>
  <c r="Q1302" i="3"/>
  <c r="Q1305" i="3"/>
  <c r="Q1147" i="3"/>
  <c r="Q1290" i="3"/>
  <c r="Q1340" i="3"/>
  <c r="Q1268" i="3"/>
  <c r="Q1269" i="3"/>
  <c r="Q1270" i="3"/>
  <c r="Q1337" i="3"/>
  <c r="Q1324" i="3"/>
  <c r="Q1336" i="3"/>
  <c r="Q1357" i="3"/>
  <c r="Q1358" i="3"/>
  <c r="Q1359" i="3"/>
  <c r="Q1307" i="3"/>
  <c r="Q1308" i="3"/>
  <c r="Q1309" i="3"/>
  <c r="Q1319" i="3"/>
  <c r="Q1287" i="3"/>
  <c r="Q1242" i="3"/>
  <c r="Q1352" i="3"/>
  <c r="Q1353" i="3"/>
  <c r="Q1266" i="3"/>
  <c r="Q1326" i="3"/>
  <c r="Q1320" i="3"/>
  <c r="Q1321" i="3"/>
  <c r="Q1341" i="3"/>
  <c r="Q1079" i="3"/>
  <c r="Q1346" i="3"/>
  <c r="Q1347" i="3"/>
  <c r="Q1348" i="3"/>
  <c r="Q1342" i="3"/>
  <c r="Q1322" i="3"/>
  <c r="Q1291" i="3"/>
  <c r="Q1344" i="3"/>
  <c r="Q679" i="3"/>
  <c r="Q1033" i="3"/>
  <c r="Q1048" i="3"/>
  <c r="Q1049" i="3"/>
  <c r="Q1050" i="3"/>
  <c r="Q1054" i="3"/>
  <c r="Q907" i="3"/>
  <c r="Q1006" i="3"/>
  <c r="Q986" i="3"/>
  <c r="Q866" i="3"/>
  <c r="Q1062" i="3"/>
  <c r="Q684" i="3"/>
  <c r="Q690" i="3"/>
  <c r="Q721" i="3"/>
  <c r="Q778" i="3"/>
  <c r="Q714" i="3"/>
  <c r="Q754" i="3"/>
  <c r="Q729" i="3"/>
  <c r="Q741" i="3"/>
  <c r="Q710" i="3"/>
  <c r="Q726" i="3"/>
  <c r="Q683" i="3"/>
  <c r="Q1084" i="3"/>
  <c r="Q1095" i="3"/>
  <c r="Q1191" i="3"/>
  <c r="Q1064" i="3"/>
  <c r="Q1023" i="3"/>
  <c r="Q1059" i="3"/>
  <c r="Q1099" i="3"/>
  <c r="Q1051" i="3"/>
  <c r="Q1102" i="3"/>
  <c r="Q1027" i="3"/>
  <c r="Q1010" i="3"/>
  <c r="Q1088" i="3"/>
  <c r="Q1130" i="3"/>
  <c r="Q1061" i="3"/>
  <c r="Q812" i="3"/>
  <c r="Q796" i="3"/>
  <c r="Q753" i="3"/>
  <c r="Q757" i="3"/>
  <c r="Q667" i="3"/>
  <c r="Q661" i="3"/>
  <c r="Q654" i="3"/>
  <c r="Q663" i="3"/>
  <c r="Q656" i="3"/>
  <c r="Q695" i="3"/>
  <c r="Q924" i="3"/>
  <c r="Q891" i="3"/>
  <c r="Q976" i="3"/>
  <c r="Q977" i="3"/>
  <c r="Q1032" i="3"/>
  <c r="Q989" i="3"/>
  <c r="Q692" i="3"/>
  <c r="Q842" i="3"/>
  <c r="Q813" i="3"/>
  <c r="Q814" i="3"/>
  <c r="Q689" i="3"/>
  <c r="Q711" i="3"/>
  <c r="Q671" i="3"/>
  <c r="Q691" i="3"/>
  <c r="Q669" i="3"/>
  <c r="Q709" i="3"/>
  <c r="Q713" i="3"/>
  <c r="Q728" i="3"/>
  <c r="Q979" i="3"/>
  <c r="Q899" i="3"/>
  <c r="Q1230" i="3"/>
  <c r="Q1160" i="3"/>
  <c r="Q1008" i="3"/>
  <c r="Q934" i="3"/>
  <c r="Q935" i="3"/>
  <c r="Q927" i="3"/>
  <c r="Q928" i="3"/>
  <c r="Q929" i="3"/>
  <c r="Q930" i="3"/>
  <c r="Q918" i="3"/>
  <c r="Q919" i="3"/>
  <c r="Q920" i="3"/>
  <c r="Q945" i="3"/>
  <c r="Q946" i="3"/>
  <c r="Q947" i="3"/>
  <c r="Q936" i="3"/>
  <c r="Q937" i="3"/>
  <c r="Q938" i="3"/>
  <c r="Q939" i="3"/>
  <c r="Q952" i="3"/>
  <c r="Q948" i="3"/>
  <c r="Q949" i="3"/>
  <c r="Q950" i="3"/>
  <c r="Q747" i="3"/>
  <c r="Q791" i="3"/>
  <c r="Q685" i="3"/>
  <c r="Q702" i="3"/>
  <c r="Q704" i="3"/>
  <c r="Q715" i="3"/>
  <c r="Q697" i="3"/>
  <c r="Q734" i="3"/>
  <c r="Q716" i="3"/>
  <c r="Q698" i="3"/>
  <c r="Q735" i="3"/>
  <c r="Q736" i="3"/>
  <c r="Q708" i="3"/>
  <c r="Q653" i="3"/>
  <c r="Q980" i="3"/>
  <c r="Q966" i="3"/>
  <c r="Q999" i="3"/>
  <c r="Q1009" i="3"/>
  <c r="Q958" i="3"/>
  <c r="Q981" i="3"/>
  <c r="Q1002" i="3"/>
  <c r="Q1047" i="3"/>
  <c r="Q962" i="3"/>
  <c r="Q994" i="3"/>
  <c r="Q973" i="3"/>
  <c r="Q995" i="3"/>
  <c r="Q974" i="3"/>
  <c r="Q1001" i="3"/>
  <c r="Q961" i="3"/>
  <c r="Q1020" i="3"/>
  <c r="Q1021" i="3"/>
  <c r="Q1026" i="3"/>
  <c r="Q1007" i="3"/>
  <c r="Q1003" i="3"/>
  <c r="Q1015" i="3"/>
  <c r="Q1016" i="3"/>
  <c r="Q1069" i="3"/>
  <c r="Q861" i="3"/>
  <c r="Q879" i="3"/>
  <c r="Q900" i="3"/>
  <c r="Q940" i="3"/>
  <c r="Q841" i="3"/>
  <c r="Q857" i="3"/>
  <c r="Q859" i="3"/>
  <c r="Q815" i="3"/>
  <c r="Q803" i="3"/>
  <c r="Q762" i="3"/>
  <c r="Q880" i="3"/>
  <c r="Q860" i="3"/>
  <c r="Q972" i="3"/>
  <c r="Q797" i="3"/>
  <c r="Q808" i="3"/>
  <c r="Q914" i="3"/>
  <c r="Q915" i="3"/>
  <c r="Q953" i="3"/>
  <c r="Q951" i="3"/>
  <c r="Q916" i="3"/>
  <c r="Q881" i="3"/>
  <c r="Q885" i="3"/>
  <c r="Q882" i="3"/>
  <c r="Q755" i="3"/>
  <c r="Q854" i="3"/>
  <c r="Q894" i="3"/>
  <c r="Q816" i="3"/>
  <c r="Q1151" i="3"/>
  <c r="Q725" i="3"/>
  <c r="Q910" i="3"/>
  <c r="Q730" i="3"/>
  <c r="Q905" i="3"/>
  <c r="Q896" i="3"/>
  <c r="Q993" i="3"/>
  <c r="Q751" i="3"/>
  <c r="Q737" i="3"/>
  <c r="Q769" i="3"/>
  <c r="Q779" i="3"/>
  <c r="Q845" i="3"/>
  <c r="Q1039" i="3"/>
  <c r="Q1022" i="3"/>
  <c r="Q1024" i="3"/>
  <c r="Q644" i="3"/>
  <c r="Q1040" i="3"/>
  <c r="Q955" i="3"/>
  <c r="Q959" i="3"/>
  <c r="Q921" i="3"/>
  <c r="Q858" i="3"/>
  <c r="Q873" i="3"/>
  <c r="Q933" i="3"/>
  <c r="Q960" i="3"/>
  <c r="Q878" i="3"/>
  <c r="Q1076" i="3"/>
  <c r="Q1310" i="3"/>
  <c r="Q1325" i="3"/>
  <c r="Q1345" i="3"/>
  <c r="Q1267" i="3"/>
  <c r="Q1235" i="3"/>
  <c r="Q1338" i="3"/>
  <c r="Q1312" i="3"/>
  <c r="Q1327" i="3"/>
  <c r="Q1288" i="3"/>
  <c r="Q1216" i="3"/>
  <c r="Q1137" i="3"/>
  <c r="Q1183" i="3"/>
  <c r="Q1126" i="3"/>
  <c r="Q1119" i="3"/>
  <c r="Q1127" i="3"/>
  <c r="Q1150" i="3"/>
  <c r="Q1100" i="3"/>
  <c r="Q1101" i="3"/>
  <c r="Q1117" i="3"/>
  <c r="Q1118" i="3"/>
  <c r="Q1184" i="3"/>
  <c r="Q1073" i="3"/>
  <c r="Q1074" i="3"/>
  <c r="Q1075" i="3"/>
  <c r="Q664" i="3"/>
  <c r="Q992" i="3"/>
  <c r="Q652" i="3"/>
  <c r="Q638" i="3"/>
  <c r="Q775" i="3"/>
  <c r="Q792" i="3"/>
  <c r="Q786" i="3"/>
  <c r="Q776" i="3"/>
  <c r="Q922" i="3"/>
  <c r="Q628" i="3"/>
  <c r="Q957" i="3"/>
  <c r="Q766" i="3"/>
  <c r="Q767" i="3"/>
  <c r="Q1068" i="3"/>
  <c r="Q641" i="3"/>
  <c r="Q1058" i="3"/>
  <c r="Q772" i="3"/>
  <c r="Q944" i="3"/>
  <c r="Q1093" i="3"/>
  <c r="Q1017" i="3"/>
  <c r="Q1090" i="3"/>
  <c r="Q1132" i="3"/>
  <c r="Q890" i="3"/>
  <c r="Q897" i="3"/>
  <c r="Q1031" i="3"/>
  <c r="Q1078" i="3"/>
  <c r="Q1110" i="3"/>
  <c r="Q1111" i="3"/>
  <c r="Q1243" i="3"/>
  <c r="Q1171" i="3"/>
  <c r="Q1128" i="3"/>
  <c r="Q633" i="3"/>
  <c r="Q903" i="3"/>
  <c r="Q869" i="3"/>
  <c r="Q931" i="3"/>
  <c r="Q985" i="3"/>
  <c r="Q1096" i="3"/>
  <c r="Q1082" i="3"/>
  <c r="Q904" i="3"/>
  <c r="Q932" i="3"/>
  <c r="Q1000" i="3"/>
  <c r="Q731" i="3"/>
  <c r="Q1097" i="3"/>
  <c r="Q908" i="3"/>
  <c r="Q699" i="3"/>
  <c r="Q1065" i="3"/>
  <c r="Q798" i="3"/>
  <c r="Q1012" i="3"/>
  <c r="Q780" i="3"/>
  <c r="Q795" i="3"/>
  <c r="Q799" i="3"/>
  <c r="Q844" i="3"/>
  <c r="Q773" i="3"/>
  <c r="Q987" i="3"/>
  <c r="Q1165" i="3"/>
  <c r="Q886" i="3"/>
  <c r="Q887" i="3"/>
  <c r="Q901" i="3"/>
  <c r="Q963" i="3"/>
  <c r="Q941" i="3"/>
  <c r="Q917" i="3"/>
  <c r="Q892" i="3"/>
  <c r="Q1034" i="3"/>
  <c r="Q1011" i="3"/>
  <c r="Q925" i="3"/>
  <c r="Q837" i="3"/>
  <c r="Q982" i="3"/>
  <c r="Q1217" i="3"/>
  <c r="Q632" i="3"/>
  <c r="Q640" i="3"/>
  <c r="Q788" i="3"/>
  <c r="Q1162" i="3"/>
  <c r="Q967" i="3"/>
  <c r="Q639" i="3"/>
  <c r="Q1163" i="3"/>
  <c r="Q1193" i="3"/>
  <c r="Q646" i="3"/>
  <c r="Q1104" i="3"/>
  <c r="Q1133" i="3"/>
  <c r="Q1025" i="3"/>
  <c r="Q1036" i="3"/>
  <c r="Q740" i="3"/>
  <c r="Q785" i="3"/>
  <c r="Q705" i="3"/>
  <c r="Q1251" i="3"/>
  <c r="Q789" i="3"/>
  <c r="Q851" i="3"/>
  <c r="Q749" i="3"/>
  <c r="Q888" i="3"/>
  <c r="Q821" i="3"/>
  <c r="Q898" i="3"/>
  <c r="Q849" i="3"/>
  <c r="Q1208" i="3"/>
  <c r="Q1197" i="3"/>
  <c r="Q850" i="3"/>
  <c r="Q660" i="3"/>
  <c r="Q693" i="3"/>
  <c r="Q682" i="3"/>
  <c r="Q991" i="3"/>
  <c r="Q782" i="3"/>
  <c r="Q706" i="3"/>
  <c r="Q833" i="3"/>
  <c r="Q744" i="3"/>
  <c r="Q1227" i="3"/>
  <c r="Q688" i="3"/>
  <c r="Q783" i="3"/>
  <c r="Q1194" i="3"/>
  <c r="Q738" i="3"/>
  <c r="Q662" i="3"/>
  <c r="Q804" i="3"/>
  <c r="Q686" i="3"/>
  <c r="Q674" i="3"/>
  <c r="Q703" i="3"/>
  <c r="Q832" i="3"/>
  <c r="Q794" i="3"/>
  <c r="Q1055" i="3"/>
  <c r="Q874" i="3"/>
  <c r="Q855" i="3"/>
  <c r="Q865" i="3"/>
  <c r="Q872" i="3"/>
  <c r="Q742" i="3"/>
  <c r="Q681" i="3"/>
  <c r="Q672" i="3"/>
  <c r="Q834" i="3"/>
  <c r="Q895" i="3"/>
  <c r="Q883" i="3"/>
  <c r="S883" i="3" s="1"/>
  <c r="Q862" i="3"/>
  <c r="Q696" i="3"/>
  <c r="S696" i="3" s="1"/>
  <c r="Q990" i="3"/>
  <c r="Q722" i="3"/>
  <c r="S722" i="3" s="1"/>
  <c r="Q1351" i="3"/>
  <c r="Q1274" i="3"/>
  <c r="S1274" i="3" s="1"/>
  <c r="Q1056" i="3"/>
  <c r="Q1089" i="3"/>
  <c r="S1089" i="3" s="1"/>
  <c r="Q838" i="3"/>
  <c r="Q909" i="3"/>
  <c r="S909" i="3" s="1"/>
  <c r="Q1107" i="3"/>
  <c r="Q1198" i="3"/>
  <c r="S1198" i="3" s="1"/>
  <c r="Q707" i="3"/>
  <c r="Q748" i="3"/>
  <c r="S748" i="3" s="1"/>
  <c r="Q817" i="3"/>
  <c r="Q818" i="3"/>
  <c r="S818" i="3" s="1"/>
  <c r="Q871" i="3"/>
  <c r="Q863" i="3"/>
  <c r="S863" i="3" s="1"/>
  <c r="Q884" i="3"/>
  <c r="Q763" i="3"/>
  <c r="S763" i="3" s="1"/>
  <c r="Q1260" i="3"/>
  <c r="Q996" i="3"/>
  <c r="S996" i="3" s="1"/>
  <c r="Q1037" i="3"/>
  <c r="Q1087" i="3"/>
  <c r="S1087" i="3" s="1"/>
  <c r="Q746" i="3"/>
  <c r="Q997" i="3"/>
  <c r="S997" i="3" s="1"/>
  <c r="Q771" i="3"/>
  <c r="Q848" i="3"/>
  <c r="S848" i="3" s="1"/>
  <c r="Q913" i="3"/>
  <c r="Q1070" i="3"/>
  <c r="S1070" i="3" s="1"/>
  <c r="Q805" i="3"/>
  <c r="Q852" i="3"/>
  <c r="S852" i="3" s="1"/>
  <c r="Q983" i="3"/>
  <c r="Q1013" i="3"/>
  <c r="S1013" i="3" s="1"/>
  <c r="Q968" i="3"/>
  <c r="Q724" i="3"/>
  <c r="S724" i="3" s="1"/>
  <c r="Q701" i="3"/>
  <c r="Q822" i="3"/>
  <c r="S822" i="3" s="1"/>
  <c r="Q790" i="3"/>
  <c r="Q670" i="3"/>
  <c r="S670" i="3" s="1"/>
  <c r="Q1263" i="3"/>
  <c r="Q1029" i="3"/>
  <c r="S1029" i="3" s="1"/>
  <c r="Q868" i="3"/>
  <c r="Q1091" i="3"/>
  <c r="S1091" i="3" s="1"/>
  <c r="Q975" i="3"/>
  <c r="Q906" i="3"/>
  <c r="S906" i="3" s="1"/>
  <c r="Q1014" i="3"/>
  <c r="Q1004" i="3"/>
  <c r="S1004" i="3" s="1"/>
  <c r="Q1019" i="3"/>
  <c r="Q831" i="3"/>
  <c r="S831" i="3" s="1"/>
  <c r="Q1028" i="3"/>
  <c r="Q893" i="3"/>
  <c r="S893" i="3" s="1"/>
  <c r="Q970" i="3"/>
  <c r="Q853" i="3"/>
  <c r="S853" i="3" s="1"/>
  <c r="Q870" i="3"/>
  <c r="Q843" i="3"/>
  <c r="S843" i="3" s="1"/>
  <c r="Q877" i="3"/>
  <c r="Q807" i="3"/>
  <c r="S807" i="3" s="1"/>
  <c r="Q717" i="3"/>
  <c r="Q770" i="3"/>
  <c r="S770" i="3" s="1"/>
  <c r="Q768" i="3"/>
  <c r="Q911" i="3"/>
  <c r="S911" i="3" s="1"/>
  <c r="Q969" i="3"/>
  <c r="Q923" i="3"/>
  <c r="S923" i="3" s="1"/>
  <c r="Q956" i="3"/>
  <c r="Q876" i="3"/>
  <c r="S876" i="3" s="1"/>
  <c r="Q1035" i="3"/>
  <c r="Q1094" i="3"/>
  <c r="S1094" i="3" s="1"/>
  <c r="Q856" i="3"/>
  <c r="Q1293" i="3"/>
  <c r="S1293" i="3" s="1"/>
  <c r="Q926" i="3"/>
  <c r="Q1018" i="3"/>
  <c r="S1018" i="3" s="1"/>
  <c r="Q802" i="3"/>
  <c r="Q912" i="3"/>
  <c r="S912" i="3" s="1"/>
  <c r="Q826" i="3"/>
  <c r="Q984" i="3"/>
  <c r="S984" i="3" s="1"/>
  <c r="Q875" i="3"/>
  <c r="Q1286" i="3"/>
  <c r="S1286" i="3" s="1"/>
  <c r="Q1120" i="3"/>
  <c r="Q1145" i="3"/>
  <c r="S1145" i="3" s="1"/>
  <c r="Q823" i="3"/>
  <c r="Q739" i="3"/>
  <c r="S739" i="3" s="1"/>
  <c r="Q829" i="3"/>
  <c r="Q712" i="3"/>
  <c r="S712" i="3" s="1"/>
  <c r="Q1071" i="3"/>
  <c r="Q784" i="3"/>
  <c r="Q839" i="3"/>
  <c r="Q732" i="3"/>
  <c r="Q846" i="3"/>
  <c r="Q1106" i="3"/>
  <c r="Q1199" i="3"/>
  <c r="Q1005" i="3"/>
  <c r="Q1030" i="3"/>
  <c r="Q1148" i="3"/>
  <c r="Q1125" i="3"/>
  <c r="Q1066" i="3"/>
  <c r="Q1124" i="3"/>
  <c r="Q1306" i="3"/>
  <c r="Q1131" i="3"/>
  <c r="Q1103" i="3"/>
  <c r="Q1043" i="3"/>
  <c r="Q1092" i="3"/>
  <c r="Q954" i="3"/>
  <c r="Q942" i="3"/>
  <c r="Q1098" i="3"/>
  <c r="Q1057" i="3"/>
  <c r="Q1161" i="3"/>
  <c r="Q1122" i="3"/>
  <c r="Q1085" i="3"/>
  <c r="Q1134" i="3"/>
  <c r="Q1328" i="3"/>
  <c r="Q1138" i="3"/>
  <c r="Q1115" i="3"/>
  <c r="Q1173" i="3"/>
  <c r="Q1113" i="3"/>
  <c r="Q1240" i="3"/>
  <c r="Q1271" i="3"/>
  <c r="Q1143" i="3"/>
  <c r="Q1252" i="3"/>
  <c r="Q1241" i="3"/>
  <c r="Q1200" i="3"/>
  <c r="Q1038" i="3"/>
  <c r="Q1174" i="3"/>
  <c r="Q1146" i="3"/>
  <c r="Q1154" i="3"/>
  <c r="Q1195" i="3"/>
  <c r="Q1201" i="3"/>
  <c r="Q1139" i="3"/>
  <c r="Q1175" i="3"/>
  <c r="Q964" i="3"/>
  <c r="Q971" i="3"/>
  <c r="Q1285" i="3"/>
  <c r="Q1152" i="3"/>
  <c r="Q1116" i="3"/>
  <c r="Q1144" i="3"/>
  <c r="Q1248" i="3"/>
  <c r="Q1218" i="3"/>
  <c r="Q1237" i="3"/>
  <c r="Q1215" i="3"/>
  <c r="Q1202" i="3"/>
  <c r="Q1105" i="3"/>
  <c r="Q1253" i="3"/>
  <c r="Q1313" i="3"/>
  <c r="Q1083" i="3"/>
  <c r="Q1135" i="3"/>
  <c r="Q1072" i="3"/>
  <c r="Q1041" i="3"/>
  <c r="Q1136" i="3"/>
  <c r="Q1185" i="3"/>
  <c r="Q1176" i="3"/>
  <c r="Q1164" i="3"/>
  <c r="Q1112" i="3"/>
  <c r="Q1042" i="3"/>
  <c r="Q1311" i="3"/>
  <c r="Q1314" i="3"/>
  <c r="Q1278" i="3"/>
  <c r="Q1315" i="3"/>
  <c r="Q1219" i="3"/>
  <c r="Q1168" i="3"/>
  <c r="Q1279" i="3"/>
  <c r="Q1254" i="3"/>
  <c r="Q1220" i="3"/>
  <c r="Q1203" i="3"/>
  <c r="Q943" i="3"/>
  <c r="Q781" i="3"/>
  <c r="Q1316" i="3"/>
  <c r="Q1261" i="3"/>
  <c r="Q1280" i="3"/>
  <c r="Q1262" i="3"/>
  <c r="Q1250" i="3"/>
  <c r="Q1255" i="3"/>
  <c r="Q1177" i="3"/>
  <c r="Q1331" i="3"/>
  <c r="Q1317" i="3"/>
  <c r="Q1272" i="3"/>
  <c r="Q1204" i="3"/>
  <c r="Q978" i="3"/>
  <c r="Q1044" i="3"/>
  <c r="Q1281" i="3"/>
  <c r="Q1108" i="3"/>
  <c r="Q1045" i="3"/>
  <c r="Q1155" i="3"/>
  <c r="Q1053" i="3"/>
  <c r="Q1292" i="3"/>
  <c r="Q1318" i="3"/>
  <c r="Q1273" i="3"/>
  <c r="Q1206" i="3"/>
  <c r="Q1109" i="3"/>
  <c r="Q657" i="3"/>
  <c r="Q634" i="3"/>
  <c r="Q629" i="3"/>
  <c r="Q630" i="3"/>
  <c r="Q647" i="3"/>
  <c r="Q648" i="3"/>
  <c r="Q649" i="3"/>
  <c r="Q650" i="3"/>
  <c r="Q635" i="3"/>
  <c r="Q658" i="3"/>
  <c r="Q666" i="3"/>
  <c r="Q651" i="3"/>
  <c r="Q642" i="3"/>
  <c r="Q631" i="3"/>
  <c r="Q643" i="3"/>
  <c r="Q636" i="3"/>
  <c r="Q637" i="3"/>
  <c r="Q718" i="3"/>
  <c r="Q758" i="3"/>
  <c r="Q719" i="3"/>
  <c r="Q809" i="3"/>
  <c r="Q810" i="3"/>
  <c r="Q811" i="3"/>
  <c r="Q759" i="3"/>
  <c r="Q720" i="3"/>
  <c r="S720" i="3" s="1"/>
  <c r="Q1361" i="3"/>
  <c r="Q1360" i="3"/>
  <c r="Q1363" i="3"/>
  <c r="Q1362" i="3"/>
  <c r="Q1366" i="3"/>
  <c r="Q1365" i="3"/>
  <c r="Q1364" i="3"/>
  <c r="Q1368" i="3"/>
  <c r="Q1371" i="3"/>
  <c r="Q1370" i="3"/>
  <c r="Q1376" i="3"/>
  <c r="Q1372" i="3"/>
  <c r="Q1367" i="3"/>
  <c r="Q1389" i="3"/>
  <c r="Q1369" i="3"/>
  <c r="Q1381" i="3"/>
  <c r="Q1382" i="3"/>
  <c r="Q1373" i="3"/>
  <c r="Q1374" i="3"/>
  <c r="Q1385" i="3"/>
  <c r="Q1375" i="3"/>
  <c r="Q1379" i="3"/>
  <c r="Q1378" i="3"/>
  <c r="Q1377" i="3"/>
  <c r="Q1383" i="3"/>
  <c r="Q1384" i="3"/>
  <c r="Q1386" i="3"/>
  <c r="Q1380" i="3"/>
  <c r="Q1387" i="3"/>
  <c r="Q1388" i="3"/>
  <c r="Q1427" i="3"/>
  <c r="Q1428" i="3"/>
  <c r="Q1423" i="3"/>
  <c r="Q1424" i="3"/>
  <c r="Q1419" i="3"/>
  <c r="Q1420" i="3"/>
  <c r="Q1429" i="3"/>
  <c r="Q1430" i="3"/>
  <c r="Q1436" i="3"/>
  <c r="Q1437" i="3"/>
  <c r="Q1438" i="3"/>
  <c r="Q1439" i="3"/>
  <c r="Q1490" i="3"/>
  <c r="Q1491" i="3"/>
  <c r="Q1470" i="3"/>
  <c r="Q1471" i="3"/>
  <c r="Q1444" i="3"/>
  <c r="Q1441" i="3"/>
  <c r="Q1467" i="3"/>
  <c r="Q1468" i="3"/>
  <c r="Q1443" i="3"/>
  <c r="Q1455" i="3"/>
  <c r="Q1514" i="3"/>
  <c r="Q1515" i="3"/>
  <c r="Q1509" i="3"/>
  <c r="Q1510" i="3"/>
  <c r="Q1484" i="3"/>
  <c r="Q1485" i="3"/>
  <c r="Q1504" i="3"/>
  <c r="Q1505" i="3"/>
  <c r="Q1408" i="3"/>
  <c r="Q1442" i="3"/>
  <c r="Q1447" i="3"/>
  <c r="Q1489" i="3"/>
  <c r="Q1500" i="3"/>
  <c r="Q1522" i="3"/>
  <c r="Q1426" i="3"/>
  <c r="Q1488" i="3"/>
  <c r="Q1521" i="3"/>
  <c r="Q1531" i="3"/>
  <c r="Q1532" i="3"/>
  <c r="Q1533" i="3"/>
  <c r="Q1525" i="3"/>
  <c r="Q1526" i="3"/>
  <c r="Q1534" i="3"/>
  <c r="Q1401" i="3"/>
  <c r="Q1397" i="3"/>
  <c r="Q1390" i="3"/>
  <c r="Q1391" i="3"/>
  <c r="Q1460" i="3"/>
  <c r="Q1461" i="3"/>
  <c r="Q1462" i="3"/>
  <c r="Q1453" i="3"/>
  <c r="Q1445" i="3"/>
  <c r="Q1463" i="3"/>
  <c r="Q1454" i="3"/>
  <c r="Q1446" i="3"/>
  <c r="Q1416" i="3"/>
  <c r="Q1431" i="3"/>
  <c r="Q1417" i="3"/>
  <c r="Q1432" i="3"/>
  <c r="Q1394" i="3"/>
  <c r="Q1395" i="3"/>
  <c r="Q1414" i="3"/>
  <c r="Q1434" i="3"/>
  <c r="Q1398" i="3"/>
  <c r="Q1406" i="3"/>
  <c r="Q1480" i="3"/>
  <c r="Q1506" i="3"/>
  <c r="Q1452" i="3"/>
  <c r="Q1402" i="3"/>
  <c r="Q1403" i="3"/>
  <c r="Q1410" i="3"/>
  <c r="Q1411" i="3"/>
  <c r="Q1412" i="3"/>
  <c r="Q1413" i="3"/>
  <c r="Q1448" i="3"/>
  <c r="Q1449" i="3"/>
  <c r="Q1474" i="3"/>
  <c r="Q1475" i="3"/>
  <c r="Q1456" i="3"/>
  <c r="Q1457" i="3"/>
  <c r="Q1451" i="3"/>
  <c r="Q1511" i="3"/>
  <c r="Q1486" i="3"/>
  <c r="Q1473" i="3"/>
  <c r="Q1498" i="3"/>
  <c r="Q1481" i="3"/>
  <c r="Q1501" i="3"/>
  <c r="Q1494" i="3"/>
  <c r="Q1482" i="3"/>
  <c r="Q1499" i="3"/>
  <c r="Q1496" i="3"/>
  <c r="Q1497" i="3"/>
  <c r="Q1495" i="3"/>
  <c r="Q1508" i="3"/>
  <c r="Q1507" i="3"/>
  <c r="Q1479" i="3"/>
  <c r="Q1476" i="3"/>
  <c r="Q1487" i="3"/>
  <c r="Q1492" i="3"/>
  <c r="Q1433" i="3"/>
  <c r="Q1477" i="3"/>
  <c r="Q1478" i="3"/>
  <c r="Q1469" i="3"/>
  <c r="Q1466" i="3"/>
  <c r="Q1483" i="3"/>
  <c r="Q1493" i="3"/>
  <c r="Q1459" i="3"/>
  <c r="Q1458" i="3"/>
  <c r="Q1450" i="3"/>
  <c r="Q1472" i="3"/>
  <c r="Q1513" i="3"/>
  <c r="Q1518" i="3"/>
  <c r="Q1512" i="3"/>
  <c r="Q1537" i="3"/>
  <c r="Q1557" i="3"/>
  <c r="Q1535" i="3"/>
  <c r="Q1563" i="3"/>
  <c r="Q1553" i="3"/>
  <c r="Q1552" i="3"/>
  <c r="Q1538" i="3"/>
  <c r="Q1546" i="3"/>
  <c r="Q1571" i="3"/>
  <c r="Q1539" i="3"/>
  <c r="Q1549" i="3"/>
  <c r="Q1550" i="3"/>
  <c r="Q1542" i="3"/>
  <c r="Q1543" i="3"/>
  <c r="Q1725" i="3"/>
  <c r="Q1544" i="3"/>
  <c r="Q1536" i="3"/>
  <c r="Q1540" i="3"/>
  <c r="Q1545" i="3"/>
  <c r="Q1569" i="3"/>
  <c r="Q1560" i="3"/>
  <c r="Q1576" i="3"/>
  <c r="Q1581" i="3"/>
  <c r="Q1608" i="3"/>
  <c r="Q1587" i="3"/>
  <c r="Q1604" i="3"/>
  <c r="Q1605" i="3"/>
  <c r="Q1609" i="3"/>
  <c r="Q1600" i="3"/>
  <c r="Q1568" i="3"/>
  <c r="Q1627" i="3"/>
  <c r="Q1633" i="3"/>
  <c r="Q1588" i="3"/>
  <c r="Q1663" i="3"/>
  <c r="Q1636" i="3"/>
  <c r="Q1637" i="3"/>
  <c r="Q1629" i="3"/>
  <c r="Q1640" i="3"/>
  <c r="Q1673" i="3"/>
  <c r="Q1678" i="3"/>
  <c r="Q1709" i="3"/>
  <c r="Q1698" i="3"/>
  <c r="Q1683" i="3"/>
  <c r="Q1667" i="3"/>
  <c r="Q1670" i="3"/>
  <c r="Q1599" i="3"/>
  <c r="Q1617" i="3"/>
  <c r="Q1592" i="3"/>
  <c r="Q1575" i="3"/>
  <c r="Q1606" i="3"/>
  <c r="Q1590" i="3"/>
  <c r="Q1661" i="3"/>
  <c r="Q1601" i="3"/>
  <c r="Q1616" i="3"/>
  <c r="Q1613" i="3"/>
  <c r="Q1579" i="3"/>
  <c r="Q1610" i="3"/>
  <c r="Q1625" i="3"/>
  <c r="Q1573" i="3"/>
  <c r="Q1634" i="3"/>
  <c r="Q1594" i="3"/>
  <c r="Q1630" i="3"/>
  <c r="Q1607" i="3"/>
  <c r="Q1620" i="3"/>
  <c r="Q1622" i="3"/>
  <c r="Q1603" i="3"/>
  <c r="Q1691" i="3"/>
  <c r="Q1641" i="3"/>
  <c r="Q1624" i="3"/>
  <c r="Q1660" i="3"/>
  <c r="Q1682" i="3"/>
  <c r="Q1615" i="3"/>
  <c r="Q1711" i="3"/>
  <c r="Q1658" i="3"/>
  <c r="Q1695" i="3"/>
  <c r="Q1681" i="3"/>
  <c r="Q1669" i="3"/>
  <c r="Q1672" i="3"/>
  <c r="Q1635" i="3"/>
  <c r="Q1694" i="3"/>
  <c r="Q1671" i="3"/>
  <c r="Q1680" i="3"/>
  <c r="Q1656" i="3"/>
  <c r="Q1642" i="3"/>
  <c r="Q1710" i="3"/>
  <c r="Q1702" i="3"/>
  <c r="Q1668" i="3"/>
  <c r="Q1715" i="3"/>
  <c r="Q1728" i="3"/>
  <c r="Q1717" i="3"/>
  <c r="Q1734" i="3"/>
  <c r="Q1733" i="3"/>
  <c r="Q1727" i="3"/>
  <c r="Q1740" i="3"/>
  <c r="Q1735" i="3"/>
  <c r="Q1736" i="3"/>
  <c r="Q1729" i="3"/>
  <c r="Q1577" i="3"/>
  <c r="Q1572" i="3"/>
  <c r="Q1677" i="3"/>
  <c r="Q1650" i="3"/>
  <c r="Q1558" i="3"/>
  <c r="Q1602" i="3"/>
  <c r="Q1611" i="3"/>
  <c r="Q1646" i="3"/>
  <c r="Q1643" i="3"/>
  <c r="Q1647" i="3"/>
  <c r="Q1547" i="3"/>
  <c r="Q1644" i="3"/>
  <c r="Q1639" i="3"/>
  <c r="Q1562" i="3"/>
  <c r="Q1645" i="3"/>
  <c r="Q1638" i="3"/>
  <c r="Q1649" i="3"/>
  <c r="Q1652" i="3"/>
  <c r="Q1664" i="3"/>
  <c r="Q1614" i="3"/>
  <c r="Q1559" i="3"/>
  <c r="Q1654" i="3"/>
  <c r="Q1665" i="3"/>
  <c r="Q1686" i="3"/>
  <c r="Q1687" i="3"/>
  <c r="Q1688" i="3"/>
  <c r="Q1689" i="3"/>
  <c r="Q1690" i="3"/>
  <c r="Q1676" i="3"/>
  <c r="Q1612" i="3"/>
  <c r="Q1693" i="3"/>
  <c r="Q1666" i="3"/>
  <c r="Q1707" i="3"/>
  <c r="Q1723" i="3"/>
  <c r="Q1738" i="3"/>
  <c r="Q1741" i="3"/>
  <c r="Q1739" i="3"/>
  <c r="Q1731" i="3"/>
  <c r="Q1732" i="3"/>
  <c r="Q1705" i="3"/>
  <c r="Q1706" i="3"/>
  <c r="Q1726" i="3"/>
  <c r="Q1716" i="3"/>
  <c r="Q1737" i="3"/>
  <c r="Q1724" i="3"/>
  <c r="Q1746" i="3"/>
  <c r="Q1743" i="3"/>
  <c r="Q1744" i="3"/>
  <c r="Q1745" i="3"/>
  <c r="Q1701" i="3"/>
  <c r="Q1742" i="3"/>
  <c r="Q1730" i="3"/>
  <c r="Q1722" i="3"/>
  <c r="Q1565" i="3"/>
  <c r="Q1692" i="3"/>
  <c r="Q1561" i="3"/>
  <c r="Q1582" i="3"/>
  <c r="Q1555" i="3"/>
  <c r="Q1580" i="3"/>
  <c r="Q1541" i="3"/>
  <c r="Q1548" i="3"/>
  <c r="Q1589" i="3"/>
  <c r="Q1618" i="3"/>
  <c r="Q1564" i="3"/>
  <c r="Q1583" i="3"/>
  <c r="Q1567" i="3"/>
  <c r="Q1595" i="3"/>
  <c r="Q1621" i="3"/>
  <c r="Q1554" i="3"/>
  <c r="Q1623" i="3"/>
  <c r="Q1684" i="3"/>
  <c r="Q1570" i="3"/>
  <c r="Q1628" i="3"/>
  <c r="Q1574" i="3"/>
  <c r="Q1551" i="3"/>
  <c r="Q1556" i="3"/>
  <c r="Q1566" i="3"/>
  <c r="Q1578" i="3"/>
  <c r="Q1586" i="3"/>
  <c r="Q1585" i="3"/>
  <c r="Q1626" i="3"/>
  <c r="Q1631" i="3"/>
  <c r="Q1597" i="3"/>
  <c r="Q1584" i="3"/>
  <c r="Q1619" i="3"/>
  <c r="Q1598" i="3"/>
  <c r="Q1596" i="3"/>
  <c r="Q1593" i="3"/>
  <c r="Q1591" i="3"/>
  <c r="Q1651" i="3"/>
  <c r="Q1712" i="3"/>
  <c r="Q1655" i="3"/>
  <c r="Q1632" i="3"/>
  <c r="Q1648" i="3"/>
  <c r="Q1659" i="3"/>
  <c r="Q1653" i="3"/>
  <c r="Q1700" i="3"/>
  <c r="Q1718" i="3"/>
  <c r="Q1699" i="3"/>
  <c r="Q1657" i="3"/>
  <c r="Q1662" i="3"/>
  <c r="Q1675" i="3"/>
  <c r="Q1713" i="3"/>
  <c r="Q1714" i="3"/>
  <c r="Q1679" i="3"/>
  <c r="Q1703" i="3"/>
  <c r="Q1704" i="3"/>
  <c r="Q1696" i="3"/>
  <c r="Q1685" i="3"/>
  <c r="Q1719" i="3"/>
  <c r="Q1720" i="3"/>
  <c r="Q1721" i="3"/>
  <c r="Q1674" i="3"/>
  <c r="Q1708" i="3"/>
  <c r="Q1697" i="3"/>
  <c r="R98" i="3"/>
  <c r="Q98" i="3"/>
  <c r="L524" i="3"/>
  <c r="M524" i="3" s="1"/>
  <c r="L472" i="3"/>
  <c r="M472" i="3" s="1"/>
  <c r="L474" i="3"/>
  <c r="M474" i="3" s="1"/>
  <c r="L483" i="3"/>
  <c r="M483" i="3" s="1"/>
  <c r="L476" i="3"/>
  <c r="M476" i="3" s="1"/>
  <c r="L492" i="3"/>
  <c r="M492" i="3" s="1"/>
  <c r="L480" i="3"/>
  <c r="M480" i="3" s="1"/>
  <c r="L486" i="3"/>
  <c r="M486" i="3" s="1"/>
  <c r="L487" i="3"/>
  <c r="M487" i="3" s="1"/>
  <c r="L497" i="3"/>
  <c r="M497" i="3" s="1"/>
  <c r="L484" i="3"/>
  <c r="M484" i="3" s="1"/>
  <c r="L502" i="3"/>
  <c r="M502" i="3" s="1"/>
  <c r="L496" i="3"/>
  <c r="M496" i="3" s="1"/>
  <c r="L477" i="3"/>
  <c r="M477" i="3" s="1"/>
  <c r="L479" i="3"/>
  <c r="M479" i="3" s="1"/>
  <c r="L482" i="3"/>
  <c r="M482" i="3" s="1"/>
  <c r="L511" i="3"/>
  <c r="M511" i="3" s="1"/>
  <c r="L494" i="3"/>
  <c r="M494" i="3" s="1"/>
  <c r="L499" i="3"/>
  <c r="M499" i="3" s="1"/>
  <c r="L500" i="3"/>
  <c r="M500" i="3" s="1"/>
  <c r="L509" i="3"/>
  <c r="M509" i="3" s="1"/>
  <c r="L473" i="3"/>
  <c r="M473" i="3" s="1"/>
  <c r="L539" i="3"/>
  <c r="M539" i="3" s="1"/>
  <c r="L519" i="3"/>
  <c r="M519" i="3" s="1"/>
  <c r="L540" i="3"/>
  <c r="M540" i="3" s="1"/>
  <c r="L542" i="3"/>
  <c r="M542" i="3" s="1"/>
  <c r="L531" i="3"/>
  <c r="M531" i="3" s="1"/>
  <c r="L549" i="3"/>
  <c r="M549" i="3" s="1"/>
  <c r="L538" i="3"/>
  <c r="M538" i="3" s="1"/>
  <c r="L527" i="3"/>
  <c r="M527" i="3" s="1"/>
  <c r="L526" i="3"/>
  <c r="M526" i="3" s="1"/>
  <c r="L525" i="3"/>
  <c r="M525" i="3" s="1"/>
  <c r="L533" i="3"/>
  <c r="M533" i="3" s="1"/>
  <c r="L529" i="3"/>
  <c r="M529" i="3" s="1"/>
  <c r="L592" i="3"/>
  <c r="M592" i="3" s="1"/>
  <c r="L598" i="3"/>
  <c r="M598" i="3" s="1"/>
  <c r="L560" i="3"/>
  <c r="M560" i="3" s="1"/>
  <c r="L544" i="3"/>
  <c r="M544" i="3" s="1"/>
  <c r="L515" i="3"/>
  <c r="M515" i="3" s="1"/>
  <c r="L517" i="3"/>
  <c r="M517" i="3" s="1"/>
  <c r="L520" i="3"/>
  <c r="M520" i="3" s="1"/>
  <c r="L537" i="3"/>
  <c r="M537" i="3" s="1"/>
  <c r="L534" i="3"/>
  <c r="M534" i="3" s="1"/>
  <c r="L522" i="3"/>
  <c r="M522" i="3" s="1"/>
  <c r="L523" i="3"/>
  <c r="M523" i="3" s="1"/>
  <c r="L536" i="3"/>
  <c r="M536" i="3" s="1"/>
  <c r="L518" i="3"/>
  <c r="M518" i="3" s="1"/>
  <c r="L512" i="3"/>
  <c r="M512" i="3" s="1"/>
  <c r="L501" i="3"/>
  <c r="M501" i="3" s="1"/>
  <c r="L505" i="3"/>
  <c r="M505" i="3" s="1"/>
  <c r="L532" i="3"/>
  <c r="M532" i="3" s="1"/>
  <c r="S1071" i="3" l="1"/>
  <c r="S829" i="3"/>
  <c r="S823" i="3"/>
  <c r="S1120" i="3"/>
  <c r="S875" i="3"/>
  <c r="S826" i="3"/>
  <c r="S802" i="3"/>
  <c r="S926" i="3"/>
  <c r="S856" i="3"/>
  <c r="S1035" i="3"/>
  <c r="S956" i="3"/>
  <c r="S969" i="3"/>
  <c r="S768" i="3"/>
  <c r="S717" i="3"/>
  <c r="S877" i="3"/>
  <c r="S870" i="3"/>
  <c r="S386" i="3"/>
  <c r="S381" i="3"/>
  <c r="S426" i="3"/>
  <c r="S441" i="3"/>
  <c r="S445" i="3"/>
  <c r="S424" i="3"/>
  <c r="S414" i="3"/>
  <c r="S442" i="3"/>
  <c r="S416" i="3"/>
  <c r="S427" i="3"/>
  <c r="S437" i="3"/>
  <c r="S432" i="3"/>
  <c r="S269" i="3"/>
  <c r="S287" i="3"/>
  <c r="S306" i="3"/>
  <c r="S280" i="3"/>
  <c r="S282" i="3"/>
  <c r="S343" i="3"/>
  <c r="S351" i="3"/>
  <c r="S363" i="3"/>
  <c r="S342" i="3"/>
  <c r="S279" i="3"/>
  <c r="S319" i="3"/>
  <c r="S327" i="3"/>
  <c r="S324" i="3"/>
  <c r="S278" i="3"/>
  <c r="S338" i="3"/>
  <c r="S370" i="3"/>
  <c r="S372" i="3"/>
  <c r="S377" i="3"/>
  <c r="S373" i="3"/>
  <c r="S358" i="3"/>
  <c r="S367" i="3"/>
  <c r="S325" i="3"/>
  <c r="S334" i="3"/>
  <c r="S289" i="3"/>
  <c r="S290" i="3"/>
  <c r="S348" i="3"/>
  <c r="S8" i="3"/>
  <c r="S28" i="3"/>
  <c r="S79" i="3"/>
  <c r="S86" i="3"/>
  <c r="S49" i="3"/>
  <c r="S59" i="3"/>
  <c r="S68" i="3"/>
  <c r="S54" i="3"/>
  <c r="S50" i="3"/>
  <c r="S25" i="3"/>
  <c r="S42" i="3"/>
  <c r="S34" i="3"/>
  <c r="S11" i="3"/>
  <c r="S33" i="3"/>
  <c r="S9" i="3"/>
  <c r="S6" i="3"/>
  <c r="S31" i="3"/>
  <c r="S17" i="3"/>
  <c r="S18" i="3"/>
  <c r="S39" i="3"/>
  <c r="S30" i="3"/>
  <c r="S29" i="3"/>
  <c r="S20" i="3"/>
  <c r="S109" i="3"/>
  <c r="S71" i="3"/>
  <c r="S125" i="3"/>
  <c r="S137" i="3"/>
  <c r="S76" i="3"/>
  <c r="S130" i="3"/>
  <c r="S153" i="3"/>
  <c r="S191" i="3"/>
  <c r="S111" i="3"/>
  <c r="S188" i="3"/>
  <c r="S80" i="3"/>
  <c r="S162" i="3"/>
  <c r="S151" i="3"/>
  <c r="S161" i="3"/>
  <c r="S210" i="3"/>
  <c r="S218" i="3"/>
  <c r="S170" i="3"/>
  <c r="S219" i="3"/>
  <c r="S235" i="3"/>
  <c r="S179" i="3"/>
  <c r="S198" i="3"/>
  <c r="S195" i="3"/>
  <c r="S970" i="3"/>
  <c r="S1028" i="3"/>
  <c r="S1014" i="3"/>
  <c r="S975" i="3"/>
  <c r="S868" i="3"/>
  <c r="S1263" i="3"/>
  <c r="S790" i="3"/>
  <c r="S701" i="3"/>
  <c r="S968" i="3"/>
  <c r="S983" i="3"/>
  <c r="S805" i="3"/>
  <c r="S913" i="3"/>
  <c r="S771" i="3"/>
  <c r="S746" i="3"/>
  <c r="S1037" i="3"/>
  <c r="S1260" i="3"/>
  <c r="S884" i="3"/>
  <c r="S871" i="3"/>
  <c r="S817" i="3"/>
  <c r="S707" i="3"/>
  <c r="S1107" i="3"/>
  <c r="S838" i="3"/>
  <c r="S1056" i="3"/>
  <c r="S1351" i="3"/>
  <c r="S990" i="3"/>
  <c r="S862" i="3"/>
  <c r="S116" i="3"/>
  <c r="S110" i="3"/>
  <c r="S53" i="3"/>
  <c r="S100" i="3"/>
  <c r="S97" i="3"/>
  <c r="S67" i="3"/>
  <c r="S87" i="3"/>
  <c r="S56" i="3"/>
  <c r="S131" i="3"/>
  <c r="S155" i="3"/>
  <c r="S93" i="3"/>
  <c r="S98" i="3"/>
  <c r="S117" i="3"/>
  <c r="S92" i="3"/>
  <c r="S69" i="3"/>
  <c r="S81" i="3"/>
  <c r="S96" i="3"/>
  <c r="S88" i="3"/>
  <c r="S82" i="3"/>
  <c r="S101" i="3"/>
  <c r="S91" i="3"/>
  <c r="S140" i="3"/>
  <c r="S72" i="3"/>
  <c r="S102" i="3"/>
  <c r="S1697" i="3"/>
  <c r="S1674" i="3"/>
  <c r="S1720" i="3"/>
  <c r="S1685" i="3"/>
  <c r="S1704" i="3"/>
  <c r="S1679" i="3"/>
  <c r="S1713" i="3"/>
  <c r="S1662" i="3"/>
  <c r="S1699" i="3"/>
  <c r="S1700" i="3"/>
  <c r="S1659" i="3"/>
  <c r="S1632" i="3"/>
  <c r="S1712" i="3"/>
  <c r="S1591" i="3"/>
  <c r="S1596" i="3"/>
  <c r="S1619" i="3"/>
  <c r="S1597" i="3"/>
  <c r="S1626" i="3"/>
  <c r="S1586" i="3"/>
  <c r="S1566" i="3"/>
  <c r="S1551" i="3"/>
  <c r="S1628" i="3"/>
  <c r="S1684" i="3"/>
  <c r="S1554" i="3"/>
  <c r="S1595" i="3"/>
  <c r="S1583" i="3"/>
  <c r="S1618" i="3"/>
  <c r="S1548" i="3"/>
  <c r="S1580" i="3"/>
  <c r="S1582" i="3"/>
  <c r="S1692" i="3"/>
  <c r="S1722" i="3"/>
  <c r="S1742" i="3"/>
  <c r="S1745" i="3"/>
  <c r="S1743" i="3"/>
  <c r="S1724" i="3"/>
  <c r="S1716" i="3"/>
  <c r="S1706" i="3"/>
  <c r="S1732" i="3"/>
  <c r="S1739" i="3"/>
  <c r="S1738" i="3"/>
  <c r="S1707" i="3"/>
  <c r="S1693" i="3"/>
  <c r="S1676" i="3"/>
  <c r="S1689" i="3"/>
  <c r="S1687" i="3"/>
  <c r="S1665" i="3"/>
  <c r="S1559" i="3"/>
  <c r="S1664" i="3"/>
  <c r="S1649" i="3"/>
  <c r="S1645" i="3"/>
  <c r="S1639" i="3"/>
  <c r="S1547" i="3"/>
  <c r="S1643" i="3"/>
  <c r="S1708" i="3"/>
  <c r="S1721" i="3"/>
  <c r="S1719" i="3"/>
  <c r="S1696" i="3"/>
  <c r="S1703" i="3"/>
  <c r="S1714" i="3"/>
  <c r="S1675" i="3"/>
  <c r="S1657" i="3"/>
  <c r="S1718" i="3"/>
  <c r="S1653" i="3"/>
  <c r="S1648" i="3"/>
  <c r="S1655" i="3"/>
  <c r="S1651" i="3"/>
  <c r="S1593" i="3"/>
  <c r="S1598" i="3"/>
  <c r="S1584" i="3"/>
  <c r="S1631" i="3"/>
  <c r="S1585" i="3"/>
  <c r="S1578" i="3"/>
  <c r="S1556" i="3"/>
  <c r="S1574" i="3"/>
  <c r="S1570" i="3"/>
  <c r="S1623" i="3"/>
  <c r="S1621" i="3"/>
  <c r="S1567" i="3"/>
  <c r="S1564" i="3"/>
  <c r="S1589" i="3"/>
  <c r="S1541" i="3"/>
  <c r="S1555" i="3"/>
  <c r="S1561" i="3"/>
  <c r="S1565" i="3"/>
  <c r="S1730" i="3"/>
  <c r="S1701" i="3"/>
  <c r="S1744" i="3"/>
  <c r="S1746" i="3"/>
  <c r="S1737" i="3"/>
  <c r="S1726" i="3"/>
  <c r="S1705" i="3"/>
  <c r="S1731" i="3"/>
  <c r="S1741" i="3"/>
  <c r="S1723" i="3"/>
  <c r="S1666" i="3"/>
  <c r="S1612" i="3"/>
  <c r="S1690" i="3"/>
  <c r="S1688" i="3"/>
  <c r="S1686" i="3"/>
  <c r="S1654" i="3"/>
  <c r="S1614" i="3"/>
  <c r="S1652" i="3"/>
  <c r="S1638" i="3"/>
  <c r="S1562" i="3"/>
  <c r="S1644" i="3"/>
  <c r="S1647" i="3"/>
  <c r="S1646" i="3"/>
  <c r="S1602" i="3"/>
  <c r="S1650" i="3"/>
  <c r="S1572" i="3"/>
  <c r="S1729" i="3"/>
  <c r="S1735" i="3"/>
  <c r="S1727" i="3"/>
  <c r="S1734" i="3"/>
  <c r="S1728" i="3"/>
  <c r="S1668" i="3"/>
  <c r="S1710" i="3"/>
  <c r="S1656" i="3"/>
  <c r="S1671" i="3"/>
  <c r="S1635" i="3"/>
  <c r="S1669" i="3"/>
  <c r="S1695" i="3"/>
  <c r="S1711" i="3"/>
  <c r="S1682" i="3"/>
  <c r="S1624" i="3"/>
  <c r="S1691" i="3"/>
  <c r="S1622" i="3"/>
  <c r="S1607" i="3"/>
  <c r="S1594" i="3"/>
  <c r="S1573" i="3"/>
  <c r="S1610" i="3"/>
  <c r="S1613" i="3"/>
  <c r="S1601" i="3"/>
  <c r="S1590" i="3"/>
  <c r="S1575" i="3"/>
  <c r="S1617" i="3"/>
  <c r="S1670" i="3"/>
  <c r="S1683" i="3"/>
  <c r="S1709" i="3"/>
  <c r="S1673" i="3"/>
  <c r="S1629" i="3"/>
  <c r="S1636" i="3"/>
  <c r="S1588" i="3"/>
  <c r="S1627" i="3"/>
  <c r="S1600" i="3"/>
  <c r="S1605" i="3"/>
  <c r="S1587" i="3"/>
  <c r="S1581" i="3"/>
  <c r="S1560" i="3"/>
  <c r="S1545" i="3"/>
  <c r="S1536" i="3"/>
  <c r="S1725" i="3"/>
  <c r="S1542" i="3"/>
  <c r="S1549" i="3"/>
  <c r="S1571" i="3"/>
  <c r="S1538" i="3"/>
  <c r="S1553" i="3"/>
  <c r="S1535" i="3"/>
  <c r="S1537" i="3"/>
  <c r="S1518" i="3"/>
  <c r="S1472" i="3"/>
  <c r="S1458" i="3"/>
  <c r="S1493" i="3"/>
  <c r="S1466" i="3"/>
  <c r="S1478" i="3"/>
  <c r="S1433" i="3"/>
  <c r="S1487" i="3"/>
  <c r="S1479" i="3"/>
  <c r="S1508" i="3"/>
  <c r="S1497" i="3"/>
  <c r="S1499" i="3"/>
  <c r="S1494" i="3"/>
  <c r="S1481" i="3"/>
  <c r="S1473" i="3"/>
  <c r="S1511" i="3"/>
  <c r="S1457" i="3"/>
  <c r="S1475" i="3"/>
  <c r="S1449" i="3"/>
  <c r="S1413" i="3"/>
  <c r="S1411" i="3"/>
  <c r="S1403" i="3"/>
  <c r="S1452" i="3"/>
  <c r="S1480" i="3"/>
  <c r="S1398" i="3"/>
  <c r="S1414" i="3"/>
  <c r="S1394" i="3"/>
  <c r="S1417" i="3"/>
  <c r="S1416" i="3"/>
  <c r="S1454" i="3"/>
  <c r="S1445" i="3"/>
  <c r="S1462" i="3"/>
  <c r="S1460" i="3"/>
  <c r="S1390" i="3"/>
  <c r="S1401" i="3"/>
  <c r="S1526" i="3"/>
  <c r="S1533" i="3"/>
  <c r="S1531" i="3"/>
  <c r="S1488" i="3"/>
  <c r="S1522" i="3"/>
  <c r="S1489" i="3"/>
  <c r="S1442" i="3"/>
  <c r="S1505" i="3"/>
  <c r="S1485" i="3"/>
  <c r="S1510" i="3"/>
  <c r="S1515" i="3"/>
  <c r="S1455" i="3"/>
  <c r="S1468" i="3"/>
  <c r="S1441" i="3"/>
  <c r="S1471" i="3"/>
  <c r="S1491" i="3"/>
  <c r="S1439" i="3"/>
  <c r="S1437" i="3"/>
  <c r="S1430" i="3"/>
  <c r="S1420" i="3"/>
  <c r="S1424" i="3"/>
  <c r="S1428" i="3"/>
  <c r="S1388" i="3"/>
  <c r="S1380" i="3"/>
  <c r="S1384" i="3"/>
  <c r="S1377" i="3"/>
  <c r="S1379" i="3"/>
  <c r="S1385" i="3"/>
  <c r="S1373" i="3"/>
  <c r="S1381" i="3"/>
  <c r="S1389" i="3"/>
  <c r="S1372" i="3"/>
  <c r="S1370" i="3"/>
  <c r="S1368" i="3"/>
  <c r="S1365" i="3"/>
  <c r="S1362" i="3"/>
  <c r="S1360" i="3"/>
  <c r="R761" i="3"/>
  <c r="S761" i="3" s="1"/>
  <c r="R806" i="3"/>
  <c r="S806" i="3" s="1"/>
  <c r="R694" i="3"/>
  <c r="S694" i="3" s="1"/>
  <c r="R733" i="3"/>
  <c r="S733" i="3" s="1"/>
  <c r="R774" i="3"/>
  <c r="S774" i="3" s="1"/>
  <c r="R889" i="3"/>
  <c r="S889" i="3" s="1"/>
  <c r="R820" i="3"/>
  <c r="S820" i="3" s="1"/>
  <c r="R828" i="3"/>
  <c r="S828" i="3" s="1"/>
  <c r="R864" i="3"/>
  <c r="S864" i="3" s="1"/>
  <c r="R827" i="3"/>
  <c r="S827" i="3" s="1"/>
  <c r="R668" i="3"/>
  <c r="S668" i="3" s="1"/>
  <c r="R819" i="3"/>
  <c r="S819" i="3" s="1"/>
  <c r="R723" i="3"/>
  <c r="S723" i="3" s="1"/>
  <c r="R988" i="3"/>
  <c r="S988" i="3" s="1"/>
  <c r="R1181" i="3"/>
  <c r="S1181" i="3" s="1"/>
  <c r="R1121" i="3"/>
  <c r="S1121" i="3" s="1"/>
  <c r="R1180" i="3"/>
  <c r="S1180" i="3" s="1"/>
  <c r="R1246" i="3"/>
  <c r="S1246" i="3" s="1"/>
  <c r="R1140" i="3"/>
  <c r="S1140" i="3" s="1"/>
  <c r="R835" i="3"/>
  <c r="S835" i="3" s="1"/>
  <c r="R676" i="3"/>
  <c r="S676" i="3" s="1"/>
  <c r="R687" i="3"/>
  <c r="S687" i="3" s="1"/>
  <c r="R665" i="3"/>
  <c r="S665" i="3" s="1"/>
  <c r="R700" i="3"/>
  <c r="S700" i="3" s="1"/>
  <c r="R830" i="3"/>
  <c r="S830" i="3" s="1"/>
  <c r="R727" i="3"/>
  <c r="S727" i="3" s="1"/>
  <c r="R756" i="3"/>
  <c r="S756" i="3" s="1"/>
  <c r="R677" i="3"/>
  <c r="S677" i="3" s="1"/>
  <c r="R777" i="3"/>
  <c r="S777" i="3" s="1"/>
  <c r="S811" i="3"/>
  <c r="S809" i="3"/>
  <c r="S758" i="3"/>
  <c r="S637" i="3"/>
  <c r="S643" i="3"/>
  <c r="S642" i="3"/>
  <c r="S666" i="3"/>
  <c r="S635" i="3"/>
  <c r="S649" i="3"/>
  <c r="S647" i="3"/>
  <c r="S629" i="3"/>
  <c r="S657" i="3"/>
  <c r="S1206" i="3"/>
  <c r="S1318" i="3"/>
  <c r="S1053" i="3"/>
  <c r="S1045" i="3"/>
  <c r="S1281" i="3"/>
  <c r="S978" i="3"/>
  <c r="S1272" i="3"/>
  <c r="S1331" i="3"/>
  <c r="S1255" i="3"/>
  <c r="S1262" i="3"/>
  <c r="S1261" i="3"/>
  <c r="S781" i="3"/>
  <c r="S1203" i="3"/>
  <c r="S1254" i="3"/>
  <c r="S1168" i="3"/>
  <c r="S1315" i="3"/>
  <c r="S1314" i="3"/>
  <c r="S1042" i="3"/>
  <c r="S1164" i="3"/>
  <c r="S1185" i="3"/>
  <c r="S1041" i="3"/>
  <c r="S1135" i="3"/>
  <c r="S1313" i="3"/>
  <c r="S1105" i="3"/>
  <c r="S1215" i="3"/>
  <c r="S1218" i="3"/>
  <c r="S1144" i="3"/>
  <c r="S1152" i="3"/>
  <c r="S971" i="3"/>
  <c r="S1175" i="3"/>
  <c r="S1201" i="3"/>
  <c r="S1154" i="3"/>
  <c r="S1174" i="3"/>
  <c r="S1200" i="3"/>
  <c r="S1252" i="3"/>
  <c r="S1271" i="3"/>
  <c r="S1113" i="3"/>
  <c r="S1115" i="3"/>
  <c r="S1328" i="3"/>
  <c r="S1085" i="3"/>
  <c r="S1161" i="3"/>
  <c r="S1098" i="3"/>
  <c r="S954" i="3"/>
  <c r="S1043" i="3"/>
  <c r="S1131" i="3"/>
  <c r="S1124" i="3"/>
  <c r="S1125" i="3"/>
  <c r="S1030" i="3"/>
  <c r="S1199" i="3"/>
  <c r="S846" i="3"/>
  <c r="S839" i="3"/>
  <c r="S1019" i="3"/>
  <c r="S834" i="3"/>
  <c r="S681" i="3"/>
  <c r="S872" i="3"/>
  <c r="S855" i="3"/>
  <c r="S1055" i="3"/>
  <c r="S832" i="3"/>
  <c r="S674" i="3"/>
  <c r="S804" i="3"/>
  <c r="S738" i="3"/>
  <c r="S783" i="3"/>
  <c r="S1227" i="3"/>
  <c r="S833" i="3"/>
  <c r="S782" i="3"/>
  <c r="S682" i="3"/>
  <c r="S660" i="3"/>
  <c r="S1197" i="3"/>
  <c r="S849" i="3"/>
  <c r="S821" i="3"/>
  <c r="S749" i="3"/>
  <c r="S789" i="3"/>
  <c r="S705" i="3"/>
  <c r="S740" i="3"/>
  <c r="S1025" i="3"/>
  <c r="S1104" i="3"/>
  <c r="S1193" i="3"/>
  <c r="S639" i="3"/>
  <c r="S1162" i="3"/>
  <c r="S640" i="3"/>
  <c r="S1217" i="3"/>
  <c r="S837" i="3"/>
  <c r="S1011" i="3"/>
  <c r="S892" i="3"/>
  <c r="S941" i="3"/>
  <c r="S901" i="3"/>
  <c r="S886" i="3"/>
  <c r="S987" i="3"/>
  <c r="S844" i="3"/>
  <c r="S795" i="3"/>
  <c r="S1012" i="3"/>
  <c r="S1611" i="3"/>
  <c r="S1558" i="3"/>
  <c r="S1677" i="3"/>
  <c r="S1577" i="3"/>
  <c r="S1736" i="3"/>
  <c r="S1740" i="3"/>
  <c r="S1733" i="3"/>
  <c r="S1717" i="3"/>
  <c r="S1715" i="3"/>
  <c r="S1702" i="3"/>
  <c r="S1642" i="3"/>
  <c r="S1680" i="3"/>
  <c r="S1694" i="3"/>
  <c r="S1672" i="3"/>
  <c r="S1681" i="3"/>
  <c r="S1658" i="3"/>
  <c r="S1615" i="3"/>
  <c r="S1660" i="3"/>
  <c r="S1641" i="3"/>
  <c r="S1603" i="3"/>
  <c r="S1620" i="3"/>
  <c r="S1630" i="3"/>
  <c r="S1634" i="3"/>
  <c r="S1625" i="3"/>
  <c r="S1579" i="3"/>
  <c r="S1616" i="3"/>
  <c r="S1661" i="3"/>
  <c r="S1606" i="3"/>
  <c r="S1592" i="3"/>
  <c r="S1599" i="3"/>
  <c r="S1667" i="3"/>
  <c r="S1698" i="3"/>
  <c r="S1678" i="3"/>
  <c r="S1640" i="3"/>
  <c r="S1637" i="3"/>
  <c r="S1663" i="3"/>
  <c r="S1633" i="3"/>
  <c r="S1568" i="3"/>
  <c r="S1609" i="3"/>
  <c r="S1604" i="3"/>
  <c r="S1608" i="3"/>
  <c r="S1576" i="3"/>
  <c r="S1569" i="3"/>
  <c r="S1540" i="3"/>
  <c r="S1544" i="3"/>
  <c r="S1543" i="3"/>
  <c r="S1550" i="3"/>
  <c r="S1539" i="3"/>
  <c r="S1546" i="3"/>
  <c r="S1552" i="3"/>
  <c r="S1563" i="3"/>
  <c r="S1557" i="3"/>
  <c r="S1512" i="3"/>
  <c r="S1513" i="3"/>
  <c r="S1450" i="3"/>
  <c r="S1459" i="3"/>
  <c r="S1483" i="3"/>
  <c r="S1469" i="3"/>
  <c r="S1477" i="3"/>
  <c r="S1492" i="3"/>
  <c r="S1476" i="3"/>
  <c r="S1507" i="3"/>
  <c r="S1495" i="3"/>
  <c r="S1496" i="3"/>
  <c r="S1482" i="3"/>
  <c r="S1501" i="3"/>
  <c r="S1498" i="3"/>
  <c r="S1486" i="3"/>
  <c r="S1451" i="3"/>
  <c r="S1456" i="3"/>
  <c r="S1474" i="3"/>
  <c r="S1448" i="3"/>
  <c r="S1412" i="3"/>
  <c r="S1410" i="3"/>
  <c r="S1402" i="3"/>
  <c r="S1506" i="3"/>
  <c r="S1406" i="3"/>
  <c r="S1434" i="3"/>
  <c r="S1395" i="3"/>
  <c r="S1432" i="3"/>
  <c r="S1431" i="3"/>
  <c r="S1446" i="3"/>
  <c r="S1463" i="3"/>
  <c r="S1453" i="3"/>
  <c r="S1461" i="3"/>
  <c r="S1391" i="3"/>
  <c r="S1397" i="3"/>
  <c r="S1534" i="3"/>
  <c r="S1525" i="3"/>
  <c r="S1532" i="3"/>
  <c r="S1521" i="3"/>
  <c r="S1426" i="3"/>
  <c r="S1500" i="3"/>
  <c r="S1447" i="3"/>
  <c r="S1408" i="3"/>
  <c r="S1504" i="3"/>
  <c r="S1484" i="3"/>
  <c r="S1509" i="3"/>
  <c r="S1514" i="3"/>
  <c r="S1443" i="3"/>
  <c r="S1467" i="3"/>
  <c r="S1444" i="3"/>
  <c r="S1470" i="3"/>
  <c r="S1490" i="3"/>
  <c r="S1438" i="3"/>
  <c r="S1436" i="3"/>
  <c r="S1429" i="3"/>
  <c r="S1419" i="3"/>
  <c r="S1423" i="3"/>
  <c r="S1427" i="3"/>
  <c r="S1387" i="3"/>
  <c r="S1386" i="3"/>
  <c r="S1383" i="3"/>
  <c r="S1378" i="3"/>
  <c r="S1375" i="3"/>
  <c r="S1374" i="3"/>
  <c r="S1382" i="3"/>
  <c r="S1369" i="3"/>
  <c r="S1367" i="3"/>
  <c r="S1376" i="3"/>
  <c r="S1371" i="3"/>
  <c r="S1364" i="3"/>
  <c r="S1366" i="3"/>
  <c r="S1363" i="3"/>
  <c r="S1361" i="3"/>
  <c r="R765" i="3"/>
  <c r="S765" i="3" s="1"/>
  <c r="R745" i="3"/>
  <c r="S745" i="3" s="1"/>
  <c r="R800" i="3"/>
  <c r="S800" i="3" s="1"/>
  <c r="R675" i="3"/>
  <c r="S675" i="3" s="1"/>
  <c r="R801" i="3"/>
  <c r="S801" i="3" s="1"/>
  <c r="R750" i="3"/>
  <c r="S750" i="3" s="1"/>
  <c r="R825" i="3"/>
  <c r="S825" i="3" s="1"/>
  <c r="R793" i="3"/>
  <c r="S793" i="3" s="1"/>
  <c r="R836" i="3"/>
  <c r="S836" i="3" s="1"/>
  <c r="R847" i="3"/>
  <c r="S847" i="3" s="1"/>
  <c r="R840" i="3"/>
  <c r="S840" i="3" s="1"/>
  <c r="R902" i="3"/>
  <c r="S902" i="3" s="1"/>
  <c r="R678" i="3"/>
  <c r="S678" i="3" s="1"/>
  <c r="R867" i="3"/>
  <c r="S867" i="3" s="1"/>
  <c r="R998" i="3"/>
  <c r="S998" i="3" s="1"/>
  <c r="R1149" i="3"/>
  <c r="S1149" i="3" s="1"/>
  <c r="R1182" i="3"/>
  <c r="S1182" i="3" s="1"/>
  <c r="R1141" i="3"/>
  <c r="S1141" i="3" s="1"/>
  <c r="R1179" i="3"/>
  <c r="S1179" i="3" s="1"/>
  <c r="R1178" i="3"/>
  <c r="S1178" i="3" s="1"/>
  <c r="R680" i="3"/>
  <c r="S680" i="3" s="1"/>
  <c r="R659" i="3"/>
  <c r="S659" i="3" s="1"/>
  <c r="R655" i="3"/>
  <c r="S655" i="3" s="1"/>
  <c r="R645" i="3"/>
  <c r="S645" i="3" s="1"/>
  <c r="R787" i="3"/>
  <c r="S787" i="3" s="1"/>
  <c r="R760" i="3"/>
  <c r="S760" i="3" s="1"/>
  <c r="R824" i="3"/>
  <c r="S824" i="3" s="1"/>
  <c r="R764" i="3"/>
  <c r="S764" i="3" s="1"/>
  <c r="R752" i="3"/>
  <c r="S752" i="3" s="1"/>
  <c r="R673" i="3"/>
  <c r="S673" i="3" s="1"/>
  <c r="S759" i="3"/>
  <c r="S810" i="3"/>
  <c r="S719" i="3"/>
  <c r="S718" i="3"/>
  <c r="S636" i="3"/>
  <c r="S631" i="3"/>
  <c r="S651" i="3"/>
  <c r="S658" i="3"/>
  <c r="S650" i="3"/>
  <c r="S648" i="3"/>
  <c r="S630" i="3"/>
  <c r="S634" i="3"/>
  <c r="S1109" i="3"/>
  <c r="S1273" i="3"/>
  <c r="S1292" i="3"/>
  <c r="S1155" i="3"/>
  <c r="S1108" i="3"/>
  <c r="S1044" i="3"/>
  <c r="S1204" i="3"/>
  <c r="S1317" i="3"/>
  <c r="S1177" i="3"/>
  <c r="S1250" i="3"/>
  <c r="S1280" i="3"/>
  <c r="S1316" i="3"/>
  <c r="S943" i="3"/>
  <c r="S1220" i="3"/>
  <c r="S1279" i="3"/>
  <c r="S1219" i="3"/>
  <c r="S1278" i="3"/>
  <c r="S1311" i="3"/>
  <c r="S1112" i="3"/>
  <c r="S1176" i="3"/>
  <c r="S1136" i="3"/>
  <c r="S1072" i="3"/>
  <c r="S1083" i="3"/>
  <c r="S1253" i="3"/>
  <c r="S1202" i="3"/>
  <c r="S1237" i="3"/>
  <c r="S1248" i="3"/>
  <c r="S1116" i="3"/>
  <c r="S1285" i="3"/>
  <c r="S964" i="3"/>
  <c r="S1139" i="3"/>
  <c r="S1195" i="3"/>
  <c r="S1146" i="3"/>
  <c r="S1038" i="3"/>
  <c r="S1241" i="3"/>
  <c r="S1143" i="3"/>
  <c r="S1240" i="3"/>
  <c r="S1173" i="3"/>
  <c r="S1138" i="3"/>
  <c r="S1134" i="3"/>
  <c r="S1122" i="3"/>
  <c r="S1057" i="3"/>
  <c r="S942" i="3"/>
  <c r="S1092" i="3"/>
  <c r="S1103" i="3"/>
  <c r="S1306" i="3"/>
  <c r="S1066" i="3"/>
  <c r="S1148" i="3"/>
  <c r="S1005" i="3"/>
  <c r="S1106" i="3"/>
  <c r="S732" i="3"/>
  <c r="S784" i="3"/>
  <c r="S895" i="3"/>
  <c r="S672" i="3"/>
  <c r="S742" i="3"/>
  <c r="S865" i="3"/>
  <c r="S874" i="3"/>
  <c r="S794" i="3"/>
  <c r="S703" i="3"/>
  <c r="S686" i="3"/>
  <c r="S662" i="3"/>
  <c r="S1194" i="3"/>
  <c r="S688" i="3"/>
  <c r="S744" i="3"/>
  <c r="S706" i="3"/>
  <c r="S991" i="3"/>
  <c r="S693" i="3"/>
  <c r="S850" i="3"/>
  <c r="S1208" i="3"/>
  <c r="S898" i="3"/>
  <c r="S888" i="3"/>
  <c r="S851" i="3"/>
  <c r="S1251" i="3"/>
  <c r="S785" i="3"/>
  <c r="S1036" i="3"/>
  <c r="S1133" i="3"/>
  <c r="S646" i="3"/>
  <c r="S1163" i="3"/>
  <c r="S967" i="3"/>
  <c r="S788" i="3"/>
  <c r="S632" i="3"/>
  <c r="S982" i="3"/>
  <c r="S925" i="3"/>
  <c r="S1034" i="3"/>
  <c r="S917" i="3"/>
  <c r="S963" i="3"/>
  <c r="S887" i="3"/>
  <c r="S1165" i="3"/>
  <c r="S773" i="3"/>
  <c r="S799" i="3"/>
  <c r="S780" i="3"/>
  <c r="S798" i="3"/>
  <c r="S699" i="3"/>
  <c r="S1097" i="3"/>
  <c r="S1000" i="3"/>
  <c r="S904" i="3"/>
  <c r="S1096" i="3"/>
  <c r="S931" i="3"/>
  <c r="S903" i="3"/>
  <c r="S1128" i="3"/>
  <c r="S1243" i="3"/>
  <c r="S1110" i="3"/>
  <c r="S1031" i="3"/>
  <c r="S890" i="3"/>
  <c r="S1090" i="3"/>
  <c r="S1093" i="3"/>
  <c r="S772" i="3"/>
  <c r="S641" i="3"/>
  <c r="S767" i="3"/>
  <c r="S957" i="3"/>
  <c r="S1065" i="3"/>
  <c r="S908" i="3"/>
  <c r="S731" i="3"/>
  <c r="S932" i="3"/>
  <c r="S1082" i="3"/>
  <c r="S985" i="3"/>
  <c r="S869" i="3"/>
  <c r="S633" i="3"/>
  <c r="S1171" i="3"/>
  <c r="S1111" i="3"/>
  <c r="S1078" i="3"/>
  <c r="S897" i="3"/>
  <c r="S1132" i="3"/>
  <c r="S1017" i="3"/>
  <c r="S944" i="3"/>
  <c r="S1058" i="3"/>
  <c r="S1068" i="3"/>
  <c r="S766" i="3"/>
  <c r="S628" i="3"/>
  <c r="S776" i="3"/>
  <c r="S792" i="3"/>
  <c r="S638" i="3"/>
  <c r="S992" i="3"/>
  <c r="S1075" i="3"/>
  <c r="S1073" i="3"/>
  <c r="S1118" i="3"/>
  <c r="S1101" i="3"/>
  <c r="S1150" i="3"/>
  <c r="S1119" i="3"/>
  <c r="S1183" i="3"/>
  <c r="S1216" i="3"/>
  <c r="S1327" i="3"/>
  <c r="S1338" i="3"/>
  <c r="S1267" i="3"/>
  <c r="S1325" i="3"/>
  <c r="S1076" i="3"/>
  <c r="S960" i="3"/>
  <c r="S873" i="3"/>
  <c r="S921" i="3"/>
  <c r="S955" i="3"/>
  <c r="S644" i="3"/>
  <c r="S1022" i="3"/>
  <c r="S845" i="3"/>
  <c r="S769" i="3"/>
  <c r="S751" i="3"/>
  <c r="S896" i="3"/>
  <c r="S730" i="3"/>
  <c r="S725" i="3"/>
  <c r="S816" i="3"/>
  <c r="S854" i="3"/>
  <c r="S882" i="3"/>
  <c r="S881" i="3"/>
  <c r="S951" i="3"/>
  <c r="S915" i="3"/>
  <c r="S808" i="3"/>
  <c r="S972" i="3"/>
  <c r="S880" i="3"/>
  <c r="S803" i="3"/>
  <c r="S859" i="3"/>
  <c r="S841" i="3"/>
  <c r="S900" i="3"/>
  <c r="S861" i="3"/>
  <c r="S1016" i="3"/>
  <c r="S1003" i="3"/>
  <c r="S1026" i="3"/>
  <c r="S1020" i="3"/>
  <c r="S1001" i="3"/>
  <c r="S995" i="3"/>
  <c r="S994" i="3"/>
  <c r="S1047" i="3"/>
  <c r="S981" i="3"/>
  <c r="S1009" i="3"/>
  <c r="S966" i="3"/>
  <c r="S653" i="3"/>
  <c r="S736" i="3"/>
  <c r="S698" i="3"/>
  <c r="S734" i="3"/>
  <c r="S715" i="3"/>
  <c r="S702" i="3"/>
  <c r="S791" i="3"/>
  <c r="S950" i="3"/>
  <c r="S948" i="3"/>
  <c r="S939" i="3"/>
  <c r="S937" i="3"/>
  <c r="S947" i="3"/>
  <c r="S945" i="3"/>
  <c r="S919" i="3"/>
  <c r="S930" i="3"/>
  <c r="S928" i="3"/>
  <c r="S935" i="3"/>
  <c r="S1008" i="3"/>
  <c r="S1230" i="3"/>
  <c r="S979" i="3"/>
  <c r="S713" i="3"/>
  <c r="S669" i="3"/>
  <c r="S671" i="3"/>
  <c r="S689" i="3"/>
  <c r="S813" i="3"/>
  <c r="S692" i="3"/>
  <c r="S1032" i="3"/>
  <c r="S976" i="3"/>
  <c r="S924" i="3"/>
  <c r="S656" i="3"/>
  <c r="S654" i="3"/>
  <c r="S667" i="3"/>
  <c r="S753" i="3"/>
  <c r="S812" i="3"/>
  <c r="S1130" i="3"/>
  <c r="S1010" i="3"/>
  <c r="S1102" i="3"/>
  <c r="S1099" i="3"/>
  <c r="S1023" i="3"/>
  <c r="S1191" i="3"/>
  <c r="S1084" i="3"/>
  <c r="S726" i="3"/>
  <c r="S741" i="3"/>
  <c r="S754" i="3"/>
  <c r="S778" i="3"/>
  <c r="S690" i="3"/>
  <c r="S1062" i="3"/>
  <c r="S986" i="3"/>
  <c r="S907" i="3"/>
  <c r="S1050" i="3"/>
  <c r="S1048" i="3"/>
  <c r="S679" i="3"/>
  <c r="S1291" i="3"/>
  <c r="S1342" i="3"/>
  <c r="S1347" i="3"/>
  <c r="S1079" i="3"/>
  <c r="S1321" i="3"/>
  <c r="S1326" i="3"/>
  <c r="S1353" i="3"/>
  <c r="S1242" i="3"/>
  <c r="S1319" i="3"/>
  <c r="S1308" i="3"/>
  <c r="S1359" i="3"/>
  <c r="S1357" i="3"/>
  <c r="S1324" i="3"/>
  <c r="S1270" i="3"/>
  <c r="S1268" i="3"/>
  <c r="S1290" i="3"/>
  <c r="S1305" i="3"/>
  <c r="S1301" i="3"/>
  <c r="S1299" i="3"/>
  <c r="S1303" i="3"/>
  <c r="S1335" i="3"/>
  <c r="S1333" i="3"/>
  <c r="S1323" i="3"/>
  <c r="S1349" i="3"/>
  <c r="S1223" i="3"/>
  <c r="S1221" i="3"/>
  <c r="S1296" i="3"/>
  <c r="S1209" i="3"/>
  <c r="S1354" i="3"/>
  <c r="S1257" i="3"/>
  <c r="S1330" i="3"/>
  <c r="S1081" i="3"/>
  <c r="S1343" i="3"/>
  <c r="S1170" i="3"/>
  <c r="S1239" i="3"/>
  <c r="S1158" i="3"/>
  <c r="S1232" i="3"/>
  <c r="S965" i="3"/>
  <c r="S1167" i="3"/>
  <c r="S1244" i="3"/>
  <c r="S1276" i="3"/>
  <c r="S1283" i="3"/>
  <c r="S1297" i="3"/>
  <c r="S1123" i="3"/>
  <c r="S1228" i="3"/>
  <c r="S922" i="3"/>
  <c r="S786" i="3"/>
  <c r="S775" i="3"/>
  <c r="S652" i="3"/>
  <c r="S664" i="3"/>
  <c r="S1074" i="3"/>
  <c r="S1184" i="3"/>
  <c r="S1117" i="3"/>
  <c r="S1100" i="3"/>
  <c r="S1127" i="3"/>
  <c r="S1126" i="3"/>
  <c r="S1137" i="3"/>
  <c r="S1288" i="3"/>
  <c r="S1312" i="3"/>
  <c r="S1235" i="3"/>
  <c r="S1345" i="3"/>
  <c r="S1310" i="3"/>
  <c r="S878" i="3"/>
  <c r="S933" i="3"/>
  <c r="S858" i="3"/>
  <c r="S959" i="3"/>
  <c r="S1040" i="3"/>
  <c r="S1024" i="3"/>
  <c r="S1039" i="3"/>
  <c r="S779" i="3"/>
  <c r="S737" i="3"/>
  <c r="S993" i="3"/>
  <c r="S905" i="3"/>
  <c r="S910" i="3"/>
  <c r="S1151" i="3"/>
  <c r="S894" i="3"/>
  <c r="S755" i="3"/>
  <c r="S885" i="3"/>
  <c r="S916" i="3"/>
  <c r="S953" i="3"/>
  <c r="S914" i="3"/>
  <c r="S797" i="3"/>
  <c r="S860" i="3"/>
  <c r="S762" i="3"/>
  <c r="S815" i="3"/>
  <c r="S857" i="3"/>
  <c r="S940" i="3"/>
  <c r="S879" i="3"/>
  <c r="S1069" i="3"/>
  <c r="S1015" i="3"/>
  <c r="S1007" i="3"/>
  <c r="S1021" i="3"/>
  <c r="S961" i="3"/>
  <c r="S974" i="3"/>
  <c r="S973" i="3"/>
  <c r="S962" i="3"/>
  <c r="S1002" i="3"/>
  <c r="S958" i="3"/>
  <c r="S999" i="3"/>
  <c r="S980" i="3"/>
  <c r="S708" i="3"/>
  <c r="S735" i="3"/>
  <c r="S716" i="3"/>
  <c r="S697" i="3"/>
  <c r="S704" i="3"/>
  <c r="S685" i="3"/>
  <c r="S747" i="3"/>
  <c r="S949" i="3"/>
  <c r="S952" i="3"/>
  <c r="S938" i="3"/>
  <c r="S936" i="3"/>
  <c r="S946" i="3"/>
  <c r="S920" i="3"/>
  <c r="S918" i="3"/>
  <c r="S929" i="3"/>
  <c r="S927" i="3"/>
  <c r="S934" i="3"/>
  <c r="S1160" i="3"/>
  <c r="S899" i="3"/>
  <c r="S728" i="3"/>
  <c r="S709" i="3"/>
  <c r="S691" i="3"/>
  <c r="S711" i="3"/>
  <c r="S814" i="3"/>
  <c r="S842" i="3"/>
  <c r="S989" i="3"/>
  <c r="S977" i="3"/>
  <c r="S891" i="3"/>
  <c r="S695" i="3"/>
  <c r="S663" i="3"/>
  <c r="S661" i="3"/>
  <c r="S757" i="3"/>
  <c r="S796" i="3"/>
  <c r="S1061" i="3"/>
  <c r="S1088" i="3"/>
  <c r="S1027" i="3"/>
  <c r="S1051" i="3"/>
  <c r="S1059" i="3"/>
  <c r="S1064" i="3"/>
  <c r="S1095" i="3"/>
  <c r="S683" i="3"/>
  <c r="S710" i="3"/>
  <c r="S729" i="3"/>
  <c r="S714" i="3"/>
  <c r="S721" i="3"/>
  <c r="S684" i="3"/>
  <c r="S866" i="3"/>
  <c r="S1006" i="3"/>
  <c r="S1054" i="3"/>
  <c r="S1049" i="3"/>
  <c r="S1033" i="3"/>
  <c r="S1344" i="3"/>
  <c r="S1322" i="3"/>
  <c r="S1348" i="3"/>
  <c r="S1346" i="3"/>
  <c r="S1341" i="3"/>
  <c r="S1320" i="3"/>
  <c r="S1266" i="3"/>
  <c r="S1352" i="3"/>
  <c r="S1287" i="3"/>
  <c r="S1309" i="3"/>
  <c r="S1307" i="3"/>
  <c r="S1358" i="3"/>
  <c r="S1336" i="3"/>
  <c r="S1337" i="3"/>
  <c r="S1269" i="3"/>
  <c r="S1340" i="3"/>
  <c r="S1147" i="3"/>
  <c r="S1302" i="3"/>
  <c r="S1300" i="3"/>
  <c r="S1304" i="3"/>
  <c r="S1356" i="3"/>
  <c r="S1334" i="3"/>
  <c r="S1332" i="3"/>
  <c r="S1350" i="3"/>
  <c r="S1298" i="3"/>
  <c r="S1222" i="3"/>
  <c r="S1086" i="3"/>
  <c r="S1153" i="3"/>
  <c r="S1355" i="3"/>
  <c r="S1129" i="3"/>
  <c r="S1277" i="3"/>
  <c r="S1329" i="3"/>
  <c r="S1256" i="3"/>
  <c r="S1192" i="3"/>
  <c r="S1189" i="3"/>
  <c r="S1214" i="3"/>
  <c r="S1294" i="3"/>
  <c r="S1142" i="3"/>
  <c r="S1265" i="3"/>
  <c r="S1295" i="3"/>
  <c r="S1284" i="3"/>
  <c r="S1275" i="3"/>
  <c r="S1289" i="3"/>
  <c r="S1077" i="3"/>
  <c r="S1157" i="3"/>
  <c r="S1258" i="3"/>
  <c r="S1186" i="3"/>
  <c r="S1159" i="3"/>
  <c r="S1225" i="3"/>
  <c r="S1210" i="3"/>
  <c r="S1247" i="3"/>
  <c r="S1238" i="3"/>
  <c r="S1234" i="3"/>
  <c r="S1264" i="3"/>
  <c r="S1233" i="3"/>
  <c r="S1212" i="3"/>
  <c r="S1231" i="3"/>
  <c r="S1211" i="3"/>
  <c r="S1187" i="3"/>
  <c r="S1205" i="3"/>
  <c r="S1114" i="3"/>
  <c r="S1172" i="3"/>
  <c r="S1052" i="3"/>
  <c r="S1046" i="3"/>
  <c r="S1060" i="3"/>
  <c r="S574" i="3"/>
  <c r="S569" i="3"/>
  <c r="S582" i="3"/>
  <c r="S581" i="3"/>
  <c r="S530" i="3"/>
  <c r="S627" i="3"/>
  <c r="S622" i="3"/>
  <c r="S620" i="3"/>
  <c r="S481" i="3"/>
  <c r="S552" i="3"/>
  <c r="S607" i="3"/>
  <c r="S490" i="3"/>
  <c r="S543" i="3"/>
  <c r="S590" i="3"/>
  <c r="S580" i="3"/>
  <c r="S609" i="3"/>
  <c r="S618" i="3"/>
  <c r="S617" i="3"/>
  <c r="S589" i="3"/>
  <c r="S547" i="3"/>
  <c r="S555" i="3"/>
  <c r="S550" i="3"/>
  <c r="S495" i="3"/>
  <c r="S507" i="3"/>
  <c r="S498" i="3"/>
  <c r="S583" i="3"/>
  <c r="S604" i="3"/>
  <c r="S595" i="3"/>
  <c r="S624" i="3"/>
  <c r="S621" i="3"/>
  <c r="S619" i="3"/>
  <c r="S614" i="3"/>
  <c r="S594" i="3"/>
  <c r="S615" i="3"/>
  <c r="S584" i="3"/>
  <c r="S587" i="3"/>
  <c r="S576" i="3"/>
  <c r="S593" i="3"/>
  <c r="S563" i="3"/>
  <c r="S485" i="3"/>
  <c r="S478" i="3"/>
  <c r="S568" i="3"/>
  <c r="S546" i="3"/>
  <c r="S610" i="3"/>
  <c r="S541" i="3"/>
  <c r="S606" i="3"/>
  <c r="S570" i="3"/>
  <c r="S564" i="3"/>
  <c r="S488" i="3"/>
  <c r="S516" i="3"/>
  <c r="S579" i="3"/>
  <c r="S553" i="3"/>
  <c r="S597" i="3"/>
  <c r="S505" i="3"/>
  <c r="S512" i="3"/>
  <c r="S536" i="3"/>
  <c r="S522" i="3"/>
  <c r="S537" i="3"/>
  <c r="S517" i="3"/>
  <c r="S544" i="3"/>
  <c r="S598" i="3"/>
  <c r="S529" i="3"/>
  <c r="S525" i="3"/>
  <c r="S527" i="3"/>
  <c r="S549" i="3"/>
  <c r="S542" i="3"/>
  <c r="S519" i="3"/>
  <c r="S473" i="3"/>
  <c r="S500" i="3"/>
  <c r="S494" i="3"/>
  <c r="S482" i="3"/>
  <c r="S477" i="3"/>
  <c r="S502" i="3"/>
  <c r="S497" i="3"/>
  <c r="S486" i="3"/>
  <c r="S492" i="3"/>
  <c r="S483" i="3"/>
  <c r="S472" i="3"/>
  <c r="S405" i="3"/>
  <c r="S402" i="3"/>
  <c r="S394" i="3"/>
  <c r="S396" i="3"/>
  <c r="S409" i="3"/>
  <c r="S422" i="3"/>
  <c r="S399" i="3"/>
  <c r="S431" i="3"/>
  <c r="S413" i="3"/>
  <c r="S390" i="3"/>
  <c r="S460" i="3"/>
  <c r="S447" i="3"/>
  <c r="S470" i="3"/>
  <c r="S454" i="3"/>
  <c r="S464" i="3"/>
  <c r="S466" i="3"/>
  <c r="S462" i="3"/>
  <c r="S471" i="3"/>
  <c r="S452" i="3"/>
  <c r="S456" i="3"/>
  <c r="S451" i="3"/>
  <c r="S455" i="3"/>
  <c r="S448" i="3"/>
  <c r="S430" i="3"/>
  <c r="S433" i="3"/>
  <c r="S418" i="3"/>
  <c r="S443" i="3"/>
  <c r="S435" i="3"/>
  <c r="S387" i="3"/>
  <c r="S385" i="3"/>
  <c r="S382" i="3"/>
  <c r="S392" i="3"/>
  <c r="S397" i="3"/>
  <c r="S389" i="3"/>
  <c r="S1224" i="3"/>
  <c r="S1156" i="3"/>
  <c r="S1236" i="3"/>
  <c r="S1259" i="3"/>
  <c r="S1282" i="3"/>
  <c r="S1245" i="3"/>
  <c r="S1188" i="3"/>
  <c r="S1249" i="3"/>
  <c r="S1169" i="3"/>
  <c r="S1190" i="3"/>
  <c r="S1207" i="3"/>
  <c r="S1229" i="3"/>
  <c r="S1196" i="3"/>
  <c r="S1166" i="3"/>
  <c r="S1213" i="3"/>
  <c r="S1226" i="3"/>
  <c r="S1063" i="3"/>
  <c r="S1067" i="3"/>
  <c r="S1080" i="3"/>
  <c r="S1339" i="3"/>
  <c r="S577" i="3"/>
  <c r="S573" i="3"/>
  <c r="S586" i="3"/>
  <c r="S513" i="3"/>
  <c r="S535" i="3"/>
  <c r="S626" i="3"/>
  <c r="S623" i="3"/>
  <c r="S504" i="3"/>
  <c r="S548" i="3"/>
  <c r="S601" i="3"/>
  <c r="S493" i="3"/>
  <c r="S510" i="3"/>
  <c r="S575" i="3"/>
  <c r="S571" i="3"/>
  <c r="S600" i="3"/>
  <c r="S612" i="3"/>
  <c r="S611" i="3"/>
  <c r="S613" i="3"/>
  <c r="S605" i="3"/>
  <c r="S528" i="3"/>
  <c r="S551" i="3"/>
  <c r="S556" i="3"/>
  <c r="S475" i="3"/>
  <c r="S503" i="3"/>
  <c r="S491" i="3"/>
  <c r="S602" i="3"/>
  <c r="S557" i="3"/>
  <c r="S588" i="3"/>
  <c r="S603" i="3"/>
  <c r="S625" i="3"/>
  <c r="S616" i="3"/>
  <c r="S506" i="3"/>
  <c r="S608" i="3"/>
  <c r="S585" i="3"/>
  <c r="S591" i="3"/>
  <c r="S572" i="3"/>
  <c r="S599" i="3"/>
  <c r="S578" i="3"/>
  <c r="S489" i="3"/>
  <c r="S508" i="3"/>
  <c r="S561" i="3"/>
  <c r="S565" i="3"/>
  <c r="S558" i="3"/>
  <c r="S545" i="3"/>
  <c r="S554" i="3"/>
  <c r="S559" i="3"/>
  <c r="S567" i="3"/>
  <c r="S562" i="3"/>
  <c r="S521" i="3"/>
  <c r="S514" i="3"/>
  <c r="S596" i="3"/>
  <c r="S566" i="3"/>
  <c r="S532" i="3"/>
  <c r="S501" i="3"/>
  <c r="S518" i="3"/>
  <c r="S523" i="3"/>
  <c r="S534" i="3"/>
  <c r="S520" i="3"/>
  <c r="S515" i="3"/>
  <c r="S560" i="3"/>
  <c r="S592" i="3"/>
  <c r="S533" i="3"/>
  <c r="S526" i="3"/>
  <c r="S538" i="3"/>
  <c r="S531" i="3"/>
  <c r="S540" i="3"/>
  <c r="S539" i="3"/>
  <c r="S509" i="3"/>
  <c r="S499" i="3"/>
  <c r="S511" i="3"/>
  <c r="S479" i="3"/>
  <c r="S496" i="3"/>
  <c r="S484" i="3"/>
  <c r="S487" i="3"/>
  <c r="S480" i="3"/>
  <c r="S476" i="3"/>
  <c r="S474" i="3"/>
  <c r="S524" i="3"/>
  <c r="S404" i="3"/>
  <c r="S400" i="3"/>
  <c r="S398" i="3"/>
  <c r="S391" i="3"/>
  <c r="S403" i="3"/>
  <c r="S401" i="3"/>
  <c r="S421" i="3"/>
  <c r="S408" i="3"/>
  <c r="S420" i="3"/>
  <c r="S419" i="3"/>
  <c r="S459" i="3"/>
  <c r="S468" i="3"/>
  <c r="S458" i="3"/>
  <c r="S461" i="3"/>
  <c r="S467" i="3"/>
  <c r="S465" i="3"/>
  <c r="S463" i="3"/>
  <c r="S450" i="3"/>
  <c r="S457" i="3"/>
  <c r="S453" i="3"/>
  <c r="S469" i="3"/>
  <c r="S449" i="3"/>
  <c r="S429" i="3"/>
  <c r="S428" i="3"/>
  <c r="S423" i="3"/>
  <c r="S444" i="3"/>
  <c r="S412" i="3"/>
  <c r="S425" i="3"/>
  <c r="S384" i="3"/>
  <c r="S393" i="3"/>
  <c r="S395" i="3"/>
  <c r="S388" i="3"/>
  <c r="S383" i="3"/>
  <c r="S346" i="3"/>
  <c r="S332" i="3"/>
  <c r="S310" i="3"/>
  <c r="S339" i="3"/>
  <c r="S314" i="3"/>
  <c r="S371" i="3"/>
  <c r="S364" i="3"/>
  <c r="S357" i="3"/>
  <c r="S265" i="3"/>
  <c r="S302" i="3"/>
  <c r="S277" i="3"/>
  <c r="S296" i="3"/>
  <c r="S272" i="3"/>
  <c r="S305" i="3"/>
  <c r="S293" i="3"/>
  <c r="S267" i="3"/>
  <c r="S315" i="3"/>
  <c r="S313" i="3"/>
  <c r="S337" i="3"/>
  <c r="S326" i="3"/>
  <c r="S294" i="3"/>
  <c r="S307" i="3"/>
  <c r="S333" i="3"/>
  <c r="S354" i="3"/>
  <c r="S360" i="3"/>
  <c r="S331" i="3"/>
  <c r="S316" i="3"/>
  <c r="S323" i="3"/>
  <c r="S362" i="3"/>
  <c r="S375" i="3"/>
  <c r="S273" i="3"/>
  <c r="S266" i="3"/>
  <c r="S260" i="3"/>
  <c r="S262" i="3"/>
  <c r="S251" i="3"/>
  <c r="S250" i="3"/>
  <c r="S247" i="3"/>
  <c r="S255" i="3"/>
  <c r="S261" i="3"/>
  <c r="S258" i="3"/>
  <c r="S244" i="3"/>
  <c r="S246" i="3"/>
  <c r="S12" i="3"/>
  <c r="S345" i="3"/>
  <c r="S352" i="3"/>
  <c r="S335" i="3"/>
  <c r="S270" i="3"/>
  <c r="S380" i="3"/>
  <c r="S368" i="3"/>
  <c r="S366" i="3"/>
  <c r="S321" i="3"/>
  <c r="S292" i="3"/>
  <c r="S274" i="3"/>
  <c r="S284" i="3"/>
  <c r="S297" i="3"/>
  <c r="S271" i="3"/>
  <c r="S298" i="3"/>
  <c r="S299" i="3"/>
  <c r="S268" i="3"/>
  <c r="S311" i="3"/>
  <c r="S317" i="3"/>
  <c r="S295" i="3"/>
  <c r="S303" i="3"/>
  <c r="S320" i="3"/>
  <c r="S359" i="3"/>
  <c r="S365" i="3"/>
  <c r="S353" i="3"/>
  <c r="S330" i="3"/>
  <c r="S350" i="3"/>
  <c r="S312" i="3"/>
  <c r="S318" i="3"/>
  <c r="S341" i="3"/>
  <c r="S281" i="3"/>
  <c r="S275" i="3"/>
  <c r="S257" i="3"/>
  <c r="S264" i="3"/>
  <c r="S263" i="3"/>
  <c r="S256" i="3"/>
  <c r="S254" i="3"/>
  <c r="S253" i="3"/>
  <c r="S259" i="3"/>
  <c r="S252" i="3"/>
  <c r="S249" i="3"/>
  <c r="S245" i="3"/>
  <c r="S248" i="3"/>
  <c r="S157" i="3"/>
  <c r="S182" i="3"/>
  <c r="S147" i="3"/>
  <c r="S141" i="3"/>
  <c r="S209" i="3"/>
  <c r="S106" i="3"/>
  <c r="S178" i="3"/>
  <c r="S172" i="3"/>
  <c r="S144" i="3"/>
  <c r="S139" i="3"/>
  <c r="S83" i="3"/>
  <c r="S120" i="3"/>
  <c r="S129" i="3"/>
  <c r="S128" i="3"/>
  <c r="S171" i="3"/>
  <c r="S241" i="3"/>
  <c r="S230" i="3"/>
  <c r="S229" i="3"/>
  <c r="S236" i="3"/>
  <c r="S193" i="3"/>
  <c r="S238" i="3"/>
  <c r="S220" i="3"/>
  <c r="S211" i="3"/>
  <c r="S227" i="3"/>
  <c r="S215" i="3"/>
  <c r="S200" i="3"/>
  <c r="S160" i="3"/>
  <c r="S203" i="3"/>
  <c r="S233" i="3"/>
  <c r="S14" i="3"/>
  <c r="S21" i="3"/>
  <c r="S38" i="3"/>
  <c r="S136" i="3"/>
  <c r="S132" i="3"/>
  <c r="S75" i="3"/>
  <c r="S119" i="3"/>
  <c r="S114" i="3"/>
  <c r="S62" i="3"/>
  <c r="S66" i="3"/>
  <c r="S61" i="3"/>
  <c r="S112" i="3"/>
  <c r="S107" i="3"/>
  <c r="S205" i="3"/>
  <c r="S146" i="3"/>
  <c r="S187" i="3"/>
  <c r="S145" i="3"/>
  <c r="S143" i="3"/>
  <c r="S190" i="3"/>
  <c r="S189" i="3"/>
  <c r="S158" i="3"/>
  <c r="S163" i="3"/>
  <c r="S156" i="3"/>
  <c r="S124" i="3"/>
  <c r="S121" i="3"/>
  <c r="S127" i="3"/>
  <c r="S126" i="3"/>
  <c r="S113" i="3"/>
  <c r="S237" i="3"/>
  <c r="S228" i="3"/>
  <c r="S240" i="3"/>
  <c r="S169" i="3"/>
  <c r="S221" i="3"/>
  <c r="S231" i="3"/>
  <c r="S223" i="3"/>
  <c r="S242" i="3"/>
  <c r="S243" i="3"/>
  <c r="S226" i="3"/>
  <c r="S239" i="3"/>
  <c r="S208" i="3"/>
  <c r="S184" i="3"/>
  <c r="S217" i="3"/>
  <c r="S174" i="3"/>
  <c r="S4" i="3"/>
  <c r="S27" i="3"/>
  <c r="S135" i="3"/>
  <c r="S142" i="3"/>
  <c r="S74" i="3"/>
  <c r="S105" i="3"/>
  <c r="S138" i="3"/>
  <c r="S70" i="3"/>
  <c r="S15" i="3"/>
  <c r="S51" i="3"/>
  <c r="S22" i="3"/>
  <c r="S118" i="3"/>
  <c r="S95" i="3"/>
  <c r="L1414" i="3"/>
  <c r="M1414" i="3" s="1"/>
  <c r="L924" i="3"/>
  <c r="M924" i="3" s="1"/>
  <c r="L1718" i="3"/>
  <c r="M1718" i="3" s="1"/>
  <c r="L410" i="3"/>
  <c r="M410" i="3" s="1"/>
  <c r="L1731" i="3"/>
  <c r="M1731" i="3" s="1"/>
  <c r="L1732" i="3"/>
  <c r="M1732" i="3" s="1"/>
  <c r="L1713" i="3"/>
  <c r="M1713" i="3" s="1"/>
  <c r="L1714" i="3"/>
  <c r="M1714" i="3" s="1"/>
  <c r="L498" i="3"/>
  <c r="M498" i="3" s="1"/>
  <c r="L1102" i="3"/>
  <c r="M1102" i="3" s="1"/>
  <c r="L1739" i="3"/>
  <c r="M1739" i="3" s="1"/>
  <c r="L1706" i="3"/>
  <c r="M1706" i="3" s="1"/>
  <c r="L1726" i="3"/>
  <c r="M1726" i="3" s="1"/>
  <c r="L317" i="3"/>
  <c r="M317" i="3" s="1"/>
  <c r="L303" i="3"/>
  <c r="M303" i="3" s="1"/>
  <c r="L294" i="3"/>
  <c r="M294" i="3" s="1"/>
  <c r="L1561" i="3"/>
  <c r="M1561" i="3" s="1"/>
  <c r="L1628" i="3"/>
  <c r="M1628" i="3" s="1"/>
  <c r="L1703" i="3"/>
  <c r="M1703" i="3" s="1"/>
  <c r="L299" i="3"/>
  <c r="M299" i="3" s="1"/>
  <c r="L293" i="3"/>
  <c r="M293" i="3" s="1"/>
  <c r="L298" i="3"/>
  <c r="M298" i="3" s="1"/>
  <c r="L305" i="3"/>
  <c r="M305" i="3" s="1"/>
  <c r="L1583" i="3"/>
  <c r="M1583" i="3" s="1"/>
  <c r="L1567" i="3"/>
  <c r="M1567" i="3" s="1"/>
  <c r="L1595" i="3"/>
  <c r="M1595" i="3" s="1"/>
  <c r="L1548" i="3"/>
  <c r="M1548" i="3" s="1"/>
  <c r="L1699" i="3"/>
  <c r="M1699" i="3" s="1"/>
  <c r="L313" i="3"/>
  <c r="M313" i="3" s="1"/>
  <c r="L311" i="3"/>
  <c r="M311" i="3" s="1"/>
  <c r="L315" i="3"/>
  <c r="M315" i="3" s="1"/>
  <c r="L148" i="3"/>
  <c r="N148" i="3" s="1"/>
  <c r="O148" i="3" s="1"/>
  <c r="L334" i="3"/>
  <c r="M334" i="3" s="1"/>
  <c r="L556" i="3"/>
  <c r="M556" i="3" s="1"/>
  <c r="L550" i="3"/>
  <c r="M550" i="3" s="1"/>
  <c r="L1032" i="3"/>
  <c r="M1032" i="3" s="1"/>
  <c r="L1743" i="3"/>
  <c r="M1743" i="3" s="1"/>
  <c r="L1737" i="3"/>
  <c r="M1737" i="3" s="1"/>
  <c r="L1744" i="3"/>
  <c r="M1744" i="3" s="1"/>
  <c r="L1745" i="3"/>
  <c r="M1745" i="3" s="1"/>
  <c r="L1582" i="3"/>
  <c r="M1582" i="3" s="1"/>
  <c r="L1632" i="3"/>
  <c r="M1632" i="3" s="1"/>
  <c r="L430" i="3"/>
  <c r="M430" i="3" s="1"/>
  <c r="L420" i="3"/>
  <c r="M420" i="3" s="1"/>
  <c r="L413" i="3"/>
  <c r="M413" i="3" s="1"/>
  <c r="L332" i="3"/>
  <c r="M332" i="3" s="1"/>
  <c r="L1589" i="3"/>
  <c r="M1589" i="3" s="1"/>
  <c r="L1623" i="3"/>
  <c r="M1623" i="3" s="1"/>
  <c r="L159" i="3"/>
  <c r="N159" i="3" s="1"/>
  <c r="O159" i="3" s="1"/>
  <c r="L503" i="3"/>
  <c r="M503" i="3" s="1"/>
  <c r="L1677" i="3"/>
  <c r="M1677" i="3" s="1"/>
  <c r="L1618" i="3"/>
  <c r="M1618" i="3" s="1"/>
  <c r="L1684" i="3"/>
  <c r="M1684" i="3" s="1"/>
  <c r="L1626" i="3"/>
  <c r="M1626" i="3" s="1"/>
  <c r="L1597" i="3"/>
  <c r="M1597" i="3" s="1"/>
  <c r="L1392" i="3"/>
  <c r="N1392" i="3" s="1"/>
  <c r="O1392" i="3" s="1"/>
  <c r="L1393" i="3"/>
  <c r="N1393" i="3" s="1"/>
  <c r="O1393" i="3" s="1"/>
  <c r="L340" i="3"/>
  <c r="M340" i="3" s="1"/>
  <c r="L1360" i="3"/>
  <c r="M1360" i="3" s="1"/>
  <c r="L1361" i="3"/>
  <c r="M1361" i="3" s="1"/>
  <c r="L1701" i="3"/>
  <c r="M1701" i="3" s="1"/>
  <c r="L1580" i="3"/>
  <c r="M1580" i="3" s="1"/>
  <c r="L357" i="3"/>
  <c r="M357" i="3" s="1"/>
  <c r="L1665" i="3"/>
  <c r="M1665" i="3" s="1"/>
  <c r="L1722" i="3"/>
  <c r="M1722" i="3" s="1"/>
  <c r="L1619" i="3"/>
  <c r="M1619" i="3" s="1"/>
  <c r="L1659" i="3"/>
  <c r="M1659" i="3" s="1"/>
  <c r="L1234" i="3"/>
  <c r="M1234" i="3" s="1"/>
  <c r="L1658" i="3"/>
  <c r="M1658" i="3" s="1"/>
  <c r="L1572" i="3"/>
  <c r="M1572" i="3" s="1"/>
  <c r="L1188" i="3"/>
  <c r="M1188" i="3" s="1"/>
  <c r="L345" i="3"/>
  <c r="M345" i="3" s="1"/>
  <c r="L1368" i="3"/>
  <c r="M1368" i="3" s="1"/>
  <c r="L1604" i="3"/>
  <c r="M1604" i="3" s="1"/>
  <c r="L1605" i="3"/>
  <c r="M1605" i="3" s="1"/>
  <c r="L1652" i="3"/>
  <c r="M1652" i="3" s="1"/>
  <c r="L1612" i="3"/>
  <c r="M1612" i="3" s="1"/>
  <c r="L1565" i="3"/>
  <c r="M1565" i="3" s="1"/>
  <c r="L1570" i="3"/>
  <c r="M1570" i="3" s="1"/>
  <c r="L1210" i="3"/>
  <c r="M1210" i="3" s="1"/>
  <c r="L1533" i="3"/>
  <c r="M1533" i="3" s="1"/>
  <c r="L173" i="3"/>
  <c r="N173" i="3" s="1"/>
  <c r="O173" i="3" s="1"/>
  <c r="L362" i="3"/>
  <c r="M362" i="3" s="1"/>
  <c r="L495" i="3"/>
  <c r="M495" i="3" s="1"/>
  <c r="L652" i="3"/>
  <c r="M652" i="3" s="1"/>
  <c r="L1018" i="3"/>
  <c r="M1018" i="3" s="1"/>
  <c r="L1120" i="3"/>
  <c r="M1120" i="3" s="1"/>
  <c r="L1145" i="3"/>
  <c r="M1145" i="3" s="1"/>
  <c r="L1362" i="3"/>
  <c r="M1362" i="3" s="1"/>
  <c r="L1614" i="3"/>
  <c r="M1614" i="3" s="1"/>
  <c r="L1730" i="3"/>
  <c r="M1730" i="3" s="1"/>
  <c r="L314" i="3"/>
  <c r="M314" i="3" s="1"/>
  <c r="L351" i="3"/>
  <c r="M351" i="3" s="1"/>
  <c r="L217" i="3"/>
  <c r="M217" i="3" s="1"/>
  <c r="L90" i="3"/>
  <c r="M90" i="3" s="1"/>
  <c r="L278" i="3"/>
  <c r="M278" i="3" s="1"/>
  <c r="L428" i="3"/>
  <c r="M428" i="3" s="1"/>
  <c r="L409" i="3"/>
  <c r="M409" i="3" s="1"/>
  <c r="L633" i="3"/>
  <c r="M633" i="3" s="1"/>
  <c r="L328" i="3"/>
  <c r="M328" i="3" s="1"/>
  <c r="L1555" i="3"/>
  <c r="M1555" i="3" s="1"/>
  <c r="L1247" i="3"/>
  <c r="M1247" i="3" s="1"/>
  <c r="L1249" i="3"/>
  <c r="M1249" i="3" s="1"/>
  <c r="L1554" i="3"/>
  <c r="M1554" i="3" s="1"/>
  <c r="L1674" i="3"/>
  <c r="M1674" i="3" s="1"/>
  <c r="L1621" i="3"/>
  <c r="M1621" i="3" s="1"/>
  <c r="L375" i="3"/>
  <c r="M375" i="3" s="1"/>
  <c r="L776" i="3"/>
  <c r="M776" i="3" s="1"/>
  <c r="L922" i="3"/>
  <c r="M922" i="3" s="1"/>
  <c r="L771" i="3"/>
  <c r="M771" i="3" s="1"/>
  <c r="L1005" i="3"/>
  <c r="M1005" i="3" s="1"/>
  <c r="L1030" i="3"/>
  <c r="M1030" i="3" s="1"/>
  <c r="L1650" i="3"/>
  <c r="M1650" i="3" s="1"/>
  <c r="L1578" i="3"/>
  <c r="M1578" i="3" s="1"/>
  <c r="L1696" i="3"/>
  <c r="M1696" i="3" s="1"/>
  <c r="L452" i="3"/>
  <c r="M452" i="3" s="1"/>
  <c r="L1375" i="3"/>
  <c r="M1375" i="3" s="1"/>
  <c r="L1685" i="3"/>
  <c r="M1685" i="3" s="1"/>
  <c r="L307" i="3"/>
  <c r="M307" i="3" s="1"/>
  <c r="L326" i="3"/>
  <c r="M326" i="3" s="1"/>
  <c r="L934" i="3"/>
  <c r="M934" i="3" s="1"/>
  <c r="L935" i="3"/>
  <c r="M935" i="3" s="1"/>
  <c r="L927" i="3"/>
  <c r="M927" i="3" s="1"/>
  <c r="L928" i="3"/>
  <c r="M928" i="3" s="1"/>
  <c r="L929" i="3"/>
  <c r="M929" i="3" s="1"/>
  <c r="L930" i="3"/>
  <c r="M930" i="3" s="1"/>
  <c r="L918" i="3"/>
  <c r="M918" i="3" s="1"/>
  <c r="L919" i="3"/>
  <c r="M919" i="3" s="1"/>
  <c r="L920" i="3"/>
  <c r="M920" i="3" s="1"/>
  <c r="L1399" i="3"/>
  <c r="N1399" i="3" s="1"/>
  <c r="O1399" i="3" s="1"/>
  <c r="L1400" i="3"/>
  <c r="N1400" i="3" s="1"/>
  <c r="O1400" i="3" s="1"/>
  <c r="L1586" i="3"/>
  <c r="M1586" i="3" s="1"/>
  <c r="L248" i="3"/>
  <c r="M248" i="3" s="1"/>
  <c r="L246" i="3"/>
  <c r="M246" i="3" s="1"/>
  <c r="L245" i="3"/>
  <c r="M245" i="3" s="1"/>
  <c r="L244" i="3"/>
  <c r="M244" i="3" s="1"/>
  <c r="L249" i="3"/>
  <c r="M249" i="3" s="1"/>
  <c r="L323" i="3"/>
  <c r="M323" i="3" s="1"/>
  <c r="L557" i="3"/>
  <c r="M557" i="3" s="1"/>
  <c r="L604" i="3"/>
  <c r="M604" i="3" s="1"/>
  <c r="L1382" i="3"/>
  <c r="M1382" i="3" s="1"/>
  <c r="L1642" i="3"/>
  <c r="M1642" i="3" s="1"/>
  <c r="L1742" i="3"/>
  <c r="M1742" i="3" s="1"/>
  <c r="L1574" i="3"/>
  <c r="M1574" i="3" s="1"/>
  <c r="L1708" i="3"/>
  <c r="M1708" i="3" s="1"/>
  <c r="L396" i="3"/>
  <c r="M396" i="3" s="1"/>
  <c r="L398" i="3"/>
  <c r="M398" i="3" s="1"/>
  <c r="L242" i="3"/>
  <c r="M242" i="3" s="1"/>
  <c r="L80" i="3"/>
  <c r="M80" i="3" s="1"/>
  <c r="L85" i="3"/>
  <c r="M85" i="3" s="1"/>
  <c r="L401" i="3"/>
  <c r="M401" i="3" s="1"/>
  <c r="L470" i="3"/>
  <c r="M470" i="3" s="1"/>
  <c r="L1697" i="3"/>
  <c r="M1697" i="3" s="1"/>
  <c r="L1365" i="3"/>
  <c r="M1365" i="3" s="1"/>
  <c r="L1669" i="3"/>
  <c r="M1669" i="3" s="1"/>
  <c r="L295" i="3"/>
  <c r="M295" i="3" s="1"/>
  <c r="L850" i="3"/>
  <c r="M850" i="3" s="1"/>
  <c r="L646" i="3"/>
  <c r="M646" i="3" s="1"/>
  <c r="L1363" i="3"/>
  <c r="M1363" i="3" s="1"/>
  <c r="L1404" i="3"/>
  <c r="N1404" i="3" s="1"/>
  <c r="O1404" i="3" s="1"/>
  <c r="L1464" i="3"/>
  <c r="N1464" i="3" s="1"/>
  <c r="O1464" i="3" s="1"/>
  <c r="L1405" i="3"/>
  <c r="N1405" i="3" s="1"/>
  <c r="O1405" i="3" s="1"/>
  <c r="L1465" i="3"/>
  <c r="N1465" i="3" s="1"/>
  <c r="O1465" i="3" s="1"/>
  <c r="L1627" i="3"/>
  <c r="M1627" i="3" s="1"/>
  <c r="L1581" i="3"/>
  <c r="M1581" i="3" s="1"/>
  <c r="L1673" i="3"/>
  <c r="M1673" i="3" s="1"/>
  <c r="L1587" i="3"/>
  <c r="M1587" i="3" s="1"/>
  <c r="L258" i="3"/>
  <c r="M258" i="3" s="1"/>
  <c r="L252" i="3"/>
  <c r="M252" i="3" s="1"/>
  <c r="L312" i="3"/>
  <c r="M312" i="3" s="1"/>
  <c r="L588" i="3"/>
  <c r="M588" i="3" s="1"/>
  <c r="L602" i="3"/>
  <c r="M602" i="3" s="1"/>
  <c r="L528" i="3"/>
  <c r="M528" i="3" s="1"/>
  <c r="L707" i="3"/>
  <c r="M707" i="3" s="1"/>
  <c r="L686" i="3"/>
  <c r="M686" i="3" s="1"/>
  <c r="L833" i="3"/>
  <c r="M833" i="3" s="1"/>
  <c r="L1666" i="3"/>
  <c r="M1666" i="3" s="1"/>
  <c r="L325" i="3"/>
  <c r="M325" i="3" s="1"/>
  <c r="L1644" i="3"/>
  <c r="M1644" i="3" s="1"/>
  <c r="L1643" i="3"/>
  <c r="M1643" i="3" s="1"/>
  <c r="L289" i="3"/>
  <c r="M289" i="3" s="1"/>
  <c r="L291" i="3"/>
  <c r="M291" i="3" s="1"/>
  <c r="L367" i="3"/>
  <c r="M367" i="3" s="1"/>
  <c r="L788" i="3"/>
  <c r="M788" i="3" s="1"/>
  <c r="L1523" i="3"/>
  <c r="N1523" i="3" s="1"/>
  <c r="O1523" i="3" s="1"/>
  <c r="L1524" i="3"/>
  <c r="N1524" i="3" s="1"/>
  <c r="O1524" i="3" s="1"/>
  <c r="L1238" i="3"/>
  <c r="M1238" i="3" s="1"/>
  <c r="L442" i="3"/>
  <c r="M442" i="3" s="1"/>
  <c r="L945" i="3"/>
  <c r="M945" i="3" s="1"/>
  <c r="L946" i="3"/>
  <c r="M946" i="3" s="1"/>
  <c r="L947" i="3"/>
  <c r="M947" i="3" s="1"/>
  <c r="L936" i="3"/>
  <c r="M936" i="3" s="1"/>
  <c r="L937" i="3"/>
  <c r="M937" i="3" s="1"/>
  <c r="L938" i="3"/>
  <c r="M938" i="3" s="1"/>
  <c r="L939" i="3"/>
  <c r="M939" i="3" s="1"/>
  <c r="L1426" i="3"/>
  <c r="M1426" i="3" s="1"/>
  <c r="L1500" i="3"/>
  <c r="M1500" i="3" s="1"/>
  <c r="L1489" i="3"/>
  <c r="M1489" i="3" s="1"/>
  <c r="L139" i="3"/>
  <c r="M139" i="3" s="1"/>
  <c r="L124" i="3"/>
  <c r="M124" i="3" s="1"/>
  <c r="L144" i="3"/>
  <c r="M144" i="3" s="1"/>
  <c r="L261" i="3"/>
  <c r="M261" i="3" s="1"/>
  <c r="L259" i="3"/>
  <c r="M259" i="3" s="1"/>
  <c r="L350" i="3"/>
  <c r="M350" i="3" s="1"/>
  <c r="L346" i="3"/>
  <c r="M346" i="3" s="1"/>
  <c r="L595" i="3"/>
  <c r="M595" i="3" s="1"/>
  <c r="L589" i="3"/>
  <c r="M589" i="3" s="1"/>
  <c r="L547" i="3"/>
  <c r="M547" i="3" s="1"/>
  <c r="L569" i="3"/>
  <c r="M569" i="3" s="1"/>
  <c r="L573" i="3"/>
  <c r="M573" i="3" s="1"/>
  <c r="L813" i="3"/>
  <c r="M813" i="3" s="1"/>
  <c r="L814" i="3"/>
  <c r="M814" i="3" s="1"/>
  <c r="L628" i="3"/>
  <c r="M628" i="3" s="1"/>
  <c r="L823" i="3"/>
  <c r="M823" i="3" s="1"/>
  <c r="L717" i="3"/>
  <c r="M717" i="3" s="1"/>
  <c r="L740" i="3"/>
  <c r="M740" i="3" s="1"/>
  <c r="L785" i="3"/>
  <c r="M785" i="3" s="1"/>
  <c r="L705" i="3"/>
  <c r="M705" i="3" s="1"/>
  <c r="L676" i="3"/>
  <c r="M676" i="3" s="1"/>
  <c r="L1364" i="3"/>
  <c r="M1364" i="3" s="1"/>
  <c r="L1389" i="3"/>
  <c r="M1389" i="3" s="1"/>
  <c r="L1421" i="3"/>
  <c r="N1421" i="3" s="1"/>
  <c r="O1421" i="3" s="1"/>
  <c r="L1422" i="3"/>
  <c r="N1422" i="3" s="1"/>
  <c r="O1422" i="3" s="1"/>
  <c r="L1509" i="3"/>
  <c r="M1509" i="3" s="1"/>
  <c r="L1470" i="3"/>
  <c r="M1470" i="3" s="1"/>
  <c r="L1510" i="3"/>
  <c r="M1510" i="3" s="1"/>
  <c r="L1471" i="3"/>
  <c r="M1471" i="3" s="1"/>
  <c r="L1724" i="3"/>
  <c r="M1724" i="3" s="1"/>
  <c r="L1738" i="3"/>
  <c r="M1738" i="3" s="1"/>
  <c r="L1559" i="3"/>
  <c r="M1559" i="3" s="1"/>
  <c r="L1584" i="3"/>
  <c r="M1584" i="3" s="1"/>
  <c r="L265" i="3"/>
  <c r="M265" i="3" s="1"/>
  <c r="L364" i="3"/>
  <c r="M364" i="3" s="1"/>
  <c r="L321" i="3"/>
  <c r="M321" i="3" s="1"/>
  <c r="L98" i="3"/>
  <c r="M98" i="3" s="1"/>
  <c r="L131" i="3"/>
  <c r="M131" i="3" s="1"/>
  <c r="L155" i="3"/>
  <c r="M155" i="3" s="1"/>
  <c r="L140" i="3"/>
  <c r="M140" i="3" s="1"/>
  <c r="L93" i="3"/>
  <c r="M93" i="3" s="1"/>
  <c r="L72" i="3"/>
  <c r="M72" i="3" s="1"/>
  <c r="L102" i="3"/>
  <c r="M102" i="3" s="1"/>
  <c r="L137" i="3"/>
  <c r="M137" i="3" s="1"/>
  <c r="L443" i="3"/>
  <c r="M443" i="3" s="1"/>
  <c r="L402" i="3"/>
  <c r="M402" i="3" s="1"/>
  <c r="L400" i="3"/>
  <c r="M400" i="3" s="1"/>
  <c r="L468" i="3"/>
  <c r="M468" i="3" s="1"/>
  <c r="L994" i="3"/>
  <c r="M994" i="3" s="1"/>
  <c r="L973" i="3"/>
  <c r="M973" i="3" s="1"/>
  <c r="L995" i="3"/>
  <c r="M995" i="3" s="1"/>
  <c r="L680" i="3"/>
  <c r="M680" i="3" s="1"/>
  <c r="L283" i="3"/>
  <c r="M283" i="3" s="1"/>
  <c r="L1242" i="3"/>
  <c r="M1242" i="3" s="1"/>
  <c r="L866" i="3"/>
  <c r="M866" i="3" s="1"/>
  <c r="L255" i="3"/>
  <c r="M255" i="3" s="1"/>
  <c r="L330" i="3"/>
  <c r="M330" i="3" s="1"/>
  <c r="L320" i="3"/>
  <c r="M320" i="3" s="1"/>
  <c r="L1366" i="3"/>
  <c r="M1366" i="3" s="1"/>
  <c r="L1647" i="3"/>
  <c r="M1647" i="3" s="1"/>
  <c r="L1646" i="3"/>
  <c r="M1646" i="3" s="1"/>
  <c r="L1631" i="3"/>
  <c r="M1631" i="3" s="1"/>
  <c r="L253" i="3"/>
  <c r="M253" i="3" s="1"/>
  <c r="L247" i="3"/>
  <c r="M247" i="3" s="1"/>
  <c r="L475" i="3"/>
  <c r="M475" i="3" s="1"/>
  <c r="L1733" i="3"/>
  <c r="M1733" i="3" s="1"/>
  <c r="L449" i="3"/>
  <c r="M449" i="3" s="1"/>
  <c r="L256" i="3"/>
  <c r="M256" i="3" s="1"/>
  <c r="L254" i="3"/>
  <c r="M254" i="3" s="1"/>
  <c r="L251" i="3"/>
  <c r="M251" i="3" s="1"/>
  <c r="L250" i="3"/>
  <c r="M250" i="3" s="1"/>
  <c r="L1585" i="3"/>
  <c r="M1585" i="3" s="1"/>
  <c r="L178" i="3"/>
  <c r="M178" i="3" s="1"/>
  <c r="L469" i="3"/>
  <c r="M469" i="3" s="1"/>
  <c r="L600" i="3"/>
  <c r="M600" i="3" s="1"/>
  <c r="L907" i="3"/>
  <c r="M907" i="3" s="1"/>
  <c r="L641" i="3"/>
  <c r="M641" i="3" s="1"/>
  <c r="L739" i="3"/>
  <c r="M739" i="3" s="1"/>
  <c r="L911" i="3"/>
  <c r="M911" i="3" s="1"/>
  <c r="L969" i="3"/>
  <c r="M969" i="3" s="1"/>
  <c r="L923" i="3"/>
  <c r="M923" i="3" s="1"/>
  <c r="L956" i="3"/>
  <c r="M956" i="3" s="1"/>
  <c r="L876" i="3"/>
  <c r="M876" i="3" s="1"/>
  <c r="L1013" i="3"/>
  <c r="M1013" i="3" s="1"/>
  <c r="L968" i="3"/>
  <c r="M968" i="3" s="1"/>
  <c r="L802" i="3"/>
  <c r="M802" i="3" s="1"/>
  <c r="L912" i="3"/>
  <c r="M912" i="3" s="1"/>
  <c r="L826" i="3"/>
  <c r="M826" i="3" s="1"/>
  <c r="L983" i="3"/>
  <c r="M983" i="3" s="1"/>
  <c r="L1014" i="3"/>
  <c r="M1014" i="3" s="1"/>
  <c r="L1004" i="3"/>
  <c r="M1004" i="3" s="1"/>
  <c r="L984" i="3"/>
  <c r="M984" i="3" s="1"/>
  <c r="L875" i="3"/>
  <c r="M875" i="3" s="1"/>
  <c r="L975" i="3"/>
  <c r="M975" i="3" s="1"/>
  <c r="L852" i="3"/>
  <c r="M852" i="3" s="1"/>
  <c r="L906" i="3"/>
  <c r="M906" i="3" s="1"/>
  <c r="L848" i="3"/>
  <c r="M848" i="3" s="1"/>
  <c r="L1019" i="3"/>
  <c r="M1019" i="3" s="1"/>
  <c r="L1373" i="3"/>
  <c r="M1373" i="3" s="1"/>
  <c r="L1374" i="3"/>
  <c r="M1374" i="3" s="1"/>
  <c r="L1729" i="3"/>
  <c r="M1729" i="3" s="1"/>
  <c r="L1551" i="3"/>
  <c r="M1551" i="3" s="1"/>
  <c r="L1678" i="3"/>
  <c r="M1678" i="3" s="1"/>
  <c r="L1029" i="3"/>
  <c r="M1029" i="3" s="1"/>
  <c r="L1387" i="3"/>
  <c r="M1387" i="3" s="1"/>
  <c r="L1388" i="3"/>
  <c r="M1388" i="3" s="1"/>
  <c r="L1667" i="3"/>
  <c r="M1667" i="3" s="1"/>
  <c r="L1670" i="3"/>
  <c r="M1670" i="3" s="1"/>
  <c r="L1637" i="3"/>
  <c r="M1637" i="3" s="1"/>
  <c r="L1662" i="3"/>
  <c r="M1662" i="3" s="1"/>
  <c r="L427" i="3"/>
  <c r="M427" i="3" s="1"/>
  <c r="L952" i="3"/>
  <c r="M952" i="3" s="1"/>
  <c r="L948" i="3"/>
  <c r="M948" i="3" s="1"/>
  <c r="L949" i="3"/>
  <c r="M949" i="3" s="1"/>
  <c r="L950" i="3"/>
  <c r="M950" i="3" s="1"/>
  <c r="L181" i="3"/>
  <c r="N181" i="3" s="1"/>
  <c r="O181" i="3" s="1"/>
  <c r="L197" i="3"/>
  <c r="M197" i="3" s="1"/>
  <c r="L141" i="3"/>
  <c r="M141" i="3" s="1"/>
  <c r="L147" i="3"/>
  <c r="M147" i="3" s="1"/>
  <c r="L145" i="3"/>
  <c r="M145" i="3" s="1"/>
  <c r="L143" i="3"/>
  <c r="M143" i="3" s="1"/>
  <c r="L146" i="3"/>
  <c r="M146" i="3" s="1"/>
  <c r="L172" i="3"/>
  <c r="M172" i="3" s="1"/>
  <c r="L156" i="3"/>
  <c r="M156" i="3" s="1"/>
  <c r="L158" i="3"/>
  <c r="M158" i="3" s="1"/>
  <c r="L163" i="3"/>
  <c r="M163" i="3" s="1"/>
  <c r="L113" i="3"/>
  <c r="M113" i="3" s="1"/>
  <c r="L83" i="3"/>
  <c r="M83" i="3" s="1"/>
  <c r="L120" i="3"/>
  <c r="M120" i="3" s="1"/>
  <c r="L121" i="3"/>
  <c r="M121" i="3" s="1"/>
  <c r="L106" i="3"/>
  <c r="M106" i="3" s="1"/>
  <c r="L365" i="3"/>
  <c r="M365" i="3" s="1"/>
  <c r="L360" i="3"/>
  <c r="M360" i="3" s="1"/>
  <c r="L266" i="3"/>
  <c r="M266" i="3" s="1"/>
  <c r="L353" i="3"/>
  <c r="M353" i="3" s="1"/>
  <c r="L415" i="3"/>
  <c r="M415" i="3" s="1"/>
  <c r="L1052" i="3"/>
  <c r="M1052" i="3" s="1"/>
  <c r="L1063" i="3"/>
  <c r="M1063" i="3" s="1"/>
  <c r="L1067" i="3"/>
  <c r="M1067" i="3" s="1"/>
  <c r="L1060" i="3"/>
  <c r="M1060" i="3" s="1"/>
  <c r="L1080" i="3"/>
  <c r="M1080" i="3" s="1"/>
  <c r="L1046" i="3"/>
  <c r="M1046" i="3" s="1"/>
  <c r="L1341" i="3"/>
  <c r="M1341" i="3" s="1"/>
  <c r="L766" i="3"/>
  <c r="M766" i="3" s="1"/>
  <c r="L791" i="3"/>
  <c r="M791" i="3" s="1"/>
  <c r="L685" i="3"/>
  <c r="M685" i="3" s="1"/>
  <c r="L702" i="3"/>
  <c r="M702" i="3" s="1"/>
  <c r="L704" i="3"/>
  <c r="M704" i="3" s="1"/>
  <c r="L715" i="3"/>
  <c r="M715" i="3" s="1"/>
  <c r="L697" i="3"/>
  <c r="M697" i="3" s="1"/>
  <c r="L734" i="3"/>
  <c r="M734" i="3" s="1"/>
  <c r="L716" i="3"/>
  <c r="M716" i="3" s="1"/>
  <c r="L698" i="3"/>
  <c r="M698" i="3" s="1"/>
  <c r="L735" i="3"/>
  <c r="M735" i="3" s="1"/>
  <c r="L736" i="3"/>
  <c r="M736" i="3" s="1"/>
  <c r="L1122" i="3"/>
  <c r="M1122" i="3" s="1"/>
  <c r="L883" i="3"/>
  <c r="M883" i="3" s="1"/>
  <c r="L1066" i="3"/>
  <c r="M1066" i="3" s="1"/>
  <c r="L783" i="3"/>
  <c r="M783" i="3" s="1"/>
  <c r="L789" i="3"/>
  <c r="M789" i="3" s="1"/>
  <c r="L770" i="3"/>
  <c r="M770" i="3" s="1"/>
  <c r="L1056" i="3"/>
  <c r="M1056" i="3" s="1"/>
  <c r="L1089" i="3"/>
  <c r="M1089" i="3" s="1"/>
  <c r="L926" i="3"/>
  <c r="M926" i="3" s="1"/>
  <c r="L1148" i="3"/>
  <c r="M1148" i="3" s="1"/>
  <c r="L1668" i="3"/>
  <c r="M1668" i="3" s="1"/>
  <c r="L1740" i="3"/>
  <c r="M1740" i="3" s="1"/>
  <c r="L1746" i="3"/>
  <c r="M1746" i="3" s="1"/>
  <c r="L368" i="3"/>
  <c r="M368" i="3" s="1"/>
  <c r="L366" i="3"/>
  <c r="M366" i="3" s="1"/>
  <c r="L974" i="3"/>
  <c r="M974" i="3" s="1"/>
  <c r="L1047" i="3"/>
  <c r="M1047" i="3" s="1"/>
  <c r="L1001" i="3"/>
  <c r="M1001" i="3" s="1"/>
  <c r="L961" i="3"/>
  <c r="M961" i="3" s="1"/>
  <c r="L1303" i="3"/>
  <c r="M1303" i="3" s="1"/>
  <c r="L1304" i="3"/>
  <c r="M1304" i="3" s="1"/>
  <c r="L160" i="3"/>
  <c r="M160" i="3" s="1"/>
  <c r="L203" i="3"/>
  <c r="M203" i="3" s="1"/>
  <c r="L153" i="3"/>
  <c r="M153" i="3" s="1"/>
  <c r="L393" i="3"/>
  <c r="M393" i="3" s="1"/>
  <c r="L392" i="3"/>
  <c r="M392" i="3" s="1"/>
  <c r="L461" i="3"/>
  <c r="M461" i="3" s="1"/>
  <c r="L580" i="3"/>
  <c r="M580" i="3" s="1"/>
  <c r="L571" i="3"/>
  <c r="M571" i="3" s="1"/>
  <c r="L590" i="3"/>
  <c r="M590" i="3" s="1"/>
  <c r="L575" i="3"/>
  <c r="M575" i="3" s="1"/>
  <c r="L623" i="3"/>
  <c r="M623" i="3" s="1"/>
  <c r="L1221" i="3"/>
  <c r="M1221" i="3" s="1"/>
  <c r="L1222" i="3"/>
  <c r="M1222" i="3" s="1"/>
  <c r="L1223" i="3"/>
  <c r="M1223" i="3" s="1"/>
  <c r="L1062" i="3"/>
  <c r="M1062" i="3" s="1"/>
  <c r="L1020" i="3"/>
  <c r="M1020" i="3" s="1"/>
  <c r="L1021" i="3"/>
  <c r="M1021" i="3" s="1"/>
  <c r="L962" i="3"/>
  <c r="M962" i="3" s="1"/>
  <c r="L794" i="3"/>
  <c r="M794" i="3" s="1"/>
  <c r="L804" i="3"/>
  <c r="M804" i="3" s="1"/>
  <c r="L835" i="3"/>
  <c r="M835" i="3" s="1"/>
  <c r="L1178" i="3"/>
  <c r="M1178" i="3" s="1"/>
  <c r="L1140" i="3"/>
  <c r="M1140" i="3" s="1"/>
  <c r="L1179" i="3"/>
  <c r="M1179" i="3" s="1"/>
  <c r="L1246" i="3"/>
  <c r="M1246" i="3" s="1"/>
  <c r="L1141" i="3"/>
  <c r="M1141" i="3" s="1"/>
  <c r="L1180" i="3"/>
  <c r="M1180" i="3" s="1"/>
  <c r="L1182" i="3"/>
  <c r="M1182" i="3" s="1"/>
  <c r="L1121" i="3"/>
  <c r="M1121" i="3" s="1"/>
  <c r="L1149" i="3"/>
  <c r="M1149" i="3" s="1"/>
  <c r="L1181" i="3"/>
  <c r="M1181" i="3" s="1"/>
  <c r="L998" i="3"/>
  <c r="M998" i="3" s="1"/>
  <c r="L988" i="3"/>
  <c r="M988" i="3" s="1"/>
  <c r="L867" i="3"/>
  <c r="M867" i="3" s="1"/>
  <c r="L1725" i="3"/>
  <c r="M1725" i="3" s="1"/>
  <c r="L1346" i="3"/>
  <c r="M1346" i="3" s="1"/>
  <c r="L1347" i="3"/>
  <c r="M1347" i="3" s="1"/>
  <c r="L1348" i="3"/>
  <c r="M1348" i="3" s="1"/>
  <c r="L1349" i="3"/>
  <c r="M1349" i="3" s="1"/>
  <c r="L1350" i="3"/>
  <c r="M1350" i="3" s="1"/>
  <c r="L1693" i="3"/>
  <c r="M1693" i="3" s="1"/>
  <c r="L198" i="3"/>
  <c r="M198" i="3" s="1"/>
  <c r="L151" i="3"/>
  <c r="M151" i="3" s="1"/>
  <c r="L166" i="3"/>
  <c r="M166" i="3" s="1"/>
  <c r="L190" i="3"/>
  <c r="M190" i="3" s="1"/>
  <c r="L209" i="3"/>
  <c r="M209" i="3" s="1"/>
  <c r="L189" i="3"/>
  <c r="M189" i="3" s="1"/>
  <c r="L416" i="3"/>
  <c r="M416" i="3" s="1"/>
  <c r="L665" i="3"/>
  <c r="M665" i="3" s="1"/>
  <c r="L1735" i="3"/>
  <c r="M1735" i="3" s="1"/>
  <c r="L1736" i="3"/>
  <c r="M1736" i="3" s="1"/>
  <c r="L1728" i="3"/>
  <c r="M1728" i="3" s="1"/>
  <c r="L1651" i="3"/>
  <c r="M1651" i="3" s="1"/>
  <c r="L296" i="3"/>
  <c r="M296" i="3" s="1"/>
  <c r="L284" i="3"/>
  <c r="M284" i="3" s="1"/>
  <c r="L277" i="3"/>
  <c r="M277" i="3" s="1"/>
  <c r="L434" i="3"/>
  <c r="M434" i="3" s="1"/>
  <c r="L1622" i="3"/>
  <c r="M1622" i="3" s="1"/>
  <c r="L1607" i="3"/>
  <c r="M1607" i="3" s="1"/>
  <c r="L1734" i="3"/>
  <c r="M1734" i="3" s="1"/>
  <c r="L199" i="3"/>
  <c r="N199" i="3" s="1"/>
  <c r="O199" i="3" s="1"/>
  <c r="L354" i="3"/>
  <c r="M354" i="3" s="1"/>
  <c r="L439" i="3"/>
  <c r="M439" i="3" s="1"/>
  <c r="L462" i="3"/>
  <c r="M462" i="3" s="1"/>
  <c r="L957" i="3"/>
  <c r="M957" i="3" s="1"/>
  <c r="L838" i="3"/>
  <c r="M838" i="3" s="1"/>
  <c r="L784" i="3"/>
  <c r="M784" i="3" s="1"/>
  <c r="L839" i="3"/>
  <c r="M839" i="3" s="1"/>
  <c r="L724" i="3"/>
  <c r="M724" i="3" s="1"/>
  <c r="L805" i="3"/>
  <c r="M805" i="3" s="1"/>
  <c r="L701" i="3"/>
  <c r="M701" i="3" s="1"/>
  <c r="L748" i="3"/>
  <c r="M748" i="3" s="1"/>
  <c r="L1741" i="3"/>
  <c r="M1741" i="3" s="1"/>
  <c r="L1716" i="3"/>
  <c r="M1716" i="3" s="1"/>
  <c r="L453" i="3"/>
  <c r="M453" i="3" s="1"/>
  <c r="L450" i="3"/>
  <c r="M450" i="3" s="1"/>
  <c r="L1305" i="3"/>
  <c r="M1305" i="3" s="1"/>
  <c r="L1043" i="3"/>
  <c r="M1043" i="3" s="1"/>
  <c r="L372" i="3"/>
  <c r="M372" i="3" s="1"/>
  <c r="L1717" i="3"/>
  <c r="M1717" i="3" s="1"/>
  <c r="L1319" i="3"/>
  <c r="M1319" i="3" s="1"/>
  <c r="L837" i="3"/>
  <c r="M837" i="3" s="1"/>
  <c r="L732" i="3"/>
  <c r="M732" i="3" s="1"/>
  <c r="L1381" i="3"/>
  <c r="M1381" i="3" s="1"/>
  <c r="L1529" i="3"/>
  <c r="N1529" i="3" s="1"/>
  <c r="O1529" i="3" s="1"/>
  <c r="L1530" i="3"/>
  <c r="N1530" i="3" s="1"/>
  <c r="O1530" i="3" s="1"/>
  <c r="L1707" i="3"/>
  <c r="M1707" i="3" s="1"/>
  <c r="L1692" i="3"/>
  <c r="M1692" i="3" s="1"/>
  <c r="L543" i="3"/>
  <c r="M543" i="3" s="1"/>
  <c r="L1664" i="3"/>
  <c r="M1664" i="3" s="1"/>
  <c r="L437" i="3"/>
  <c r="M437" i="3" s="1"/>
  <c r="L1324" i="3"/>
  <c r="M1324" i="3" s="1"/>
  <c r="L1354" i="3"/>
  <c r="M1354" i="3" s="1"/>
  <c r="L1355" i="3"/>
  <c r="M1355" i="3" s="1"/>
  <c r="L1332" i="3"/>
  <c r="M1332" i="3" s="1"/>
  <c r="L1333" i="3"/>
  <c r="M1333" i="3" s="1"/>
  <c r="L1334" i="3"/>
  <c r="M1334" i="3" s="1"/>
  <c r="L1335" i="3"/>
  <c r="M1335" i="3" s="1"/>
  <c r="L1340" i="3"/>
  <c r="M1340" i="3" s="1"/>
  <c r="L122" i="3"/>
  <c r="N122" i="3" s="1"/>
  <c r="O122" i="3" s="1"/>
  <c r="L115" i="3"/>
  <c r="N115" i="3" s="1"/>
  <c r="O115" i="3" s="1"/>
  <c r="L89" i="3"/>
  <c r="N89" i="3" s="1"/>
  <c r="O89" i="3" s="1"/>
  <c r="L108" i="3"/>
  <c r="N108" i="3" s="1"/>
  <c r="O108" i="3" s="1"/>
  <c r="L126" i="3"/>
  <c r="M126" i="3" s="1"/>
  <c r="L128" i="3"/>
  <c r="M128" i="3" s="1"/>
  <c r="L127" i="3"/>
  <c r="M127" i="3" s="1"/>
  <c r="L129" i="3"/>
  <c r="M129" i="3" s="1"/>
  <c r="L195" i="3"/>
  <c r="M195" i="3" s="1"/>
  <c r="L185" i="3"/>
  <c r="M185" i="3" s="1"/>
  <c r="L179" i="3"/>
  <c r="M179" i="3" s="1"/>
  <c r="L281" i="3"/>
  <c r="M281" i="3" s="1"/>
  <c r="L273" i="3"/>
  <c r="M273" i="3" s="1"/>
  <c r="L359" i="3"/>
  <c r="M359" i="3" s="1"/>
  <c r="L333" i="3"/>
  <c r="M333" i="3" s="1"/>
  <c r="L358" i="3"/>
  <c r="M358" i="3" s="1"/>
  <c r="L564" i="3"/>
  <c r="M564" i="3" s="1"/>
  <c r="L567" i="3"/>
  <c r="M567" i="3" s="1"/>
  <c r="L570" i="3"/>
  <c r="M570" i="3" s="1"/>
  <c r="L559" i="3"/>
  <c r="M559" i="3" s="1"/>
  <c r="L606" i="3"/>
  <c r="M606" i="3" s="1"/>
  <c r="L554" i="3"/>
  <c r="M554" i="3" s="1"/>
  <c r="L541" i="3"/>
  <c r="M541" i="3" s="1"/>
  <c r="L545" i="3"/>
  <c r="M545" i="3" s="1"/>
  <c r="L577" i="3"/>
  <c r="M577" i="3" s="1"/>
  <c r="L574" i="3"/>
  <c r="M574" i="3" s="1"/>
  <c r="L638" i="3"/>
  <c r="M638" i="3" s="1"/>
  <c r="L747" i="3"/>
  <c r="M747" i="3" s="1"/>
  <c r="L708" i="3"/>
  <c r="M708" i="3" s="1"/>
  <c r="L1036" i="3"/>
  <c r="M1036" i="3" s="1"/>
  <c r="L1035" i="3"/>
  <c r="M1035" i="3" s="1"/>
  <c r="L1139" i="3"/>
  <c r="M1139" i="3" s="1"/>
  <c r="L862" i="3"/>
  <c r="M862" i="3" s="1"/>
  <c r="L829" i="3"/>
  <c r="M829" i="3" s="1"/>
  <c r="L768" i="3"/>
  <c r="M768" i="3" s="1"/>
  <c r="L696" i="3"/>
  <c r="M696" i="3" s="1"/>
  <c r="L817" i="3"/>
  <c r="M817" i="3" s="1"/>
  <c r="L706" i="3"/>
  <c r="M706" i="3" s="1"/>
  <c r="L818" i="3"/>
  <c r="M818" i="3" s="1"/>
  <c r="L868" i="3"/>
  <c r="M868" i="3" s="1"/>
  <c r="L874" i="3"/>
  <c r="M874" i="3" s="1"/>
  <c r="L855" i="3"/>
  <c r="M855" i="3" s="1"/>
  <c r="L865" i="3"/>
  <c r="M865" i="3" s="1"/>
  <c r="L872" i="3"/>
  <c r="M872" i="3" s="1"/>
  <c r="L742" i="3"/>
  <c r="M742" i="3" s="1"/>
  <c r="L681" i="3"/>
  <c r="M681" i="3" s="1"/>
  <c r="L672" i="3"/>
  <c r="M672" i="3" s="1"/>
  <c r="L834" i="3"/>
  <c r="M834" i="3" s="1"/>
  <c r="L895" i="3"/>
  <c r="M895" i="3" s="1"/>
  <c r="L1527" i="3"/>
  <c r="N1527" i="3" s="1"/>
  <c r="O1527" i="3" s="1"/>
  <c r="L1528" i="3"/>
  <c r="N1528" i="3" s="1"/>
  <c r="O1528" i="3" s="1"/>
  <c r="L1727" i="3"/>
  <c r="M1727" i="3" s="1"/>
  <c r="L659" i="3"/>
  <c r="M659" i="3" s="1"/>
  <c r="L286" i="3"/>
  <c r="M286" i="3" s="1"/>
  <c r="L306" i="3"/>
  <c r="M306" i="3" s="1"/>
  <c r="L309" i="3"/>
  <c r="M309" i="3" s="1"/>
  <c r="L287" i="3"/>
  <c r="M287" i="3" s="1"/>
  <c r="L380" i="3"/>
  <c r="M380" i="3" s="1"/>
  <c r="L465" i="3"/>
  <c r="M465" i="3" s="1"/>
  <c r="L466" i="3"/>
  <c r="M466" i="3" s="1"/>
  <c r="L184" i="3"/>
  <c r="M184" i="3" s="1"/>
  <c r="L454" i="3"/>
  <c r="M454" i="3" s="1"/>
  <c r="L985" i="3"/>
  <c r="M985" i="3" s="1"/>
  <c r="L897" i="3"/>
  <c r="M897" i="3" s="1"/>
  <c r="L1076" i="3"/>
  <c r="M1076" i="3" s="1"/>
  <c r="L1022" i="3"/>
  <c r="M1022" i="3" s="1"/>
  <c r="L1024" i="3"/>
  <c r="M1024" i="3" s="1"/>
  <c r="L1039" i="3"/>
  <c r="M1039" i="3" s="1"/>
  <c r="L1040" i="3"/>
  <c r="M1040" i="3" s="1"/>
  <c r="L1310" i="3"/>
  <c r="M1310" i="3" s="1"/>
  <c r="L1325" i="3"/>
  <c r="M1325" i="3" s="1"/>
  <c r="L1345" i="3"/>
  <c r="M1345" i="3" s="1"/>
  <c r="L1267" i="3"/>
  <c r="M1267" i="3" s="1"/>
  <c r="L1235" i="3"/>
  <c r="M1235" i="3" s="1"/>
  <c r="L1338" i="3"/>
  <c r="M1338" i="3" s="1"/>
  <c r="L1312" i="3"/>
  <c r="M1312" i="3" s="1"/>
  <c r="L1327" i="3"/>
  <c r="M1327" i="3" s="1"/>
  <c r="L1288" i="3"/>
  <c r="M1288" i="3" s="1"/>
  <c r="L1216" i="3"/>
  <c r="M1216" i="3" s="1"/>
  <c r="L379" i="3"/>
  <c r="M379" i="3" s="1"/>
  <c r="L1356" i="3"/>
  <c r="M1356" i="3" s="1"/>
  <c r="L1571" i="3"/>
  <c r="M1571" i="3" s="1"/>
  <c r="L1688" i="3"/>
  <c r="M1688" i="3" s="1"/>
  <c r="L1298" i="3"/>
  <c r="M1298" i="3" s="1"/>
  <c r="L1686" i="3"/>
  <c r="M1686" i="3" s="1"/>
  <c r="L1687" i="3"/>
  <c r="M1687" i="3" s="1"/>
  <c r="L1336" i="3"/>
  <c r="M1336" i="3" s="1"/>
  <c r="L378" i="3"/>
  <c r="M378" i="3" s="1"/>
  <c r="L344" i="3"/>
  <c r="M344" i="3" s="1"/>
  <c r="L506" i="3"/>
  <c r="M506" i="3" s="1"/>
  <c r="L674" i="3"/>
  <c r="M674" i="3" s="1"/>
  <c r="L738" i="3"/>
  <c r="M738" i="3" s="1"/>
  <c r="L1115" i="3"/>
  <c r="M1115" i="3" s="1"/>
  <c r="L1173" i="3"/>
  <c r="M1173" i="3" s="1"/>
  <c r="L1712" i="3"/>
  <c r="M1712" i="3" s="1"/>
  <c r="L386" i="3"/>
  <c r="M386" i="3" s="1"/>
  <c r="L1167" i="3"/>
  <c r="M1167" i="3" s="1"/>
  <c r="L374" i="3"/>
  <c r="M374" i="3" s="1"/>
  <c r="L279" i="3"/>
  <c r="M279" i="3" s="1"/>
  <c r="L488" i="3"/>
  <c r="M488" i="3" s="1"/>
  <c r="L1715" i="3"/>
  <c r="M1715" i="3" s="1"/>
  <c r="L370" i="3"/>
  <c r="M370" i="3" s="1"/>
  <c r="L373" i="3"/>
  <c r="M373" i="3" s="1"/>
  <c r="L660" i="3"/>
  <c r="M660" i="3" s="1"/>
  <c r="L1259" i="3"/>
  <c r="M1259" i="3" s="1"/>
  <c r="L1225" i="3"/>
  <c r="M1225" i="3" s="1"/>
  <c r="L1236" i="3"/>
  <c r="M1236" i="3" s="1"/>
  <c r="L1159" i="3"/>
  <c r="M1159" i="3" s="1"/>
  <c r="L1156" i="3"/>
  <c r="M1156" i="3" s="1"/>
  <c r="L1186" i="3"/>
  <c r="M1186" i="3" s="1"/>
  <c r="L1224" i="3"/>
  <c r="M1224" i="3" s="1"/>
  <c r="L1258" i="3"/>
  <c r="M1258" i="3" s="1"/>
  <c r="L1228" i="3"/>
  <c r="M1228" i="3" s="1"/>
  <c r="L1157" i="3"/>
  <c r="M1157" i="3" s="1"/>
  <c r="L1123" i="3"/>
  <c r="M1123" i="3" s="1"/>
  <c r="L1077" i="3"/>
  <c r="M1077" i="3" s="1"/>
  <c r="L429" i="3"/>
  <c r="M429" i="3" s="1"/>
  <c r="L212" i="3"/>
  <c r="N212" i="3" s="1"/>
  <c r="O212" i="3" s="1"/>
  <c r="L168" i="3"/>
  <c r="N168" i="3" s="1"/>
  <c r="O168" i="3" s="1"/>
  <c r="L204" i="3"/>
  <c r="N204" i="3" s="1"/>
  <c r="O204" i="3" s="1"/>
  <c r="L201" i="3"/>
  <c r="N201" i="3" s="1"/>
  <c r="O201" i="3" s="1"/>
  <c r="L232" i="3"/>
  <c r="N232" i="3" s="1"/>
  <c r="O232" i="3" s="1"/>
  <c r="L41" i="3"/>
  <c r="N41" i="3" s="1"/>
  <c r="O41" i="3" s="1"/>
  <c r="L275" i="3"/>
  <c r="M275" i="3" s="1"/>
  <c r="L327" i="3"/>
  <c r="M327" i="3" s="1"/>
  <c r="L438" i="3"/>
  <c r="M438" i="3" s="1"/>
  <c r="L613" i="3"/>
  <c r="M613" i="3" s="1"/>
  <c r="L617" i="3"/>
  <c r="M617" i="3" s="1"/>
  <c r="L611" i="3"/>
  <c r="M611" i="3" s="1"/>
  <c r="L618" i="3"/>
  <c r="M618" i="3" s="1"/>
  <c r="L510" i="3"/>
  <c r="M510" i="3" s="1"/>
  <c r="L1133" i="3"/>
  <c r="M1133" i="3" s="1"/>
  <c r="L990" i="3"/>
  <c r="M990" i="3" s="1"/>
  <c r="L871" i="3"/>
  <c r="M871" i="3" s="1"/>
  <c r="L909" i="3"/>
  <c r="M909" i="3" s="1"/>
  <c r="L744" i="3"/>
  <c r="M744" i="3" s="1"/>
  <c r="L703" i="3"/>
  <c r="M703" i="3" s="1"/>
  <c r="L723" i="3"/>
  <c r="M723" i="3" s="1"/>
  <c r="L411" i="3"/>
  <c r="M411" i="3" s="1"/>
  <c r="L1343" i="3"/>
  <c r="M1343" i="3" s="1"/>
  <c r="L71" i="3"/>
  <c r="M71" i="3" s="1"/>
  <c r="L47" i="3"/>
  <c r="M47" i="3" s="1"/>
  <c r="L109" i="3"/>
  <c r="M109" i="3" s="1"/>
  <c r="L52" i="3"/>
  <c r="M52" i="3" s="1"/>
  <c r="L20" i="3"/>
  <c r="M20" i="3" s="1"/>
  <c r="L16" i="3"/>
  <c r="M16" i="3" s="1"/>
  <c r="L29" i="3"/>
  <c r="M29" i="3" s="1"/>
  <c r="L19" i="3"/>
  <c r="M19" i="3" s="1"/>
  <c r="L30" i="3"/>
  <c r="M30" i="3" s="1"/>
  <c r="L24" i="3"/>
  <c r="M24" i="3" s="1"/>
  <c r="L39" i="3"/>
  <c r="M39" i="3" s="1"/>
  <c r="L23" i="3"/>
  <c r="M23" i="3" s="1"/>
  <c r="L18" i="3"/>
  <c r="M18" i="3" s="1"/>
  <c r="L32" i="3"/>
  <c r="M32" i="3" s="1"/>
  <c r="L17" i="3"/>
  <c r="M17" i="3" s="1"/>
  <c r="L43" i="3"/>
  <c r="M43" i="3" s="1"/>
  <c r="L31" i="3"/>
  <c r="M31" i="3" s="1"/>
  <c r="L5" i="3"/>
  <c r="M5" i="3" s="1"/>
  <c r="L6" i="3"/>
  <c r="M6" i="3" s="1"/>
  <c r="L7" i="3"/>
  <c r="M7" i="3" s="1"/>
  <c r="L9" i="3"/>
  <c r="M9" i="3" s="1"/>
  <c r="L10" i="3"/>
  <c r="M10" i="3" s="1"/>
  <c r="L33" i="3"/>
  <c r="M33" i="3" s="1"/>
  <c r="L3" i="3"/>
  <c r="M3" i="3" s="1"/>
  <c r="L11" i="3"/>
  <c r="M11" i="3" s="1"/>
  <c r="L26" i="3"/>
  <c r="M26" i="3" s="1"/>
  <c r="L34" i="3"/>
  <c r="M34" i="3" s="1"/>
  <c r="L35" i="3"/>
  <c r="M35" i="3" s="1"/>
  <c r="L1329" i="3"/>
  <c r="M1329" i="3" s="1"/>
  <c r="L1330" i="3"/>
  <c r="M1330" i="3" s="1"/>
  <c r="L1048" i="3"/>
  <c r="M1048" i="3" s="1"/>
  <c r="L1049" i="3"/>
  <c r="M1049" i="3" s="1"/>
  <c r="L1050" i="3"/>
  <c r="M1050" i="3" s="1"/>
  <c r="L1506" i="3"/>
  <c r="M1506" i="3" s="1"/>
  <c r="L1609" i="3"/>
  <c r="M1609" i="3" s="1"/>
  <c r="L1629" i="3"/>
  <c r="M1629" i="3" s="1"/>
  <c r="L338" i="3"/>
  <c r="M338" i="3" s="1"/>
  <c r="L1268" i="3"/>
  <c r="M1268" i="3" s="1"/>
  <c r="L1269" i="3"/>
  <c r="M1269" i="3" s="1"/>
  <c r="L1270" i="3"/>
  <c r="M1270" i="3" s="1"/>
  <c r="L1378" i="3"/>
  <c r="M1378" i="3" s="1"/>
  <c r="L1709" i="3"/>
  <c r="M1709" i="3" s="1"/>
  <c r="L1698" i="3"/>
  <c r="M1698" i="3" s="1"/>
  <c r="L1640" i="3"/>
  <c r="M1640" i="3" s="1"/>
  <c r="L1683" i="3"/>
  <c r="M1683" i="3" s="1"/>
  <c r="L1663" i="3"/>
  <c r="M1663" i="3" s="1"/>
  <c r="L272" i="3"/>
  <c r="M272" i="3" s="1"/>
  <c r="L233" i="3"/>
  <c r="M233" i="3" s="1"/>
  <c r="L455" i="3"/>
  <c r="M455" i="3" s="1"/>
  <c r="L1287" i="3"/>
  <c r="M1287" i="3" s="1"/>
  <c r="L347" i="3"/>
  <c r="M347" i="3" s="1"/>
  <c r="L383" i="3"/>
  <c r="M383" i="3" s="1"/>
  <c r="L899" i="3"/>
  <c r="M899" i="3" s="1"/>
  <c r="L624" i="3"/>
  <c r="M624" i="3" s="1"/>
  <c r="L1289" i="3"/>
  <c r="M1289" i="3" s="1"/>
  <c r="L1283" i="3"/>
  <c r="M1283" i="3" s="1"/>
  <c r="L1275" i="3"/>
  <c r="M1275" i="3" s="1"/>
  <c r="L1276" i="3"/>
  <c r="M1276" i="3" s="1"/>
  <c r="L1284" i="3"/>
  <c r="M1284" i="3" s="1"/>
  <c r="L1244" i="3"/>
  <c r="M1244" i="3" s="1"/>
  <c r="L1189" i="3"/>
  <c r="M1189" i="3" s="1"/>
  <c r="L1401" i="3"/>
  <c r="M1401" i="3" s="1"/>
  <c r="L1397" i="3"/>
  <c r="M1397" i="3" s="1"/>
  <c r="L170" i="3"/>
  <c r="M170" i="3" s="1"/>
  <c r="L224" i="3"/>
  <c r="M224" i="3" s="1"/>
  <c r="L219" i="3"/>
  <c r="M219" i="3" s="1"/>
  <c r="L210" i="3"/>
  <c r="M210" i="3" s="1"/>
  <c r="L218" i="3"/>
  <c r="M218" i="3" s="1"/>
  <c r="L341" i="3"/>
  <c r="M341" i="3" s="1"/>
  <c r="L336" i="3"/>
  <c r="M336" i="3" s="1"/>
  <c r="L369" i="3"/>
  <c r="M369" i="3" s="1"/>
  <c r="L597" i="3"/>
  <c r="M597" i="3" s="1"/>
  <c r="L566" i="3"/>
  <c r="M566" i="3" s="1"/>
  <c r="L553" i="3"/>
  <c r="M553" i="3" s="1"/>
  <c r="L596" i="3"/>
  <c r="M596" i="3" s="1"/>
  <c r="L579" i="3"/>
  <c r="M579" i="3" s="1"/>
  <c r="L514" i="3"/>
  <c r="M514" i="3" s="1"/>
  <c r="L516" i="3"/>
  <c r="M516" i="3" s="1"/>
  <c r="L576" i="3"/>
  <c r="M576" i="3" s="1"/>
  <c r="L562" i="3"/>
  <c r="M562" i="3" s="1"/>
  <c r="L490" i="3"/>
  <c r="M490" i="3" s="1"/>
  <c r="L581" i="3"/>
  <c r="M581" i="3" s="1"/>
  <c r="L582" i="3"/>
  <c r="M582" i="3" s="1"/>
  <c r="L586" i="3"/>
  <c r="M586" i="3" s="1"/>
  <c r="L1226" i="3"/>
  <c r="M1226" i="3" s="1"/>
  <c r="L1213" i="3"/>
  <c r="M1213" i="3" s="1"/>
  <c r="L1205" i="3"/>
  <c r="M1205" i="3" s="1"/>
  <c r="L1114" i="3"/>
  <c r="M1114" i="3" s="1"/>
  <c r="L1172" i="3"/>
  <c r="M1172" i="3" s="1"/>
  <c r="L1196" i="3"/>
  <c r="M1196" i="3" s="1"/>
  <c r="L1166" i="3"/>
  <c r="M1166" i="3" s="1"/>
  <c r="L1187" i="3"/>
  <c r="M1187" i="3" s="1"/>
  <c r="L812" i="3"/>
  <c r="M812" i="3" s="1"/>
  <c r="L796" i="3"/>
  <c r="M796" i="3" s="1"/>
  <c r="L753" i="3"/>
  <c r="M753" i="3" s="1"/>
  <c r="L757" i="3"/>
  <c r="M757" i="3" s="1"/>
  <c r="L667" i="3"/>
  <c r="M667" i="3" s="1"/>
  <c r="L661" i="3"/>
  <c r="M661" i="3" s="1"/>
  <c r="L654" i="3"/>
  <c r="M654" i="3" s="1"/>
  <c r="L663" i="3"/>
  <c r="M663" i="3" s="1"/>
  <c r="L656" i="3"/>
  <c r="M656" i="3" s="1"/>
  <c r="L684" i="3"/>
  <c r="M684" i="3" s="1"/>
  <c r="L690" i="3"/>
  <c r="M690" i="3" s="1"/>
  <c r="L721" i="3"/>
  <c r="M721" i="3" s="1"/>
  <c r="L778" i="3"/>
  <c r="M778" i="3" s="1"/>
  <c r="L714" i="3"/>
  <c r="M714" i="3" s="1"/>
  <c r="L754" i="3"/>
  <c r="M754" i="3" s="1"/>
  <c r="L729" i="3"/>
  <c r="M729" i="3" s="1"/>
  <c r="L741" i="3"/>
  <c r="M741" i="3" s="1"/>
  <c r="L710" i="3"/>
  <c r="M710" i="3" s="1"/>
  <c r="L726" i="3"/>
  <c r="M726" i="3" s="1"/>
  <c r="L1357" i="3"/>
  <c r="M1357" i="3" s="1"/>
  <c r="L1358" i="3"/>
  <c r="M1358" i="3" s="1"/>
  <c r="L1359" i="3"/>
  <c r="M1359" i="3" s="1"/>
  <c r="L844" i="3"/>
  <c r="M844" i="3" s="1"/>
  <c r="L664" i="3"/>
  <c r="M664" i="3" s="1"/>
  <c r="L775" i="3"/>
  <c r="M775" i="3" s="1"/>
  <c r="L890" i="3"/>
  <c r="M890" i="3" s="1"/>
  <c r="L653" i="3"/>
  <c r="M653" i="3" s="1"/>
  <c r="L967" i="3"/>
  <c r="M967" i="3" s="1"/>
  <c r="L1286" i="3"/>
  <c r="M1286" i="3" s="1"/>
  <c r="L1263" i="3"/>
  <c r="M1263" i="3" s="1"/>
  <c r="L863" i="3"/>
  <c r="M863" i="3" s="1"/>
  <c r="L832" i="3"/>
  <c r="M832" i="3" s="1"/>
  <c r="L822" i="3"/>
  <c r="M822" i="3" s="1"/>
  <c r="L1092" i="3"/>
  <c r="M1092" i="3" s="1"/>
  <c r="L712" i="3"/>
  <c r="M712" i="3" s="1"/>
  <c r="L790" i="3"/>
  <c r="M790" i="3" s="1"/>
  <c r="L722" i="3"/>
  <c r="M722" i="3" s="1"/>
  <c r="L693" i="3"/>
  <c r="M693" i="3" s="1"/>
  <c r="L682" i="3"/>
  <c r="M682" i="3" s="1"/>
  <c r="L647" i="3"/>
  <c r="M647" i="3" s="1"/>
  <c r="L648" i="3"/>
  <c r="M648" i="3" s="1"/>
  <c r="L649" i="3"/>
  <c r="M649" i="3" s="1"/>
  <c r="L650" i="3"/>
  <c r="M650" i="3" s="1"/>
  <c r="L655" i="3"/>
  <c r="M655" i="3" s="1"/>
  <c r="L1418" i="3"/>
  <c r="N1418" i="3" s="1"/>
  <c r="O1418" i="3" s="1"/>
  <c r="L1415" i="3"/>
  <c r="N1415" i="3" s="1"/>
  <c r="O1415" i="3" s="1"/>
  <c r="L1425" i="3"/>
  <c r="N1425" i="3" s="1"/>
  <c r="O1425" i="3" s="1"/>
  <c r="L1535" i="3"/>
  <c r="M1535" i="3" s="1"/>
  <c r="L1434" i="3"/>
  <c r="M1434" i="3" s="1"/>
  <c r="L1390" i="3"/>
  <c r="M1390" i="3" s="1"/>
  <c r="L1391" i="3"/>
  <c r="M1391" i="3" s="1"/>
  <c r="L467" i="3"/>
  <c r="M467" i="3" s="1"/>
  <c r="L1095" i="3"/>
  <c r="M1095" i="3" s="1"/>
  <c r="L931" i="3"/>
  <c r="M931" i="3" s="1"/>
  <c r="L220" i="3"/>
  <c r="M220" i="3" s="1"/>
  <c r="L44" i="3"/>
  <c r="N44" i="3" s="1"/>
  <c r="O44" i="3" s="1"/>
  <c r="L99" i="3"/>
  <c r="N99" i="3" s="1"/>
  <c r="O99" i="3" s="1"/>
  <c r="L230" i="3"/>
  <c r="M230" i="3" s="1"/>
  <c r="L228" i="3"/>
  <c r="M228" i="3" s="1"/>
  <c r="L464" i="3"/>
  <c r="M464" i="3" s="1"/>
  <c r="L1299" i="3"/>
  <c r="M1299" i="3" s="1"/>
  <c r="L1300" i="3"/>
  <c r="M1300" i="3" s="1"/>
  <c r="L1301" i="3"/>
  <c r="M1301" i="3" s="1"/>
  <c r="L1302" i="3"/>
  <c r="M1302" i="3" s="1"/>
  <c r="L238" i="3"/>
  <c r="M238" i="3" s="1"/>
  <c r="L231" i="3"/>
  <c r="M231" i="3" s="1"/>
  <c r="L211" i="3"/>
  <c r="M211" i="3" s="1"/>
  <c r="L191" i="3"/>
  <c r="M191" i="3" s="1"/>
  <c r="L626" i="3"/>
  <c r="M626" i="3" s="1"/>
  <c r="L1344" i="3"/>
  <c r="M1344" i="3" s="1"/>
  <c r="L932" i="3"/>
  <c r="M932" i="3" s="1"/>
  <c r="L908" i="3"/>
  <c r="M908" i="3" s="1"/>
  <c r="L903" i="3"/>
  <c r="M903" i="3" s="1"/>
  <c r="L755" i="3"/>
  <c r="M755" i="3" s="1"/>
  <c r="L687" i="3"/>
  <c r="M687" i="3" s="1"/>
  <c r="L1456" i="3"/>
  <c r="M1456" i="3" s="1"/>
  <c r="L1457" i="3"/>
  <c r="M1457" i="3" s="1"/>
  <c r="L1451" i="3"/>
  <c r="M1451" i="3" s="1"/>
  <c r="L1496" i="3"/>
  <c r="M1496" i="3" s="1"/>
  <c r="L1497" i="3"/>
  <c r="M1497" i="3" s="1"/>
  <c r="L1507" i="3"/>
  <c r="M1507" i="3" s="1"/>
  <c r="L432" i="3"/>
  <c r="M432" i="3" s="1"/>
  <c r="L445" i="3"/>
  <c r="M445" i="3" s="1"/>
  <c r="L1209" i="3"/>
  <c r="M1209" i="3" s="1"/>
  <c r="L679" i="3"/>
  <c r="M679" i="3" s="1"/>
  <c r="L302" i="3"/>
  <c r="M302" i="3" s="1"/>
  <c r="L1337" i="3"/>
  <c r="M1337" i="3" s="1"/>
  <c r="L395" i="3"/>
  <c r="M395" i="3" s="1"/>
  <c r="L585" i="3"/>
  <c r="M585" i="3" s="1"/>
  <c r="L481" i="3"/>
  <c r="M481" i="3" s="1"/>
  <c r="L607" i="3"/>
  <c r="M607" i="3" s="1"/>
  <c r="L1339" i="3"/>
  <c r="M1339" i="3" s="1"/>
  <c r="L292" i="3"/>
  <c r="M292" i="3" s="1"/>
  <c r="L426" i="3"/>
  <c r="M426" i="3" s="1"/>
  <c r="L1147" i="3"/>
  <c r="M1147" i="3" s="1"/>
  <c r="L205" i="3"/>
  <c r="M205" i="3" s="1"/>
  <c r="L182" i="3"/>
  <c r="M182" i="3" s="1"/>
  <c r="L222" i="3"/>
  <c r="M222" i="3" s="1"/>
  <c r="L397" i="3"/>
  <c r="M397" i="3" s="1"/>
  <c r="L1537" i="3"/>
  <c r="M1537" i="3" s="1"/>
  <c r="L407" i="3"/>
  <c r="M407" i="3" s="1"/>
  <c r="L1214" i="3"/>
  <c r="M1214" i="3" s="1"/>
  <c r="L1423" i="3"/>
  <c r="M1423" i="3" s="1"/>
  <c r="L1424" i="3"/>
  <c r="M1424" i="3" s="1"/>
  <c r="L1154" i="3"/>
  <c r="M1154" i="3" s="1"/>
  <c r="L1195" i="3"/>
  <c r="M1195" i="3" s="1"/>
  <c r="L176" i="3"/>
  <c r="M176" i="3" s="1"/>
  <c r="L183" i="3"/>
  <c r="M183" i="3" s="1"/>
  <c r="L593" i="3"/>
  <c r="M593" i="3" s="1"/>
  <c r="L478" i="3"/>
  <c r="M478" i="3" s="1"/>
  <c r="L673" i="3"/>
  <c r="M673" i="3" s="1"/>
  <c r="L1277" i="3"/>
  <c r="M1277" i="3" s="1"/>
  <c r="L1257" i="3"/>
  <c r="M1257" i="3" s="1"/>
  <c r="L1372" i="3"/>
  <c r="M1372" i="3" s="1"/>
  <c r="L1380" i="3"/>
  <c r="M1380" i="3" s="1"/>
  <c r="L356" i="3"/>
  <c r="M356" i="3" s="1"/>
  <c r="L161" i="3"/>
  <c r="M161" i="3" s="1"/>
  <c r="L343" i="3"/>
  <c r="M343" i="3" s="1"/>
  <c r="L322" i="3"/>
  <c r="M322" i="3" s="1"/>
  <c r="L591" i="3"/>
  <c r="M591" i="3" s="1"/>
  <c r="L584" i="3"/>
  <c r="M584" i="3" s="1"/>
  <c r="L493" i="3"/>
  <c r="M493" i="3" s="1"/>
  <c r="L1552" i="3"/>
  <c r="M1552" i="3" s="1"/>
  <c r="L1538" i="3"/>
  <c r="M1538" i="3" s="1"/>
  <c r="L1546" i="3"/>
  <c r="M1546" i="3" s="1"/>
  <c r="L1553" i="3"/>
  <c r="M1553" i="3" s="1"/>
  <c r="L417" i="3"/>
  <c r="M417" i="3" s="1"/>
  <c r="L1232" i="3"/>
  <c r="M1232" i="3" s="1"/>
  <c r="L1239" i="3"/>
  <c r="M1239" i="3" s="1"/>
  <c r="L1352" i="3"/>
  <c r="M1352" i="3" s="1"/>
  <c r="L1353" i="3"/>
  <c r="M1353" i="3" s="1"/>
  <c r="L318" i="3"/>
  <c r="M318" i="3" s="1"/>
  <c r="L316" i="3"/>
  <c r="M316" i="3" s="1"/>
  <c r="L387" i="3"/>
  <c r="M387" i="3" s="1"/>
  <c r="L412" i="3"/>
  <c r="M412" i="3" s="1"/>
  <c r="L610" i="3"/>
  <c r="M610" i="3" s="1"/>
  <c r="L558" i="3"/>
  <c r="M558" i="3" s="1"/>
  <c r="L546" i="3"/>
  <c r="M546" i="3" s="1"/>
  <c r="L565" i="3"/>
  <c r="M565" i="3" s="1"/>
  <c r="L568" i="3"/>
  <c r="M568" i="3" s="1"/>
  <c r="L489" i="3"/>
  <c r="M489" i="3" s="1"/>
  <c r="L599" i="3"/>
  <c r="M599" i="3" s="1"/>
  <c r="L1291" i="3"/>
  <c r="M1291" i="3" s="1"/>
  <c r="L1266" i="3"/>
  <c r="M1266" i="3" s="1"/>
  <c r="L1031" i="3"/>
  <c r="M1031" i="3" s="1"/>
  <c r="L1068" i="3"/>
  <c r="M1068" i="3" s="1"/>
  <c r="L1017" i="3"/>
  <c r="M1017" i="3" s="1"/>
  <c r="L786" i="3"/>
  <c r="M786" i="3" s="1"/>
  <c r="L792" i="3"/>
  <c r="M792" i="3" s="1"/>
  <c r="L869" i="3"/>
  <c r="M869" i="3" s="1"/>
  <c r="L799" i="3"/>
  <c r="M799" i="3" s="1"/>
  <c r="L795" i="3"/>
  <c r="M795" i="3" s="1"/>
  <c r="L1328" i="3"/>
  <c r="M1328" i="3" s="1"/>
  <c r="L1306" i="3"/>
  <c r="M1306" i="3" s="1"/>
  <c r="L884" i="3"/>
  <c r="M884" i="3" s="1"/>
  <c r="L670" i="3"/>
  <c r="M670" i="3" s="1"/>
  <c r="L1138" i="3"/>
  <c r="M1138" i="3" s="1"/>
  <c r="L688" i="3"/>
  <c r="M688" i="3" s="1"/>
  <c r="L943" i="3"/>
  <c r="M943" i="3" s="1"/>
  <c r="L781" i="3"/>
  <c r="M781" i="3" s="1"/>
  <c r="L635" i="3"/>
  <c r="M635" i="3" s="1"/>
  <c r="L630" i="3"/>
  <c r="M630" i="3" s="1"/>
  <c r="L629" i="3"/>
  <c r="M629" i="3" s="1"/>
  <c r="L634" i="3"/>
  <c r="M634" i="3" s="1"/>
  <c r="L657" i="3"/>
  <c r="M657" i="3" s="1"/>
  <c r="L651" i="3"/>
  <c r="M651" i="3" s="1"/>
  <c r="L666" i="3"/>
  <c r="M666" i="3" s="1"/>
  <c r="L658" i="3"/>
  <c r="M658" i="3" s="1"/>
  <c r="L700" i="3"/>
  <c r="M700" i="3" s="1"/>
  <c r="L645" i="3"/>
  <c r="M645" i="3" s="1"/>
  <c r="L1539" i="3"/>
  <c r="M1539" i="3" s="1"/>
  <c r="L1549" i="3"/>
  <c r="M1549" i="3" s="1"/>
  <c r="L1376" i="3"/>
  <c r="M1376" i="3" s="1"/>
  <c r="L1436" i="3"/>
  <c r="M1436" i="3" s="1"/>
  <c r="L1437" i="3"/>
  <c r="M1437" i="3" s="1"/>
  <c r="L1429" i="3"/>
  <c r="M1429" i="3" s="1"/>
  <c r="L1419" i="3"/>
  <c r="M1419" i="3" s="1"/>
  <c r="L1438" i="3"/>
  <c r="M1438" i="3" s="1"/>
  <c r="L1439" i="3"/>
  <c r="M1439" i="3" s="1"/>
  <c r="L1430" i="3"/>
  <c r="M1430" i="3" s="1"/>
  <c r="L1420" i="3"/>
  <c r="M1420" i="3" s="1"/>
  <c r="L342" i="3"/>
  <c r="M342" i="3" s="1"/>
  <c r="L456" i="3"/>
  <c r="M456" i="3" s="1"/>
  <c r="L798" i="3"/>
  <c r="M798" i="3" s="1"/>
  <c r="L1557" i="3"/>
  <c r="M1557" i="3" s="1"/>
  <c r="L1599" i="3"/>
  <c r="M1599" i="3" s="1"/>
  <c r="L1617" i="3"/>
  <c r="M1617" i="3" s="1"/>
  <c r="L1661" i="3"/>
  <c r="M1661" i="3" s="1"/>
  <c r="L1592" i="3"/>
  <c r="M1592" i="3" s="1"/>
  <c r="L1575" i="3"/>
  <c r="M1575" i="3" s="1"/>
  <c r="L1630" i="3"/>
  <c r="M1630" i="3" s="1"/>
  <c r="L1153" i="3"/>
  <c r="M1153" i="3" s="1"/>
  <c r="L363" i="3"/>
  <c r="M363" i="3" s="1"/>
  <c r="L615" i="3"/>
  <c r="M615" i="3" s="1"/>
  <c r="L1000" i="3"/>
  <c r="M1000" i="3" s="1"/>
  <c r="L780" i="3"/>
  <c r="M780" i="3" s="1"/>
  <c r="L1370" i="3"/>
  <c r="M1370" i="3" s="1"/>
  <c r="L1385" i="3"/>
  <c r="M1385" i="3" s="1"/>
  <c r="L1513" i="3"/>
  <c r="M1513" i="3" s="1"/>
  <c r="L1518" i="3"/>
  <c r="M1518" i="3" s="1"/>
  <c r="L1512" i="3"/>
  <c r="M1512" i="3" s="1"/>
  <c r="L1543" i="3"/>
  <c r="M1543" i="3" s="1"/>
  <c r="L1606" i="3"/>
  <c r="M1606" i="3" s="1"/>
  <c r="L1560" i="3"/>
  <c r="M1560" i="3" s="1"/>
  <c r="L1573" i="3"/>
  <c r="M1573" i="3" s="1"/>
  <c r="L1601" i="3"/>
  <c r="M1601" i="3" s="1"/>
  <c r="L1544" i="3"/>
  <c r="M1544" i="3" s="1"/>
  <c r="L1536" i="3"/>
  <c r="M1536" i="3" s="1"/>
  <c r="L1545" i="3"/>
  <c r="M1545" i="3" s="1"/>
  <c r="L1569" i="3"/>
  <c r="M1569" i="3" s="1"/>
  <c r="L1540" i="3"/>
  <c r="M1540" i="3" s="1"/>
  <c r="L1568" i="3"/>
  <c r="M1568" i="3" s="1"/>
  <c r="L1576" i="3"/>
  <c r="M1576" i="3" s="1"/>
  <c r="L601" i="3"/>
  <c r="M601" i="3" s="1"/>
  <c r="L1129" i="3"/>
  <c r="M1129" i="3" s="1"/>
  <c r="L91" i="3"/>
  <c r="M91" i="3" s="1"/>
  <c r="L56" i="3"/>
  <c r="M56" i="3" s="1"/>
  <c r="L101" i="3"/>
  <c r="M101" i="3" s="1"/>
  <c r="L87" i="3"/>
  <c r="M87" i="3" s="1"/>
  <c r="L82" i="3"/>
  <c r="M82" i="3" s="1"/>
  <c r="L67" i="3"/>
  <c r="M67" i="3" s="1"/>
  <c r="L88" i="3"/>
  <c r="M88" i="3" s="1"/>
  <c r="L97" i="3"/>
  <c r="M97" i="3" s="1"/>
  <c r="L96" i="3"/>
  <c r="M96" i="3" s="1"/>
  <c r="L100" i="3"/>
  <c r="M100" i="3" s="1"/>
  <c r="L81" i="3"/>
  <c r="M81" i="3" s="1"/>
  <c r="L53" i="3"/>
  <c r="M53" i="3" s="1"/>
  <c r="L69" i="3"/>
  <c r="M69" i="3" s="1"/>
  <c r="L110" i="3"/>
  <c r="M110" i="3" s="1"/>
  <c r="L92" i="3"/>
  <c r="M92" i="3" s="1"/>
  <c r="L116" i="3"/>
  <c r="M116" i="3" s="1"/>
  <c r="L117" i="3"/>
  <c r="M117" i="3" s="1"/>
  <c r="L95" i="3"/>
  <c r="M95" i="3" s="1"/>
  <c r="L107" i="3"/>
  <c r="M107" i="3" s="1"/>
  <c r="L118" i="3"/>
  <c r="M118" i="3" s="1"/>
  <c r="L112" i="3"/>
  <c r="M112" i="3" s="1"/>
  <c r="L22" i="3"/>
  <c r="M22" i="3" s="1"/>
  <c r="L61" i="3"/>
  <c r="M61" i="3" s="1"/>
  <c r="L51" i="3"/>
  <c r="M51" i="3" s="1"/>
  <c r="L66" i="3"/>
  <c r="M66" i="3" s="1"/>
  <c r="L15" i="3"/>
  <c r="M15" i="3" s="1"/>
  <c r="L62" i="3"/>
  <c r="M62" i="3" s="1"/>
  <c r="L70" i="3"/>
  <c r="M70" i="3" s="1"/>
  <c r="L114" i="3"/>
  <c r="M114" i="3" s="1"/>
  <c r="L138" i="3"/>
  <c r="M138" i="3" s="1"/>
  <c r="L119" i="3"/>
  <c r="M119" i="3" s="1"/>
  <c r="L105" i="3"/>
  <c r="M105" i="3" s="1"/>
  <c r="L75" i="3"/>
  <c r="M75" i="3" s="1"/>
  <c r="L74" i="3"/>
  <c r="M74" i="3" s="1"/>
  <c r="L132" i="3"/>
  <c r="M132" i="3" s="1"/>
  <c r="L142" i="3"/>
  <c r="M142" i="3" s="1"/>
  <c r="L136" i="3"/>
  <c r="M136" i="3" s="1"/>
  <c r="L135" i="3"/>
  <c r="M135" i="3" s="1"/>
  <c r="L38" i="3"/>
  <c r="M38" i="3" s="1"/>
  <c r="L27" i="3"/>
  <c r="M27" i="3" s="1"/>
  <c r="L21" i="3"/>
  <c r="M21" i="3" s="1"/>
  <c r="L4" i="3"/>
  <c r="M4" i="3" s="1"/>
  <c r="L14" i="3"/>
  <c r="M14" i="3" s="1"/>
  <c r="L376" i="3"/>
  <c r="M376" i="3" s="1"/>
  <c r="L471" i="3"/>
  <c r="M471" i="3" s="1"/>
  <c r="L552" i="3"/>
  <c r="M552" i="3" s="1"/>
  <c r="L1369" i="3"/>
  <c r="M1369" i="3" s="1"/>
  <c r="L1563" i="3"/>
  <c r="M1563" i="3" s="1"/>
  <c r="L1634" i="3"/>
  <c r="M1634" i="3" s="1"/>
  <c r="L1579" i="3"/>
  <c r="M1579" i="3" s="1"/>
  <c r="L1616" i="3"/>
  <c r="M1616" i="3" s="1"/>
  <c r="L1427" i="3"/>
  <c r="M1427" i="3" s="1"/>
  <c r="L1428" i="3"/>
  <c r="M1428" i="3" s="1"/>
  <c r="L1620" i="3"/>
  <c r="M1620" i="3" s="1"/>
  <c r="L1613" i="3"/>
  <c r="M1613" i="3" s="1"/>
  <c r="L1596" i="3"/>
  <c r="M1596" i="3" s="1"/>
  <c r="L1593" i="3"/>
  <c r="M1593" i="3" s="1"/>
  <c r="L1591" i="3"/>
  <c r="M1591" i="3" s="1"/>
  <c r="L1265" i="3"/>
  <c r="M1265" i="3" s="1"/>
  <c r="L1490" i="3"/>
  <c r="M1490" i="3" s="1"/>
  <c r="L1514" i="3"/>
  <c r="M1514" i="3" s="1"/>
  <c r="L1484" i="3"/>
  <c r="M1484" i="3" s="1"/>
  <c r="L1443" i="3"/>
  <c r="M1443" i="3" s="1"/>
  <c r="L1491" i="3"/>
  <c r="M1491" i="3" s="1"/>
  <c r="L1515" i="3"/>
  <c r="M1515" i="3" s="1"/>
  <c r="L1485" i="3"/>
  <c r="M1485" i="3" s="1"/>
  <c r="L1455" i="3"/>
  <c r="M1455" i="3" s="1"/>
  <c r="L1307" i="3"/>
  <c r="M1307" i="3" s="1"/>
  <c r="L1308" i="3"/>
  <c r="M1308" i="3" s="1"/>
  <c r="L1309" i="3"/>
  <c r="M1309" i="3" s="1"/>
  <c r="L377" i="3"/>
  <c r="M377" i="3" s="1"/>
  <c r="L288" i="3"/>
  <c r="M288" i="3" s="1"/>
  <c r="L301" i="3"/>
  <c r="M301" i="3" s="1"/>
  <c r="L485" i="3"/>
  <c r="M485" i="3" s="1"/>
  <c r="L1610" i="3"/>
  <c r="M1610" i="3" s="1"/>
  <c r="L1556" i="3"/>
  <c r="M1556" i="3" s="1"/>
  <c r="L1598" i="3"/>
  <c r="M1598" i="3" s="1"/>
  <c r="L1594" i="3"/>
  <c r="M1594" i="3" s="1"/>
  <c r="L1294" i="3"/>
  <c r="M1294" i="3" s="1"/>
  <c r="L1142" i="3"/>
  <c r="M1142" i="3" s="1"/>
  <c r="L1384" i="3"/>
  <c r="M1384" i="3" s="1"/>
  <c r="L1394" i="3"/>
  <c r="M1394" i="3" s="1"/>
  <c r="L1395" i="3"/>
  <c r="M1395" i="3" s="1"/>
  <c r="L1406" i="3"/>
  <c r="M1406" i="3" s="1"/>
  <c r="L1603" i="3"/>
  <c r="M1603" i="3" s="1"/>
  <c r="L276" i="3"/>
  <c r="M276" i="3" s="1"/>
  <c r="L269" i="3"/>
  <c r="M269" i="3" s="1"/>
  <c r="L308" i="3"/>
  <c r="M308" i="3" s="1"/>
  <c r="L331" i="3"/>
  <c r="M331" i="3" s="1"/>
  <c r="L304" i="3"/>
  <c r="M304" i="3" s="1"/>
  <c r="L431" i="3"/>
  <c r="M431" i="3" s="1"/>
  <c r="L446" i="3"/>
  <c r="M446" i="3" s="1"/>
  <c r="L441" i="3"/>
  <c r="M441" i="3" s="1"/>
  <c r="L507" i="3"/>
  <c r="M507" i="3" s="1"/>
  <c r="L551" i="3"/>
  <c r="M551" i="3" s="1"/>
  <c r="L583" i="3"/>
  <c r="M583" i="3" s="1"/>
  <c r="L555" i="3"/>
  <c r="M555" i="3" s="1"/>
  <c r="L491" i="3"/>
  <c r="M491" i="3" s="1"/>
  <c r="L563" i="3"/>
  <c r="M563" i="3" s="1"/>
  <c r="L548" i="3"/>
  <c r="M548" i="3" s="1"/>
  <c r="L1190" i="3"/>
  <c r="M1190" i="3" s="1"/>
  <c r="L1207" i="3"/>
  <c r="M1207" i="3" s="1"/>
  <c r="L1211" i="3"/>
  <c r="M1211" i="3" s="1"/>
  <c r="L1169" i="3"/>
  <c r="M1169" i="3" s="1"/>
  <c r="L1212" i="3"/>
  <c r="M1212" i="3" s="1"/>
  <c r="L1229" i="3"/>
  <c r="M1229" i="3" s="1"/>
  <c r="L1233" i="3"/>
  <c r="M1233" i="3" s="1"/>
  <c r="L689" i="3"/>
  <c r="M689" i="3" s="1"/>
  <c r="L711" i="3"/>
  <c r="M711" i="3" s="1"/>
  <c r="L671" i="3"/>
  <c r="M671" i="3" s="1"/>
  <c r="L691" i="3"/>
  <c r="M691" i="3" s="1"/>
  <c r="L669" i="3"/>
  <c r="M669" i="3" s="1"/>
  <c r="L709" i="3"/>
  <c r="M709" i="3" s="1"/>
  <c r="L713" i="3"/>
  <c r="M713" i="3" s="1"/>
  <c r="L1326" i="3"/>
  <c r="M1326" i="3" s="1"/>
  <c r="L1320" i="3"/>
  <c r="M1320" i="3" s="1"/>
  <c r="L1321" i="3"/>
  <c r="M1321" i="3" s="1"/>
  <c r="L1096" i="3"/>
  <c r="M1096" i="3" s="1"/>
  <c r="L1093" i="3"/>
  <c r="M1093" i="3" s="1"/>
  <c r="L1082" i="3"/>
  <c r="M1082" i="3" s="1"/>
  <c r="L767" i="3"/>
  <c r="M767" i="3" s="1"/>
  <c r="L773" i="3"/>
  <c r="M773" i="3" s="1"/>
  <c r="L887" i="3"/>
  <c r="M887" i="3" s="1"/>
  <c r="L886" i="3"/>
  <c r="M886" i="3" s="1"/>
  <c r="L901" i="3"/>
  <c r="M901" i="3" s="1"/>
  <c r="L1111" i="3"/>
  <c r="M1111" i="3" s="1"/>
  <c r="L1058" i="3"/>
  <c r="M1058" i="3" s="1"/>
  <c r="L955" i="3"/>
  <c r="M955" i="3" s="1"/>
  <c r="L959" i="3"/>
  <c r="M959" i="3" s="1"/>
  <c r="L921" i="3"/>
  <c r="M921" i="3" s="1"/>
  <c r="L858" i="3"/>
  <c r="M858" i="3" s="1"/>
  <c r="L873" i="3"/>
  <c r="M873" i="3" s="1"/>
  <c r="L933" i="3"/>
  <c r="M933" i="3" s="1"/>
  <c r="L960" i="3"/>
  <c r="M960" i="3" s="1"/>
  <c r="L878" i="3"/>
  <c r="M878" i="3" s="1"/>
  <c r="L991" i="3"/>
  <c r="M991" i="3" s="1"/>
  <c r="L1094" i="3"/>
  <c r="M1094" i="3" s="1"/>
  <c r="L1105" i="3"/>
  <c r="M1105" i="3" s="1"/>
  <c r="L1134" i="3"/>
  <c r="M1134" i="3" s="1"/>
  <c r="L1194" i="3"/>
  <c r="M1194" i="3" s="1"/>
  <c r="L1227" i="3"/>
  <c r="M1227" i="3" s="1"/>
  <c r="L964" i="3"/>
  <c r="M964" i="3" s="1"/>
  <c r="L846" i="3"/>
  <c r="M846" i="3" s="1"/>
  <c r="L1124" i="3"/>
  <c r="M1124" i="3" s="1"/>
  <c r="L971" i="3"/>
  <c r="M971" i="3" s="1"/>
  <c r="L763" i="3"/>
  <c r="M763" i="3" s="1"/>
  <c r="L642" i="3"/>
  <c r="M642" i="3" s="1"/>
  <c r="L637" i="3"/>
  <c r="M637" i="3" s="1"/>
  <c r="L631" i="3"/>
  <c r="M631" i="3" s="1"/>
  <c r="L643" i="3"/>
  <c r="M643" i="3" s="1"/>
  <c r="L636" i="3"/>
  <c r="M636" i="3" s="1"/>
  <c r="L810" i="3"/>
  <c r="M810" i="3" s="1"/>
  <c r="L811" i="3"/>
  <c r="M811" i="3" s="1"/>
  <c r="L759" i="3"/>
  <c r="M759" i="3" s="1"/>
  <c r="L743" i="3"/>
  <c r="M743" i="3" s="1"/>
  <c r="L678" i="3"/>
  <c r="M678" i="3" s="1"/>
  <c r="L819" i="3"/>
  <c r="M819" i="3" s="1"/>
  <c r="L902" i="3"/>
  <c r="M902" i="3" s="1"/>
  <c r="L668" i="3"/>
  <c r="M668" i="3" s="1"/>
  <c r="L777" i="3"/>
  <c r="M777" i="3" s="1"/>
  <c r="L752" i="3"/>
  <c r="M752" i="3" s="1"/>
  <c r="L677" i="3"/>
  <c r="M677" i="3" s="1"/>
  <c r="L764" i="3"/>
  <c r="M764" i="3" s="1"/>
  <c r="L756" i="3"/>
  <c r="M756" i="3" s="1"/>
  <c r="L1386" i="3"/>
  <c r="M1386" i="3" s="1"/>
  <c r="L381" i="3"/>
  <c r="M381" i="3" s="1"/>
  <c r="L1006" i="3"/>
  <c r="M1006" i="3" s="1"/>
  <c r="L1342" i="3"/>
  <c r="M1342" i="3" s="1"/>
  <c r="L1433" i="3"/>
  <c r="M1433" i="3" s="1"/>
  <c r="L1477" i="3"/>
  <c r="M1477" i="3" s="1"/>
  <c r="L239" i="3"/>
  <c r="M239" i="3" s="1"/>
  <c r="L1408" i="3"/>
  <c r="M1408" i="3" s="1"/>
  <c r="L1478" i="3"/>
  <c r="M1478" i="3" s="1"/>
  <c r="L1469" i="3"/>
  <c r="M1469" i="3" s="1"/>
  <c r="L1466" i="3"/>
  <c r="M1466" i="3" s="1"/>
  <c r="L406" i="3"/>
  <c r="M406" i="3" s="1"/>
  <c r="L227" i="3"/>
  <c r="M227" i="3" s="1"/>
  <c r="L1495" i="3"/>
  <c r="M1495" i="3" s="1"/>
  <c r="L1322" i="3"/>
  <c r="M1322" i="3" s="1"/>
  <c r="L1191" i="3"/>
  <c r="M1191" i="3" s="1"/>
  <c r="L169" i="3"/>
  <c r="M169" i="3" s="1"/>
  <c r="L171" i="3"/>
  <c r="M171" i="3" s="1"/>
  <c r="L243" i="3"/>
  <c r="M243" i="3" s="1"/>
  <c r="L215" i="3"/>
  <c r="M215" i="3" s="1"/>
  <c r="L226" i="3"/>
  <c r="M226" i="3" s="1"/>
  <c r="L111" i="3"/>
  <c r="M111" i="3" s="1"/>
  <c r="L188" i="3"/>
  <c r="M188" i="3" s="1"/>
  <c r="L123" i="3"/>
  <c r="M123" i="3" s="1"/>
  <c r="L627" i="3"/>
  <c r="M627" i="3" s="1"/>
  <c r="L987" i="3"/>
  <c r="M987" i="3" s="1"/>
  <c r="L1442" i="3"/>
  <c r="M1442" i="3" s="1"/>
  <c r="L1487" i="3"/>
  <c r="M1487" i="3" s="1"/>
  <c r="L1479" i="3"/>
  <c r="M1479" i="3" s="1"/>
  <c r="L1483" i="3"/>
  <c r="M1483" i="3" s="1"/>
  <c r="L1511" i="3"/>
  <c r="M1511" i="3" s="1"/>
  <c r="L1501" i="3"/>
  <c r="M1501" i="3" s="1"/>
  <c r="L1476" i="3"/>
  <c r="M1476" i="3" s="1"/>
  <c r="L1494" i="3"/>
  <c r="M1494" i="3" s="1"/>
  <c r="L1482" i="3"/>
  <c r="M1482" i="3" s="1"/>
  <c r="L1499" i="3"/>
  <c r="M1499" i="3" s="1"/>
  <c r="L1508" i="3"/>
  <c r="M1508" i="3" s="1"/>
  <c r="L1486" i="3"/>
  <c r="M1486" i="3" s="1"/>
  <c r="L1473" i="3"/>
  <c r="M1473" i="3" s="1"/>
  <c r="L1498" i="3"/>
  <c r="M1498" i="3" s="1"/>
  <c r="L1492" i="3"/>
  <c r="M1492" i="3" s="1"/>
  <c r="L1459" i="3"/>
  <c r="M1459" i="3" s="1"/>
  <c r="L1458" i="3"/>
  <c r="M1458" i="3" s="1"/>
  <c r="L1481" i="3"/>
  <c r="M1481" i="3" s="1"/>
  <c r="L1493" i="3"/>
  <c r="M1493" i="3" s="1"/>
  <c r="L1590" i="3"/>
  <c r="M1590" i="3" s="1"/>
  <c r="L424" i="3"/>
  <c r="M424" i="3" s="1"/>
  <c r="L42" i="3"/>
  <c r="M42" i="3" s="1"/>
  <c r="L40" i="3"/>
  <c r="M40" i="3" s="1"/>
  <c r="L25" i="3"/>
  <c r="M25" i="3" s="1"/>
  <c r="L46" i="3"/>
  <c r="M46" i="3" s="1"/>
  <c r="L50" i="3"/>
  <c r="M50" i="3" s="1"/>
  <c r="L63" i="3"/>
  <c r="M63" i="3" s="1"/>
  <c r="L54" i="3"/>
  <c r="M54" i="3" s="1"/>
  <c r="L57" i="3"/>
  <c r="M57" i="3" s="1"/>
  <c r="L68" i="3"/>
  <c r="M68" i="3" s="1"/>
  <c r="L58" i="3"/>
  <c r="M58" i="3" s="1"/>
  <c r="L59" i="3"/>
  <c r="M59" i="3" s="1"/>
  <c r="L48" i="3"/>
  <c r="M48" i="3" s="1"/>
  <c r="L49" i="3"/>
  <c r="M49" i="3" s="1"/>
  <c r="L55" i="3"/>
  <c r="M55" i="3" s="1"/>
  <c r="L86" i="3"/>
  <c r="M86" i="3" s="1"/>
  <c r="L84" i="3"/>
  <c r="M84" i="3" s="1"/>
  <c r="L79" i="3"/>
  <c r="M79" i="3" s="1"/>
  <c r="L77" i="3"/>
  <c r="M77" i="3" s="1"/>
  <c r="L12" i="3"/>
  <c r="M12" i="3" s="1"/>
  <c r="L13" i="3"/>
  <c r="M13" i="3" s="1"/>
  <c r="L28" i="3"/>
  <c r="M28" i="3" s="1"/>
  <c r="L45" i="3"/>
  <c r="M45" i="3" s="1"/>
  <c r="L8" i="3"/>
  <c r="M8" i="3" s="1"/>
  <c r="L425" i="3"/>
  <c r="M425" i="3" s="1"/>
  <c r="L1450" i="3"/>
  <c r="M1450" i="3" s="1"/>
  <c r="L1472" i="3"/>
  <c r="M1472" i="3" s="1"/>
  <c r="L270" i="3"/>
  <c r="M270" i="3" s="1"/>
  <c r="L1638" i="3"/>
  <c r="M1638" i="3" s="1"/>
  <c r="L339" i="3"/>
  <c r="M339" i="3" s="1"/>
  <c r="L1680" i="3"/>
  <c r="M1680" i="3" s="1"/>
  <c r="L1649" i="3"/>
  <c r="M1649" i="3" s="1"/>
  <c r="L1624" i="3"/>
  <c r="M1624" i="3" s="1"/>
  <c r="L1641" i="3"/>
  <c r="M1641" i="3" s="1"/>
  <c r="L1398" i="3"/>
  <c r="M1398" i="3" s="1"/>
  <c r="L1256" i="3"/>
  <c r="M1256" i="3" s="1"/>
  <c r="L587" i="3"/>
  <c r="M587" i="3" s="1"/>
  <c r="L1645" i="3"/>
  <c r="M1645" i="3" s="1"/>
  <c r="L965" i="3"/>
  <c r="M965" i="3" s="1"/>
  <c r="L414" i="3"/>
  <c r="M414" i="3" s="1"/>
  <c r="L174" i="3"/>
  <c r="M174" i="3" s="1"/>
  <c r="L382" i="3"/>
  <c r="M382" i="3" s="1"/>
  <c r="L504" i="3"/>
  <c r="M504" i="3" s="1"/>
  <c r="L944" i="3"/>
  <c r="M944" i="3" s="1"/>
  <c r="L1171" i="3"/>
  <c r="M1171" i="3" s="1"/>
  <c r="L1146" i="3"/>
  <c r="M1146" i="3" s="1"/>
  <c r="L782" i="3"/>
  <c r="M782" i="3" s="1"/>
  <c r="L1691" i="3"/>
  <c r="M1691" i="3" s="1"/>
  <c r="L335" i="3"/>
  <c r="M335" i="3" s="1"/>
  <c r="L1158" i="3"/>
  <c r="M1158" i="3" s="1"/>
  <c r="L1502" i="3"/>
  <c r="N1502" i="3" s="1"/>
  <c r="O1502" i="3" s="1"/>
  <c r="L1503" i="3"/>
  <c r="N1503" i="3" s="1"/>
  <c r="O1503" i="3" s="1"/>
  <c r="L225" i="3"/>
  <c r="M225" i="3" s="1"/>
  <c r="L187" i="3"/>
  <c r="M187" i="3" s="1"/>
  <c r="L1091" i="3"/>
  <c r="M1091" i="3" s="1"/>
  <c r="L632" i="3"/>
  <c r="M632" i="3" s="1"/>
  <c r="L1230" i="3"/>
  <c r="M1230" i="3" s="1"/>
  <c r="L1293" i="3"/>
  <c r="M1293" i="3" s="1"/>
  <c r="L463" i="3"/>
  <c r="M463" i="3" s="1"/>
  <c r="L361" i="3"/>
  <c r="M361" i="3" s="1"/>
  <c r="L423" i="3"/>
  <c r="M423" i="3" s="1"/>
  <c r="L419" i="3"/>
  <c r="M419" i="3" s="1"/>
  <c r="L1110" i="3"/>
  <c r="M1110" i="3" s="1"/>
  <c r="L1550" i="3"/>
  <c r="M1550" i="3" s="1"/>
  <c r="L1542" i="3"/>
  <c r="M1542" i="3" s="1"/>
  <c r="L1681" i="3"/>
  <c r="M1681" i="3" s="1"/>
  <c r="L157" i="3"/>
  <c r="M157" i="3" s="1"/>
  <c r="L235" i="3"/>
  <c r="M235" i="3" s="1"/>
  <c r="L1660" i="3"/>
  <c r="M1660" i="3" s="1"/>
  <c r="L175" i="3"/>
  <c r="N175" i="3" s="1"/>
  <c r="O175" i="3" s="1"/>
  <c r="L1695" i="3"/>
  <c r="M1695" i="3" s="1"/>
  <c r="L1079" i="3"/>
  <c r="M1079" i="3" s="1"/>
  <c r="L1522" i="3"/>
  <c r="M1522" i="3" s="1"/>
  <c r="L436" i="3"/>
  <c r="M436" i="3" s="1"/>
  <c r="L1245" i="3"/>
  <c r="M1245" i="3" s="1"/>
  <c r="L1081" i="3"/>
  <c r="M1081" i="3" s="1"/>
  <c r="L1682" i="3"/>
  <c r="M1682" i="3" s="1"/>
  <c r="L1160" i="3"/>
  <c r="M1160" i="3" s="1"/>
  <c r="L433" i="3"/>
  <c r="M433" i="3" s="1"/>
  <c r="L447" i="3"/>
  <c r="M447" i="3" s="1"/>
  <c r="L422" i="3"/>
  <c r="M422" i="3" s="1"/>
  <c r="L1128" i="3"/>
  <c r="M1128" i="3" s="1"/>
  <c r="L1243" i="3"/>
  <c r="M1243" i="3" s="1"/>
  <c r="L1078" i="3"/>
  <c r="M1078" i="3" s="1"/>
  <c r="L1055" i="3"/>
  <c r="M1055" i="3" s="1"/>
  <c r="L1367" i="3"/>
  <c r="M1367" i="3" s="1"/>
  <c r="L352" i="3"/>
  <c r="M352" i="3" s="1"/>
  <c r="L1672" i="3"/>
  <c r="M1672" i="3" s="1"/>
  <c r="L1689" i="3"/>
  <c r="M1689" i="3" s="1"/>
  <c r="L1690" i="3"/>
  <c r="M1690" i="3" s="1"/>
  <c r="L440" i="3"/>
  <c r="M440" i="3" s="1"/>
  <c r="L1611" i="3"/>
  <c r="M1611" i="3" s="1"/>
  <c r="L1290" i="3"/>
  <c r="M1290" i="3" s="1"/>
  <c r="L1170" i="3"/>
  <c r="M1170" i="3" s="1"/>
  <c r="L639" i="3"/>
  <c r="M639" i="3" s="1"/>
  <c r="L1416" i="3"/>
  <c r="M1416" i="3" s="1"/>
  <c r="L1431" i="3"/>
  <c r="M1431" i="3" s="1"/>
  <c r="L1462" i="3"/>
  <c r="M1462" i="3" s="1"/>
  <c r="L1453" i="3"/>
  <c r="M1453" i="3" s="1"/>
  <c r="L1445" i="3"/>
  <c r="M1445" i="3" s="1"/>
  <c r="L1460" i="3"/>
  <c r="M1460" i="3" s="1"/>
  <c r="L1417" i="3"/>
  <c r="M1417" i="3" s="1"/>
  <c r="L1432" i="3"/>
  <c r="M1432" i="3" s="1"/>
  <c r="L1463" i="3"/>
  <c r="M1463" i="3" s="1"/>
  <c r="L1454" i="3"/>
  <c r="M1454" i="3" s="1"/>
  <c r="L1446" i="3"/>
  <c r="M1446" i="3" s="1"/>
  <c r="L1461" i="3"/>
  <c r="M1461" i="3" s="1"/>
  <c r="L1412" i="3"/>
  <c r="M1412" i="3" s="1"/>
  <c r="L1413" i="3"/>
  <c r="M1413" i="3" s="1"/>
  <c r="L64" i="3"/>
  <c r="N64" i="3" s="1"/>
  <c r="O64" i="3" s="1"/>
  <c r="L60" i="3"/>
  <c r="N60" i="3" s="1"/>
  <c r="O60" i="3" s="1"/>
  <c r="L263" i="3"/>
  <c r="M263" i="3" s="1"/>
  <c r="L262" i="3"/>
  <c r="M262" i="3" s="1"/>
  <c r="L264" i="3"/>
  <c r="M264" i="3" s="1"/>
  <c r="L260" i="3"/>
  <c r="M260" i="3" s="1"/>
  <c r="L257" i="3"/>
  <c r="M257" i="3" s="1"/>
  <c r="L329" i="3"/>
  <c r="M329" i="3" s="1"/>
  <c r="L385" i="3"/>
  <c r="M385" i="3" s="1"/>
  <c r="L444" i="3"/>
  <c r="M444" i="3" s="1"/>
  <c r="L435" i="3"/>
  <c r="M435" i="3" s="1"/>
  <c r="L390" i="3"/>
  <c r="M390" i="3" s="1"/>
  <c r="L614" i="3"/>
  <c r="M614" i="3" s="1"/>
  <c r="L620" i="3"/>
  <c r="M620" i="3" s="1"/>
  <c r="L1165" i="3"/>
  <c r="M1165" i="3" s="1"/>
  <c r="L1090" i="3"/>
  <c r="M1090" i="3" s="1"/>
  <c r="L904" i="3"/>
  <c r="M904" i="3" s="1"/>
  <c r="L699" i="3"/>
  <c r="M699" i="3" s="1"/>
  <c r="L731" i="3"/>
  <c r="M731" i="3" s="1"/>
  <c r="L772" i="3"/>
  <c r="M772" i="3" s="1"/>
  <c r="L892" i="3"/>
  <c r="M892" i="3" s="1"/>
  <c r="L941" i="3"/>
  <c r="M941" i="3" s="1"/>
  <c r="L1034" i="3"/>
  <c r="M1034" i="3" s="1"/>
  <c r="L963" i="3"/>
  <c r="M963" i="3" s="1"/>
  <c r="L1012" i="3"/>
  <c r="M1012" i="3" s="1"/>
  <c r="L1065" i="3"/>
  <c r="M1065" i="3" s="1"/>
  <c r="L1132" i="3"/>
  <c r="M1132" i="3" s="1"/>
  <c r="L841" i="3"/>
  <c r="M841" i="3" s="1"/>
  <c r="L857" i="3"/>
  <c r="M857" i="3" s="1"/>
  <c r="L880" i="3"/>
  <c r="M880" i="3" s="1"/>
  <c r="L860" i="3"/>
  <c r="M860" i="3" s="1"/>
  <c r="L972" i="3"/>
  <c r="M972" i="3" s="1"/>
  <c r="L859" i="3"/>
  <c r="M859" i="3" s="1"/>
  <c r="L815" i="3"/>
  <c r="M815" i="3" s="1"/>
  <c r="L803" i="3"/>
  <c r="M803" i="3" s="1"/>
  <c r="L797" i="3"/>
  <c r="M797" i="3" s="1"/>
  <c r="L808" i="3"/>
  <c r="M808" i="3" s="1"/>
  <c r="L762" i="3"/>
  <c r="M762" i="3" s="1"/>
  <c r="L914" i="3"/>
  <c r="M914" i="3" s="1"/>
  <c r="L915" i="3"/>
  <c r="M915" i="3" s="1"/>
  <c r="L953" i="3"/>
  <c r="M953" i="3" s="1"/>
  <c r="L951" i="3"/>
  <c r="M951" i="3" s="1"/>
  <c r="L916" i="3"/>
  <c r="M916" i="3" s="1"/>
  <c r="L881" i="3"/>
  <c r="M881" i="3" s="1"/>
  <c r="L885" i="3"/>
  <c r="M885" i="3" s="1"/>
  <c r="L882" i="3"/>
  <c r="M882" i="3" s="1"/>
  <c r="L980" i="3"/>
  <c r="M980" i="3" s="1"/>
  <c r="L966" i="3"/>
  <c r="M966" i="3" s="1"/>
  <c r="L999" i="3"/>
  <c r="M999" i="3" s="1"/>
  <c r="L1009" i="3"/>
  <c r="M1009" i="3" s="1"/>
  <c r="L958" i="3"/>
  <c r="M958" i="3" s="1"/>
  <c r="L981" i="3"/>
  <c r="M981" i="3" s="1"/>
  <c r="L1002" i="3"/>
  <c r="M1002" i="3" s="1"/>
  <c r="L1069" i="3"/>
  <c r="M1069" i="3" s="1"/>
  <c r="L861" i="3"/>
  <c r="M861" i="3" s="1"/>
  <c r="L879" i="3"/>
  <c r="M879" i="3" s="1"/>
  <c r="L900" i="3"/>
  <c r="M900" i="3" s="1"/>
  <c r="L940" i="3"/>
  <c r="M940" i="3" s="1"/>
  <c r="L1026" i="3"/>
  <c r="M1026" i="3" s="1"/>
  <c r="L1007" i="3"/>
  <c r="M1007" i="3" s="1"/>
  <c r="L1003" i="3"/>
  <c r="M1003" i="3" s="1"/>
  <c r="L1015" i="3"/>
  <c r="M1015" i="3" s="1"/>
  <c r="L1016" i="3"/>
  <c r="M1016" i="3" s="1"/>
  <c r="L1098" i="3"/>
  <c r="M1098" i="3" s="1"/>
  <c r="L1116" i="3"/>
  <c r="M1116" i="3" s="1"/>
  <c r="L1273" i="3"/>
  <c r="M1273" i="3" s="1"/>
  <c r="L1292" i="3"/>
  <c r="M1292" i="3" s="1"/>
  <c r="L1144" i="3"/>
  <c r="M1144" i="3" s="1"/>
  <c r="L1168" i="3"/>
  <c r="M1168" i="3" s="1"/>
  <c r="L1206" i="3"/>
  <c r="M1206" i="3" s="1"/>
  <c r="L1109" i="3"/>
  <c r="M1109" i="3" s="1"/>
  <c r="L718" i="3"/>
  <c r="M718" i="3" s="1"/>
  <c r="L758" i="3"/>
  <c r="M758" i="3" s="1"/>
  <c r="L719" i="3"/>
  <c r="M719" i="3" s="1"/>
  <c r="L809" i="3"/>
  <c r="M809" i="3" s="1"/>
  <c r="L840" i="3"/>
  <c r="M840" i="3" s="1"/>
  <c r="L827" i="3"/>
  <c r="M827" i="3" s="1"/>
  <c r="L847" i="3"/>
  <c r="M847" i="3" s="1"/>
  <c r="L864" i="3"/>
  <c r="M864" i="3" s="1"/>
  <c r="L824" i="3"/>
  <c r="M824" i="3" s="1"/>
  <c r="L727" i="3"/>
  <c r="M727" i="3" s="1"/>
  <c r="L760" i="3"/>
  <c r="M760" i="3" s="1"/>
  <c r="L1711" i="3"/>
  <c r="M1711" i="3" s="1"/>
  <c r="L167" i="3"/>
  <c r="N167" i="3" s="1"/>
  <c r="O167" i="3" s="1"/>
  <c r="L186" i="3"/>
  <c r="N186" i="3" s="1"/>
  <c r="O186" i="3" s="1"/>
  <c r="L177" i="3"/>
  <c r="N177" i="3" s="1"/>
  <c r="O177" i="3" s="1"/>
  <c r="L202" i="3"/>
  <c r="N202" i="3" s="1"/>
  <c r="O202" i="3" s="1"/>
  <c r="L180" i="3"/>
  <c r="N180" i="3" s="1"/>
  <c r="O180" i="3" s="1"/>
  <c r="L150" i="3"/>
  <c r="N150" i="3" s="1"/>
  <c r="O150" i="3" s="1"/>
  <c r="L152" i="3"/>
  <c r="N152" i="3" s="1"/>
  <c r="O152" i="3" s="1"/>
  <c r="L194" i="3"/>
  <c r="N194" i="3" s="1"/>
  <c r="O194" i="3" s="1"/>
  <c r="L216" i="3"/>
  <c r="N216" i="3" s="1"/>
  <c r="O216" i="3" s="1"/>
  <c r="L207" i="3"/>
  <c r="N207" i="3" s="1"/>
  <c r="O207" i="3" s="1"/>
  <c r="L165" i="3"/>
  <c r="N165" i="3" s="1"/>
  <c r="O165" i="3" s="1"/>
  <c r="L1671" i="3"/>
  <c r="M1671" i="3" s="1"/>
  <c r="L1282" i="3"/>
  <c r="M1282" i="3" s="1"/>
  <c r="L1676" i="3"/>
  <c r="M1676" i="3" s="1"/>
  <c r="L1323" i="3"/>
  <c r="M1323" i="3" s="1"/>
  <c r="L154" i="3"/>
  <c r="N154" i="3" s="1"/>
  <c r="O154" i="3" s="1"/>
  <c r="L213" i="3"/>
  <c r="N213" i="3" s="1"/>
  <c r="O213" i="3" s="1"/>
  <c r="L214" i="3"/>
  <c r="M214" i="3" s="1"/>
  <c r="L234" i="3"/>
  <c r="M234" i="3" s="1"/>
  <c r="L206" i="3"/>
  <c r="M206" i="3" s="1"/>
  <c r="L1130" i="3"/>
  <c r="M1130" i="3" s="1"/>
  <c r="L1099" i="3"/>
  <c r="M1099" i="3" s="1"/>
  <c r="L1059" i="3"/>
  <c r="M1059" i="3" s="1"/>
  <c r="L1379" i="3"/>
  <c r="M1379" i="3" s="1"/>
  <c r="L103" i="3"/>
  <c r="N103" i="3" s="1"/>
  <c r="O103" i="3" s="1"/>
  <c r="L73" i="3"/>
  <c r="N73" i="3" s="1"/>
  <c r="O73" i="3" s="1"/>
  <c r="L78" i="3"/>
  <c r="N78" i="3" s="1"/>
  <c r="O78" i="3" s="1"/>
  <c r="L371" i="3"/>
  <c r="M371" i="3" s="1"/>
  <c r="L391" i="3"/>
  <c r="M391" i="3" s="1"/>
  <c r="L421" i="3"/>
  <c r="M421" i="3" s="1"/>
  <c r="L459" i="3"/>
  <c r="M459" i="3" s="1"/>
  <c r="L608" i="3"/>
  <c r="M608" i="3" s="1"/>
  <c r="L1085" i="3"/>
  <c r="M1085" i="3" s="1"/>
  <c r="L1702" i="3"/>
  <c r="M1702" i="3" s="1"/>
  <c r="L1371" i="3"/>
  <c r="M1371" i="3" s="1"/>
  <c r="L268" i="3"/>
  <c r="M268" i="3" s="1"/>
  <c r="L1296" i="3"/>
  <c r="M1296" i="3" s="1"/>
  <c r="L1086" i="3"/>
  <c r="M1086" i="3" s="1"/>
  <c r="L644" i="3"/>
  <c r="M644" i="3" s="1"/>
  <c r="L1383" i="3"/>
  <c r="M1383" i="3" s="1"/>
  <c r="L1377" i="3"/>
  <c r="M1377" i="3" s="1"/>
  <c r="L1577" i="3"/>
  <c r="M1577" i="3" s="1"/>
  <c r="L403" i="3"/>
  <c r="M403" i="3" s="1"/>
  <c r="L594" i="3"/>
  <c r="M594" i="3" s="1"/>
  <c r="L1654" i="3"/>
  <c r="M1654" i="3" s="1"/>
  <c r="L1297" i="3"/>
  <c r="M1297" i="3" s="1"/>
  <c r="L1008" i="3"/>
  <c r="M1008" i="3" s="1"/>
  <c r="L1192" i="3"/>
  <c r="M1192" i="3" s="1"/>
  <c r="L831" i="3"/>
  <c r="M831" i="3" s="1"/>
  <c r="L1028" i="3"/>
  <c r="M1028" i="3" s="1"/>
  <c r="L893" i="3"/>
  <c r="M893" i="3" s="1"/>
  <c r="L970" i="3"/>
  <c r="M970" i="3" s="1"/>
  <c r="L853" i="3"/>
  <c r="M853" i="3" s="1"/>
  <c r="L870" i="3"/>
  <c r="M870" i="3" s="1"/>
  <c r="L843" i="3"/>
  <c r="M843" i="3" s="1"/>
  <c r="L877" i="3"/>
  <c r="M877" i="3" s="1"/>
  <c r="L1602" i="3"/>
  <c r="M1602" i="3" s="1"/>
  <c r="L1562" i="3"/>
  <c r="M1562" i="3" s="1"/>
  <c r="L1547" i="3"/>
  <c r="M1547" i="3" s="1"/>
  <c r="L1700" i="3"/>
  <c r="M1700" i="3" s="1"/>
  <c r="L1633" i="3"/>
  <c r="M1633" i="3" s="1"/>
  <c r="L508" i="3"/>
  <c r="M508" i="3" s="1"/>
  <c r="L683" i="3"/>
  <c r="M683" i="3" s="1"/>
  <c r="L1532" i="3"/>
  <c r="M1532" i="3" s="1"/>
  <c r="L196" i="3"/>
  <c r="N196" i="3" s="1"/>
  <c r="O196" i="3" s="1"/>
  <c r="L989" i="3"/>
  <c r="M989" i="3" s="1"/>
  <c r="L1088" i="3"/>
  <c r="M1088" i="3" s="1"/>
  <c r="L1051" i="3"/>
  <c r="M1051" i="3" s="1"/>
  <c r="L1070" i="3"/>
  <c r="M1070" i="3" s="1"/>
  <c r="L1260" i="3"/>
  <c r="M1260" i="3" s="1"/>
  <c r="L1504" i="3"/>
  <c r="M1504" i="3" s="1"/>
  <c r="L1505" i="3"/>
  <c r="M1505" i="3" s="1"/>
  <c r="L1600" i="3"/>
  <c r="M1600" i="3" s="1"/>
  <c r="L1588" i="3"/>
  <c r="M1588" i="3" s="1"/>
  <c r="L1635" i="3"/>
  <c r="M1635" i="3" s="1"/>
  <c r="L1615" i="3"/>
  <c r="M1615" i="3" s="1"/>
  <c r="L561" i="3"/>
  <c r="M561" i="3" s="1"/>
  <c r="L324" i="3"/>
  <c r="M324" i="3" s="1"/>
  <c r="L578" i="3"/>
  <c r="M578" i="3" s="1"/>
  <c r="L1351" i="3"/>
  <c r="M1351" i="3" s="1"/>
  <c r="L1639" i="3"/>
  <c r="M1639" i="3" s="1"/>
  <c r="L418" i="3"/>
  <c r="M418" i="3" s="1"/>
  <c r="L384" i="3"/>
  <c r="M384" i="3" s="1"/>
  <c r="L399" i="3"/>
  <c r="M399" i="3" s="1"/>
  <c r="L460" i="3"/>
  <c r="M460" i="3" s="1"/>
  <c r="L917" i="3"/>
  <c r="M917" i="3" s="1"/>
  <c r="L1295" i="3"/>
  <c r="M1295" i="3" s="1"/>
  <c r="L521" i="3"/>
  <c r="M521" i="3" s="1"/>
  <c r="L1608" i="3"/>
  <c r="M1608" i="3" s="1"/>
  <c r="L1636" i="3"/>
  <c r="M1636" i="3" s="1"/>
  <c r="L1107" i="3"/>
  <c r="M1107" i="3" s="1"/>
  <c r="L1653" i="3"/>
  <c r="M1653" i="3" s="1"/>
  <c r="L1231" i="3"/>
  <c r="M1231" i="3" s="1"/>
  <c r="L297" i="3"/>
  <c r="M297" i="3" s="1"/>
  <c r="L271" i="3"/>
  <c r="M271" i="3" s="1"/>
  <c r="L1710" i="3"/>
  <c r="M1710" i="3" s="1"/>
  <c r="L274" i="3"/>
  <c r="M274" i="3" s="1"/>
  <c r="L1648" i="3"/>
  <c r="M1648" i="3" s="1"/>
  <c r="L1113" i="3"/>
  <c r="M1113" i="3" s="1"/>
  <c r="L1240" i="3"/>
  <c r="M1240" i="3" s="1"/>
  <c r="L1271" i="3"/>
  <c r="M1271" i="3" s="1"/>
  <c r="L1143" i="3"/>
  <c r="M1143" i="3" s="1"/>
  <c r="L996" i="3"/>
  <c r="M996" i="3" s="1"/>
  <c r="L1037" i="3"/>
  <c r="M1037" i="3" s="1"/>
  <c r="L1087" i="3"/>
  <c r="M1087" i="3" s="1"/>
  <c r="L982" i="3"/>
  <c r="M982" i="3" s="1"/>
  <c r="L1201" i="3"/>
  <c r="M1201" i="3" s="1"/>
  <c r="L1313" i="3"/>
  <c r="M1313" i="3" s="1"/>
  <c r="L1311" i="3"/>
  <c r="M1311" i="3" s="1"/>
  <c r="L1237" i="3"/>
  <c r="M1237" i="3" s="1"/>
  <c r="L1131" i="3"/>
  <c r="M1131" i="3" s="1"/>
  <c r="L1315" i="3"/>
  <c r="M1315" i="3" s="1"/>
  <c r="L1176" i="3"/>
  <c r="M1176" i="3" s="1"/>
  <c r="L1278" i="3"/>
  <c r="M1278" i="3" s="1"/>
  <c r="L1281" i="3"/>
  <c r="M1281" i="3" s="1"/>
  <c r="L1316" i="3"/>
  <c r="M1316" i="3" s="1"/>
  <c r="L1318" i="3"/>
  <c r="M1318" i="3" s="1"/>
  <c r="L1331" i="3"/>
  <c r="M1331" i="3" s="1"/>
  <c r="L1261" i="3"/>
  <c r="M1261" i="3" s="1"/>
  <c r="L1197" i="3"/>
  <c r="M1197" i="3" s="1"/>
  <c r="L1104" i="3"/>
  <c r="M1104" i="3" s="1"/>
  <c r="L640" i="3"/>
  <c r="M640" i="3" s="1"/>
  <c r="L807" i="3"/>
  <c r="M807" i="3" s="1"/>
  <c r="L572" i="3"/>
  <c r="M572" i="3" s="1"/>
  <c r="L954" i="3"/>
  <c r="M954" i="3" s="1"/>
  <c r="L942" i="3"/>
  <c r="M942" i="3" s="1"/>
  <c r="L388" i="3"/>
  <c r="M388" i="3" s="1"/>
  <c r="L458" i="3"/>
  <c r="M458" i="3" s="1"/>
  <c r="L394" i="3"/>
  <c r="M394" i="3" s="1"/>
  <c r="L267" i="3"/>
  <c r="M267" i="3" s="1"/>
  <c r="L1656" i="3"/>
  <c r="M1656" i="3" s="1"/>
  <c r="L355" i="3"/>
  <c r="M355" i="3" s="1"/>
  <c r="L1106" i="3"/>
  <c r="M1106" i="3" s="1"/>
  <c r="L1657" i="3"/>
  <c r="M1657" i="3" s="1"/>
  <c r="L1655" i="3"/>
  <c r="M1655" i="3" s="1"/>
  <c r="L448" i="3"/>
  <c r="M448" i="3" s="1"/>
  <c r="L349" i="3"/>
  <c r="M349" i="3" s="1"/>
  <c r="L310" i="3"/>
  <c r="M310" i="3" s="1"/>
  <c r="L1723" i="3"/>
  <c r="M1723" i="3" s="1"/>
  <c r="L348" i="3"/>
  <c r="M348" i="3" s="1"/>
  <c r="L856" i="3"/>
  <c r="M856" i="3" s="1"/>
  <c r="L913" i="3"/>
  <c r="M913" i="3" s="1"/>
  <c r="L746" i="3"/>
  <c r="M746" i="3" s="1"/>
  <c r="L997" i="3"/>
  <c r="M997" i="3" s="1"/>
  <c r="L1625" i="3"/>
  <c r="M1625" i="3" s="1"/>
  <c r="L1564" i="3"/>
  <c r="M1564" i="3" s="1"/>
  <c r="L1719" i="3"/>
  <c r="M1719" i="3" s="1"/>
  <c r="L1720" i="3"/>
  <c r="M1720" i="3" s="1"/>
  <c r="L1721" i="3"/>
  <c r="M1721" i="3" s="1"/>
  <c r="L337" i="3"/>
  <c r="M337" i="3" s="1"/>
  <c r="L1558" i="3"/>
  <c r="M1558" i="3" s="1"/>
  <c r="L1264" i="3"/>
  <c r="M1264" i="3" s="1"/>
  <c r="L1694" i="3"/>
  <c r="M1694" i="3" s="1"/>
  <c r="L1675" i="3"/>
  <c r="M1675" i="3" s="1"/>
  <c r="L290" i="3"/>
  <c r="M290" i="3" s="1"/>
  <c r="L535" i="3"/>
  <c r="M535" i="3" s="1"/>
  <c r="L530" i="3"/>
  <c r="M530" i="3" s="1"/>
  <c r="L513" i="3"/>
  <c r="M513" i="3" s="1"/>
  <c r="L992" i="3"/>
  <c r="M992" i="3" s="1"/>
  <c r="L1252" i="3"/>
  <c r="M1252" i="3" s="1"/>
  <c r="L1241" i="3"/>
  <c r="M1241" i="3" s="1"/>
  <c r="L1200" i="3"/>
  <c r="M1200" i="3" s="1"/>
  <c r="L1038" i="3"/>
  <c r="M1038" i="3" s="1"/>
  <c r="L1174" i="3"/>
  <c r="M1174" i="3" s="1"/>
  <c r="L1218" i="3"/>
  <c r="M1218" i="3" s="1"/>
  <c r="L1314" i="3"/>
  <c r="M1314" i="3" s="1"/>
  <c r="L1253" i="3"/>
  <c r="M1253" i="3" s="1"/>
  <c r="L1199" i="3"/>
  <c r="M1199" i="3" s="1"/>
  <c r="L1185" i="3"/>
  <c r="M1185" i="3" s="1"/>
  <c r="L1272" i="3"/>
  <c r="M1272" i="3" s="1"/>
  <c r="L1317" i="3"/>
  <c r="M1317" i="3" s="1"/>
  <c r="L1202" i="3"/>
  <c r="M1202" i="3" s="1"/>
  <c r="L1254" i="3"/>
  <c r="M1254" i="3" s="1"/>
  <c r="L1175" i="3"/>
  <c r="M1175" i="3" s="1"/>
  <c r="L1215" i="3"/>
  <c r="M1215" i="3" s="1"/>
  <c r="L1285" i="3"/>
  <c r="M1285" i="3" s="1"/>
  <c r="L1248" i="3"/>
  <c r="M1248" i="3" s="1"/>
  <c r="L1161" i="3"/>
  <c r="M1161" i="3" s="1"/>
  <c r="L1279" i="3"/>
  <c r="M1279" i="3" s="1"/>
  <c r="L1152" i="3"/>
  <c r="M1152" i="3" s="1"/>
  <c r="L851" i="3"/>
  <c r="M851" i="3" s="1"/>
  <c r="L749" i="3"/>
  <c r="M749" i="3" s="1"/>
  <c r="L888" i="3"/>
  <c r="M888" i="3" s="1"/>
  <c r="L821" i="3"/>
  <c r="M821" i="3" s="1"/>
  <c r="L898" i="3"/>
  <c r="M898" i="3" s="1"/>
  <c r="L849" i="3"/>
  <c r="M849" i="3" s="1"/>
  <c r="L1220" i="3"/>
  <c r="M1220" i="3" s="1"/>
  <c r="L1280" i="3"/>
  <c r="M1280" i="3" s="1"/>
  <c r="L1219" i="3"/>
  <c r="M1219" i="3" s="1"/>
  <c r="L1177" i="3"/>
  <c r="M1177" i="3" s="1"/>
  <c r="L1203" i="3"/>
  <c r="M1203" i="3" s="1"/>
  <c r="L1250" i="3"/>
  <c r="M1250" i="3" s="1"/>
  <c r="L1262" i="3"/>
  <c r="M1262" i="3" s="1"/>
  <c r="L1198" i="3"/>
  <c r="M1198" i="3" s="1"/>
  <c r="L1251" i="3"/>
  <c r="M1251" i="3" s="1"/>
  <c r="L1217" i="3"/>
  <c r="M1217" i="3" s="1"/>
  <c r="L1208" i="3"/>
  <c r="M1208" i="3" s="1"/>
  <c r="L1071" i="3"/>
  <c r="M1071" i="3" s="1"/>
  <c r="L1025" i="3"/>
  <c r="M1025" i="3" s="1"/>
  <c r="L1125" i="3"/>
  <c r="M1125" i="3" s="1"/>
  <c r="L1162" i="3"/>
  <c r="M1162" i="3" s="1"/>
  <c r="L1193" i="3"/>
  <c r="M1193" i="3" s="1"/>
  <c r="L1163" i="3"/>
  <c r="M1163" i="3" s="1"/>
  <c r="L1103" i="3"/>
  <c r="M1103" i="3" s="1"/>
  <c r="L925" i="3"/>
  <c r="M925" i="3" s="1"/>
  <c r="L662" i="3"/>
  <c r="M662" i="3" s="1"/>
  <c r="L1083" i="3"/>
  <c r="M1083" i="3" s="1"/>
  <c r="L1204" i="3"/>
  <c r="M1204" i="3" s="1"/>
  <c r="L1135" i="3"/>
  <c r="M1135" i="3" s="1"/>
  <c r="L1072" i="3"/>
  <c r="M1072" i="3" s="1"/>
  <c r="L978" i="3"/>
  <c r="M978" i="3" s="1"/>
  <c r="L1041" i="3"/>
  <c r="M1041" i="3" s="1"/>
  <c r="L1044" i="3"/>
  <c r="M1044" i="3" s="1"/>
  <c r="L1164" i="3"/>
  <c r="M1164" i="3" s="1"/>
  <c r="L1112" i="3"/>
  <c r="M1112" i="3" s="1"/>
  <c r="L1136" i="3"/>
  <c r="M1136" i="3" s="1"/>
  <c r="L1042" i="3"/>
  <c r="M1042" i="3" s="1"/>
  <c r="L1519" i="3"/>
  <c r="N1519" i="3" s="1"/>
  <c r="O1519" i="3" s="1"/>
  <c r="L1516" i="3"/>
  <c r="N1516" i="3" s="1"/>
  <c r="O1516" i="3" s="1"/>
  <c r="L1520" i="3"/>
  <c r="N1520" i="3" s="1"/>
  <c r="O1520" i="3" s="1"/>
  <c r="L1517" i="3"/>
  <c r="N1517" i="3" s="1"/>
  <c r="O1517" i="3" s="1"/>
  <c r="L1467" i="3"/>
  <c r="M1467" i="3" s="1"/>
  <c r="L1444" i="3"/>
  <c r="M1444" i="3" s="1"/>
  <c r="L1468" i="3"/>
  <c r="M1468" i="3" s="1"/>
  <c r="L1441" i="3"/>
  <c r="M1441" i="3" s="1"/>
  <c r="L1448" i="3"/>
  <c r="M1448" i="3" s="1"/>
  <c r="L1449" i="3"/>
  <c r="M1449" i="3" s="1"/>
  <c r="L1566" i="3"/>
  <c r="M1566" i="3" s="1"/>
  <c r="L1679" i="3"/>
  <c r="M1679" i="3" s="1"/>
  <c r="L1704" i="3"/>
  <c r="M1704" i="3" s="1"/>
  <c r="L94" i="3"/>
  <c r="N94" i="3" s="1"/>
  <c r="O94" i="3" s="1"/>
  <c r="L36" i="3"/>
  <c r="N36" i="3" s="1"/>
  <c r="O36" i="3" s="1"/>
  <c r="L37" i="3"/>
  <c r="N37" i="3" s="1"/>
  <c r="O37" i="3" s="1"/>
  <c r="L2" i="3"/>
  <c r="N2" i="3" s="1"/>
  <c r="O2" i="3" s="1"/>
  <c r="L300" i="3"/>
  <c r="M300" i="3" s="1"/>
  <c r="L282" i="3"/>
  <c r="M282" i="3" s="1"/>
  <c r="L285" i="3"/>
  <c r="M285" i="3" s="1"/>
  <c r="L280" i="3"/>
  <c r="M280" i="3" s="1"/>
  <c r="L319" i="3"/>
  <c r="M319" i="3" s="1"/>
  <c r="L408" i="3"/>
  <c r="M408" i="3" s="1"/>
  <c r="L457" i="3"/>
  <c r="M457" i="3" s="1"/>
  <c r="L605" i="3"/>
  <c r="M605" i="3" s="1"/>
  <c r="L609" i="3"/>
  <c r="M609" i="3" s="1"/>
  <c r="L612" i="3"/>
  <c r="M612" i="3" s="1"/>
  <c r="L1097" i="3"/>
  <c r="M1097" i="3" s="1"/>
  <c r="L1011" i="3"/>
  <c r="M1011" i="3" s="1"/>
  <c r="L1137" i="3"/>
  <c r="M1137" i="3" s="1"/>
  <c r="L1183" i="3"/>
  <c r="M1183" i="3" s="1"/>
  <c r="L1126" i="3"/>
  <c r="M1126" i="3" s="1"/>
  <c r="L1119" i="3"/>
  <c r="M1119" i="3" s="1"/>
  <c r="L1127" i="3"/>
  <c r="M1127" i="3" s="1"/>
  <c r="L1150" i="3"/>
  <c r="M1150" i="3" s="1"/>
  <c r="L1100" i="3"/>
  <c r="M1100" i="3" s="1"/>
  <c r="L1101" i="3"/>
  <c r="M1101" i="3" s="1"/>
  <c r="L1117" i="3"/>
  <c r="M1117" i="3" s="1"/>
  <c r="L1118" i="3"/>
  <c r="M1118" i="3" s="1"/>
  <c r="L1184" i="3"/>
  <c r="M1184" i="3" s="1"/>
  <c r="L1073" i="3"/>
  <c r="M1073" i="3" s="1"/>
  <c r="L1074" i="3"/>
  <c r="M1074" i="3" s="1"/>
  <c r="L1075" i="3"/>
  <c r="M1075" i="3" s="1"/>
  <c r="L854" i="3"/>
  <c r="M854" i="3" s="1"/>
  <c r="L894" i="3"/>
  <c r="M894" i="3" s="1"/>
  <c r="L816" i="3"/>
  <c r="M816" i="3" s="1"/>
  <c r="L1151" i="3"/>
  <c r="M1151" i="3" s="1"/>
  <c r="L725" i="3"/>
  <c r="M725" i="3" s="1"/>
  <c r="L910" i="3"/>
  <c r="M910" i="3" s="1"/>
  <c r="L730" i="3"/>
  <c r="M730" i="3" s="1"/>
  <c r="L905" i="3"/>
  <c r="M905" i="3" s="1"/>
  <c r="L896" i="3"/>
  <c r="M896" i="3" s="1"/>
  <c r="L993" i="3"/>
  <c r="M993" i="3" s="1"/>
  <c r="L751" i="3"/>
  <c r="M751" i="3" s="1"/>
  <c r="L737" i="3"/>
  <c r="M737" i="3" s="1"/>
  <c r="L769" i="3"/>
  <c r="M769" i="3" s="1"/>
  <c r="L779" i="3"/>
  <c r="M779" i="3" s="1"/>
  <c r="L845" i="3"/>
  <c r="M845" i="3" s="1"/>
  <c r="L1274" i="3"/>
  <c r="M1274" i="3" s="1"/>
  <c r="L1108" i="3"/>
  <c r="M1108" i="3" s="1"/>
  <c r="L1045" i="3"/>
  <c r="M1045" i="3" s="1"/>
  <c r="L1155" i="3"/>
  <c r="M1155" i="3" s="1"/>
  <c r="L1053" i="3"/>
  <c r="M1053" i="3" s="1"/>
  <c r="L1255" i="3"/>
  <c r="M1255" i="3" s="1"/>
  <c r="L836" i="3"/>
  <c r="M836" i="3" s="1"/>
  <c r="L828" i="3"/>
  <c r="M828" i="3" s="1"/>
  <c r="L793" i="3"/>
  <c r="M793" i="3" s="1"/>
  <c r="L820" i="3"/>
  <c r="M820" i="3" s="1"/>
  <c r="L825" i="3"/>
  <c r="M825" i="3" s="1"/>
  <c r="L889" i="3"/>
  <c r="M889" i="3" s="1"/>
  <c r="L750" i="3"/>
  <c r="M750" i="3" s="1"/>
  <c r="L774" i="3"/>
  <c r="M774" i="3" s="1"/>
  <c r="L801" i="3"/>
  <c r="M801" i="3" s="1"/>
  <c r="L733" i="3"/>
  <c r="M733" i="3" s="1"/>
  <c r="L675" i="3"/>
  <c r="M675" i="3" s="1"/>
  <c r="L694" i="3"/>
  <c r="M694" i="3" s="1"/>
  <c r="L800" i="3"/>
  <c r="M800" i="3" s="1"/>
  <c r="L806" i="3"/>
  <c r="M806" i="3" s="1"/>
  <c r="L745" i="3"/>
  <c r="M745" i="3" s="1"/>
  <c r="L761" i="3"/>
  <c r="M761" i="3" s="1"/>
  <c r="L765" i="3"/>
  <c r="M765" i="3" s="1"/>
  <c r="L720" i="3"/>
  <c r="M720" i="3" s="1"/>
  <c r="L830" i="3"/>
  <c r="M830" i="3" s="1"/>
  <c r="L787" i="3"/>
  <c r="M787" i="3" s="1"/>
  <c r="L1435" i="3"/>
  <c r="N1435" i="3" s="1"/>
  <c r="O1435" i="3" s="1"/>
  <c r="L1440" i="3"/>
  <c r="N1440" i="3" s="1"/>
  <c r="O1440" i="3" s="1"/>
  <c r="L1396" i="3"/>
  <c r="N1396" i="3" s="1"/>
  <c r="O1396" i="3" s="1"/>
  <c r="L149" i="3"/>
  <c r="M149" i="3" s="1"/>
  <c r="L389" i="3"/>
  <c r="M389" i="3" s="1"/>
  <c r="L240" i="3"/>
  <c r="M240" i="3" s="1"/>
  <c r="L1064" i="3"/>
  <c r="M1064" i="3" s="1"/>
  <c r="L1084" i="3"/>
  <c r="M1084" i="3" s="1"/>
  <c r="L1054" i="3"/>
  <c r="M1054" i="3" s="1"/>
  <c r="L1407" i="3"/>
  <c r="N1407" i="3" s="1"/>
  <c r="O1407" i="3" s="1"/>
  <c r="L1409" i="3"/>
  <c r="N1409" i="3" s="1"/>
  <c r="O1409" i="3" s="1"/>
  <c r="L891" i="3"/>
  <c r="M891" i="3" s="1"/>
  <c r="L976" i="3"/>
  <c r="M976" i="3" s="1"/>
  <c r="L977" i="3"/>
  <c r="M977" i="3" s="1"/>
  <c r="L1061" i="3"/>
  <c r="M1061" i="3" s="1"/>
  <c r="L1010" i="3"/>
  <c r="M1010" i="3" s="1"/>
  <c r="L1027" i="3"/>
  <c r="M1027" i="3" s="1"/>
  <c r="L1023" i="3"/>
  <c r="M1023" i="3" s="1"/>
  <c r="L404" i="3"/>
  <c r="M404" i="3" s="1"/>
  <c r="L405" i="3"/>
  <c r="M405" i="3" s="1"/>
  <c r="L241" i="3"/>
  <c r="M241" i="3" s="1"/>
  <c r="L1447" i="3"/>
  <c r="M1447" i="3" s="1"/>
  <c r="L1541" i="3"/>
  <c r="M1541" i="3" s="1"/>
  <c r="L134" i="3"/>
  <c r="M134" i="3" s="1"/>
  <c r="L133" i="3"/>
  <c r="M133" i="3" s="1"/>
  <c r="L130" i="3"/>
  <c r="M130" i="3" s="1"/>
  <c r="L192" i="3"/>
  <c r="M192" i="3" s="1"/>
  <c r="L986" i="3"/>
  <c r="M986" i="3" s="1"/>
  <c r="L1033" i="3"/>
  <c r="M1033" i="3" s="1"/>
  <c r="L1531" i="3"/>
  <c r="M1531" i="3" s="1"/>
  <c r="L1410" i="3"/>
  <c r="M1410" i="3" s="1"/>
  <c r="L1411" i="3"/>
  <c r="M1411" i="3" s="1"/>
  <c r="L1480" i="3"/>
  <c r="M1480" i="3" s="1"/>
  <c r="L200" i="3"/>
  <c r="M200" i="3" s="1"/>
  <c r="L237" i="3"/>
  <c r="M237" i="3" s="1"/>
  <c r="L223" i="3"/>
  <c r="M223" i="3" s="1"/>
  <c r="L164" i="3"/>
  <c r="M164" i="3" s="1"/>
  <c r="L622" i="3"/>
  <c r="M622" i="3" s="1"/>
  <c r="L1525" i="3"/>
  <c r="M1525" i="3" s="1"/>
  <c r="L1452" i="3"/>
  <c r="M1452" i="3" s="1"/>
  <c r="L208" i="3"/>
  <c r="M208" i="3" s="1"/>
  <c r="L162" i="3"/>
  <c r="M162" i="3" s="1"/>
  <c r="L193" i="3"/>
  <c r="M193" i="3" s="1"/>
  <c r="L1526" i="3"/>
  <c r="M1526" i="3" s="1"/>
  <c r="L1402" i="3"/>
  <c r="M1402" i="3" s="1"/>
  <c r="L1403" i="3"/>
  <c r="M1403" i="3" s="1"/>
  <c r="L1488" i="3"/>
  <c r="M1488" i="3" s="1"/>
  <c r="L1521" i="3"/>
  <c r="M1521" i="3" s="1"/>
  <c r="L1534" i="3"/>
  <c r="M1534" i="3" s="1"/>
  <c r="L221" i="3"/>
  <c r="M221" i="3" s="1"/>
  <c r="L236" i="3"/>
  <c r="M236" i="3" s="1"/>
  <c r="L65" i="3"/>
  <c r="M65" i="3" s="1"/>
  <c r="L1474" i="3"/>
  <c r="M1474" i="3" s="1"/>
  <c r="L1475" i="3"/>
  <c r="M1475" i="3" s="1"/>
  <c r="L229" i="3"/>
  <c r="M229" i="3" s="1"/>
  <c r="L76" i="3"/>
  <c r="M76" i="3" s="1"/>
  <c r="L104" i="3"/>
  <c r="M104" i="3" s="1"/>
  <c r="L125" i="3"/>
  <c r="M125" i="3" s="1"/>
  <c r="L1057" i="3"/>
  <c r="M1057" i="3" s="1"/>
  <c r="L979" i="3"/>
  <c r="M979" i="3" s="1"/>
  <c r="L692" i="3"/>
  <c r="M692" i="3" s="1"/>
  <c r="L728" i="3"/>
  <c r="M728" i="3" s="1"/>
  <c r="L842" i="3"/>
  <c r="M842" i="3" s="1"/>
  <c r="L695" i="3"/>
  <c r="M695" i="3" s="1"/>
  <c r="L451" i="3"/>
  <c r="M451" i="3" s="1"/>
  <c r="L603" i="3"/>
  <c r="M603" i="3" s="1"/>
  <c r="L619" i="3"/>
  <c r="M619" i="3" s="1"/>
  <c r="L621" i="3"/>
  <c r="M621" i="3" s="1"/>
  <c r="L625" i="3"/>
  <c r="M625" i="3" s="1"/>
  <c r="L616" i="3"/>
  <c r="M616" i="3" s="1"/>
  <c r="L1705" i="3"/>
  <c r="M1705" i="3" s="1"/>
  <c r="T1519" i="3" l="1"/>
  <c r="T1516" i="3"/>
  <c r="T1529" i="3"/>
  <c r="T1464" i="3"/>
  <c r="O1748" i="3"/>
  <c r="T36" i="3" s="1"/>
  <c r="O1747" i="3"/>
  <c r="O1749" i="3" s="1"/>
  <c r="R2" i="3"/>
  <c r="Q2" i="3"/>
  <c r="Q73" i="3"/>
  <c r="R73" i="3"/>
  <c r="R154" i="3"/>
  <c r="Q154" i="3"/>
  <c r="Q207" i="3"/>
  <c r="R207" i="3"/>
  <c r="R194" i="3"/>
  <c r="Q194" i="3"/>
  <c r="Q150" i="3"/>
  <c r="R150" i="3"/>
  <c r="R202" i="3"/>
  <c r="Q202" i="3"/>
  <c r="Q186" i="3"/>
  <c r="R186" i="3"/>
  <c r="Q64" i="3"/>
  <c r="R64" i="3"/>
  <c r="R175" i="3"/>
  <c r="Q175" i="3"/>
  <c r="R99" i="3"/>
  <c r="Q99" i="3"/>
  <c r="Q41" i="3"/>
  <c r="R41" i="3"/>
  <c r="R201" i="3"/>
  <c r="Q201" i="3"/>
  <c r="Q168" i="3"/>
  <c r="R168" i="3"/>
  <c r="R89" i="3"/>
  <c r="Q89" i="3"/>
  <c r="Q122" i="3"/>
  <c r="R122" i="3"/>
  <c r="R181" i="3"/>
  <c r="Q181" i="3"/>
  <c r="R173" i="3"/>
  <c r="Q173" i="3"/>
  <c r="Q148" i="3"/>
  <c r="R148" i="3"/>
  <c r="R37" i="3"/>
  <c r="Q37" i="3"/>
  <c r="Q94" i="3"/>
  <c r="R94" i="3"/>
  <c r="Q196" i="3"/>
  <c r="R196" i="3"/>
  <c r="Q78" i="3"/>
  <c r="R78" i="3"/>
  <c r="R103" i="3"/>
  <c r="Q103" i="3"/>
  <c r="Q213" i="3"/>
  <c r="R213" i="3"/>
  <c r="Q165" i="3"/>
  <c r="R165" i="3"/>
  <c r="R216" i="3"/>
  <c r="Q216" i="3"/>
  <c r="Q152" i="3"/>
  <c r="R152" i="3"/>
  <c r="R180" i="3"/>
  <c r="Q180" i="3"/>
  <c r="Q177" i="3"/>
  <c r="R177" i="3"/>
  <c r="R167" i="3"/>
  <c r="Q167" i="3"/>
  <c r="Q60" i="3"/>
  <c r="R60" i="3"/>
  <c r="Q44" i="3"/>
  <c r="R44" i="3"/>
  <c r="Q232" i="3"/>
  <c r="R232" i="3"/>
  <c r="R204" i="3"/>
  <c r="Q204" i="3"/>
  <c r="R212" i="3"/>
  <c r="Q212" i="3"/>
  <c r="R108" i="3"/>
  <c r="Q108" i="3"/>
  <c r="R115" i="3"/>
  <c r="Q115" i="3"/>
  <c r="R199" i="3"/>
  <c r="Q199" i="3"/>
  <c r="Q159" i="3"/>
  <c r="R159" i="3"/>
  <c r="Q36" i="3"/>
  <c r="R36" i="3"/>
  <c r="R1396" i="3"/>
  <c r="Q1396" i="3"/>
  <c r="R1520" i="3"/>
  <c r="Q1520" i="3"/>
  <c r="R1407" i="3"/>
  <c r="Q1407" i="3"/>
  <c r="R1440" i="3"/>
  <c r="Q1440" i="3"/>
  <c r="R1517" i="3"/>
  <c r="Q1517" i="3"/>
  <c r="R1516" i="3"/>
  <c r="Q1516" i="3"/>
  <c r="R1502" i="3"/>
  <c r="Q1502" i="3"/>
  <c r="R1415" i="3"/>
  <c r="Q1415" i="3"/>
  <c r="R1527" i="3"/>
  <c r="Q1527" i="3"/>
  <c r="R1529" i="3"/>
  <c r="Q1529" i="3"/>
  <c r="M1747" i="3"/>
  <c r="R1422" i="3"/>
  <c r="Q1422" i="3"/>
  <c r="R1523" i="3"/>
  <c r="Q1523" i="3"/>
  <c r="R1465" i="3"/>
  <c r="Q1465" i="3"/>
  <c r="R1464" i="3"/>
  <c r="Q1464" i="3"/>
  <c r="R1400" i="3"/>
  <c r="Q1400" i="3"/>
  <c r="R1393" i="3"/>
  <c r="Q1393" i="3"/>
  <c r="R1409" i="3"/>
  <c r="Q1409" i="3"/>
  <c r="R1435" i="3"/>
  <c r="Q1435" i="3"/>
  <c r="R1519" i="3"/>
  <c r="Q1519" i="3"/>
  <c r="R1503" i="3"/>
  <c r="Q1503" i="3"/>
  <c r="R1425" i="3"/>
  <c r="Q1425" i="3"/>
  <c r="R1418" i="3"/>
  <c r="Q1418" i="3"/>
  <c r="R1528" i="3"/>
  <c r="Q1528" i="3"/>
  <c r="R1530" i="3"/>
  <c r="Q1530" i="3"/>
  <c r="R1421" i="3"/>
  <c r="Q1421" i="3"/>
  <c r="R1524" i="3"/>
  <c r="Q1524" i="3"/>
  <c r="R1405" i="3"/>
  <c r="Q1405" i="3"/>
  <c r="R1404" i="3"/>
  <c r="Q1404" i="3"/>
  <c r="R1399" i="3"/>
  <c r="Q1399" i="3"/>
  <c r="R1392" i="3"/>
  <c r="Q1392" i="3"/>
  <c r="T1718" i="3" l="1"/>
  <c r="T1688" i="3"/>
  <c r="T1673" i="3"/>
  <c r="T1636" i="3"/>
  <c r="T1571" i="3"/>
  <c r="T1668" i="3"/>
  <c r="T1648" i="3"/>
  <c r="T1601" i="3"/>
  <c r="T1669" i="3"/>
  <c r="T1731" i="3"/>
  <c r="T1584" i="3"/>
  <c r="T1537" i="3"/>
  <c r="T1627" i="3"/>
  <c r="T1573" i="3"/>
  <c r="T1600" i="3"/>
  <c r="T1671" i="3"/>
  <c r="T1644" i="3"/>
  <c r="T1737" i="3"/>
  <c r="T1567" i="3"/>
  <c r="T1651" i="3"/>
  <c r="T1719" i="3"/>
  <c r="T1549" i="3"/>
  <c r="T1605" i="3"/>
  <c r="T1683" i="3"/>
  <c r="T1613" i="3"/>
  <c r="T1695" i="3"/>
  <c r="T1560" i="3"/>
  <c r="T1709" i="3"/>
  <c r="T1635" i="3"/>
  <c r="T1727" i="3"/>
  <c r="T1647" i="3"/>
  <c r="T1612" i="3"/>
  <c r="T1705" i="3"/>
  <c r="T1561" i="3"/>
  <c r="T1564" i="3"/>
  <c r="T1556" i="3"/>
  <c r="T1593" i="3"/>
  <c r="T1653" i="3"/>
  <c r="T1696" i="3"/>
  <c r="T1557" i="3"/>
  <c r="T1576" i="3"/>
  <c r="T1640" i="3"/>
  <c r="T1620" i="3"/>
  <c r="T1715" i="3"/>
  <c r="T1639" i="3"/>
  <c r="T1676" i="3"/>
  <c r="T1630" i="3"/>
  <c r="T1707" i="3"/>
  <c r="T1745" i="3"/>
  <c r="T1583" i="3"/>
  <c r="T1626" i="3"/>
  <c r="T1700" i="3"/>
  <c r="T1674" i="3"/>
  <c r="T1686" i="3"/>
  <c r="T1552" i="3"/>
  <c r="T1604" i="3"/>
  <c r="T1599" i="3"/>
  <c r="T1641" i="3"/>
  <c r="T1733" i="3"/>
  <c r="T1649" i="3"/>
  <c r="T1546" i="3"/>
  <c r="T1694" i="3"/>
  <c r="T1739" i="3"/>
  <c r="T1722" i="3"/>
  <c r="T1554" i="3"/>
  <c r="T1619" i="3"/>
  <c r="T1662" i="3"/>
  <c r="T1710" i="3"/>
  <c r="T1746" i="3"/>
  <c r="T1590" i="3"/>
  <c r="T1670" i="3"/>
  <c r="T1562" i="3"/>
  <c r="T1578" i="3"/>
  <c r="T1602" i="3"/>
  <c r="T1650" i="3"/>
  <c r="T1682" i="3"/>
  <c r="T1708" i="3"/>
  <c r="T1744" i="3"/>
  <c r="T1539" i="3"/>
  <c r="T1569" i="3"/>
  <c r="T1609" i="3"/>
  <c r="T1637" i="3"/>
  <c r="T1592" i="3"/>
  <c r="T1625" i="3"/>
  <c r="T1660" i="3"/>
  <c r="T1680" i="3"/>
  <c r="T1577" i="3"/>
  <c r="T1547" i="3"/>
  <c r="T1623" i="3"/>
  <c r="T1691" i="3"/>
  <c r="T1565" i="3"/>
  <c r="T1587" i="3"/>
  <c r="T1536" i="3"/>
  <c r="T1572" i="3"/>
  <c r="T1589" i="3"/>
  <c r="T1703" i="3"/>
  <c r="T1545" i="3"/>
  <c r="T1617" i="3"/>
  <c r="T1535" i="3"/>
  <c r="U1535" i="3" s="1"/>
  <c r="T1624" i="3"/>
  <c r="T1735" i="3"/>
  <c r="T1723" i="3"/>
  <c r="T1555" i="3"/>
  <c r="T1585" i="3"/>
  <c r="T1657" i="3"/>
  <c r="T1553" i="3"/>
  <c r="T1581" i="3"/>
  <c r="T1629" i="3"/>
  <c r="T1575" i="3"/>
  <c r="T1607" i="3"/>
  <c r="T1725" i="3"/>
  <c r="T1588" i="3"/>
  <c r="T1711" i="3"/>
  <c r="T1656" i="3"/>
  <c r="T1729" i="3"/>
  <c r="T1652" i="3"/>
  <c r="T1741" i="3"/>
  <c r="T1701" i="3"/>
  <c r="T1541" i="3"/>
  <c r="T1621" i="3"/>
  <c r="T1631" i="3"/>
  <c r="T1655" i="3"/>
  <c r="T1675" i="3"/>
  <c r="T1721" i="3"/>
  <c r="T1543" i="3"/>
  <c r="T1568" i="3"/>
  <c r="T1661" i="3"/>
  <c r="T1615" i="3"/>
  <c r="T1677" i="3"/>
  <c r="T1559" i="3"/>
  <c r="T1678" i="3"/>
  <c r="T1702" i="3"/>
  <c r="T1706" i="3"/>
  <c r="T1582" i="3"/>
  <c r="T1628" i="3"/>
  <c r="T1591" i="3"/>
  <c r="T1679" i="3"/>
  <c r="T1646" i="3"/>
  <c r="T1574" i="3"/>
  <c r="T1540" i="3"/>
  <c r="T1663" i="3"/>
  <c r="T1579" i="3"/>
  <c r="T1672" i="3"/>
  <c r="T1643" i="3"/>
  <c r="T1687" i="3"/>
  <c r="T1606" i="3"/>
  <c r="T1736" i="3"/>
  <c r="T1724" i="3"/>
  <c r="T1548" i="3"/>
  <c r="T1566" i="3"/>
  <c r="T1632" i="3"/>
  <c r="T1685" i="3"/>
  <c r="T1614" i="3"/>
  <c r="T1542" i="3"/>
  <c r="T1622" i="3"/>
  <c r="T1538" i="3"/>
  <c r="T1570" i="3"/>
  <c r="T1594" i="3"/>
  <c r="T1610" i="3"/>
  <c r="T1666" i="3"/>
  <c r="T1690" i="3"/>
  <c r="T1728" i="3"/>
  <c r="T1563" i="3"/>
  <c r="T1544" i="3"/>
  <c r="T1633" i="3"/>
  <c r="T1616" i="3"/>
  <c r="T1681" i="3"/>
  <c r="T1611" i="3"/>
  <c r="T1664" i="3"/>
  <c r="T1689" i="3"/>
  <c r="T1550" i="3"/>
  <c r="T1634" i="3"/>
  <c r="T1642" i="3"/>
  <c r="T1558" i="3"/>
  <c r="T1732" i="3"/>
  <c r="T1743" i="3"/>
  <c r="T1692" i="3"/>
  <c r="T1618" i="3"/>
  <c r="T1684" i="3"/>
  <c r="T1586" i="3"/>
  <c r="T1596" i="3"/>
  <c r="T1659" i="3"/>
  <c r="T1713" i="3"/>
  <c r="T1720" i="3"/>
  <c r="T1734" i="3"/>
  <c r="T1654" i="3"/>
  <c r="T1730" i="3"/>
  <c r="T1714" i="3"/>
  <c r="T1608" i="3"/>
  <c r="T1667" i="3"/>
  <c r="T1603" i="3"/>
  <c r="T1717" i="3"/>
  <c r="T1645" i="3"/>
  <c r="T1665" i="3"/>
  <c r="T1693" i="3"/>
  <c r="T1698" i="3"/>
  <c r="T1658" i="3"/>
  <c r="T1740" i="3"/>
  <c r="T1738" i="3"/>
  <c r="T1716" i="3"/>
  <c r="T1742" i="3"/>
  <c r="T1580" i="3"/>
  <c r="T1595" i="3"/>
  <c r="T1551" i="3"/>
  <c r="T1597" i="3"/>
  <c r="T1712" i="3"/>
  <c r="T1699" i="3"/>
  <c r="T1704" i="3"/>
  <c r="T1697" i="3"/>
  <c r="T1638" i="3"/>
  <c r="T1726" i="3"/>
  <c r="T1598" i="3"/>
  <c r="T1393" i="3"/>
  <c r="T1523" i="3"/>
  <c r="T1415" i="3"/>
  <c r="T1440" i="3"/>
  <c r="T1396" i="3"/>
  <c r="T1400" i="3"/>
  <c r="T1465" i="3"/>
  <c r="T1422" i="3"/>
  <c r="T1527" i="3"/>
  <c r="T1502" i="3"/>
  <c r="T1517" i="3"/>
  <c r="T1407" i="3"/>
  <c r="T1435" i="3"/>
  <c r="T1392" i="3"/>
  <c r="T1404" i="3"/>
  <c r="T1524" i="3"/>
  <c r="T1530" i="3"/>
  <c r="T1418" i="3"/>
  <c r="T1503" i="3"/>
  <c r="T1472" i="3"/>
  <c r="T1478" i="3"/>
  <c r="T1479" i="3"/>
  <c r="T1494" i="3"/>
  <c r="T1458" i="3"/>
  <c r="T1487" i="3"/>
  <c r="T1499" i="3"/>
  <c r="T1511" i="3"/>
  <c r="T1449" i="3"/>
  <c r="T1452" i="3"/>
  <c r="T1414" i="3"/>
  <c r="T1416" i="3"/>
  <c r="T1462" i="3"/>
  <c r="T1531" i="3"/>
  <c r="T1489" i="3"/>
  <c r="T1485" i="3"/>
  <c r="T1455" i="3"/>
  <c r="T1441" i="3"/>
  <c r="T1437" i="3"/>
  <c r="T1424" i="3"/>
  <c r="T1512" i="3"/>
  <c r="T1450" i="3"/>
  <c r="T1483" i="3"/>
  <c r="T1477" i="3"/>
  <c r="T1476" i="3"/>
  <c r="T1495" i="3"/>
  <c r="T1482" i="3"/>
  <c r="T1498" i="3"/>
  <c r="T1451" i="3"/>
  <c r="T1474" i="3"/>
  <c r="T1412" i="3"/>
  <c r="T1402" i="3"/>
  <c r="T1406" i="3"/>
  <c r="T1395" i="3"/>
  <c r="T1431" i="3"/>
  <c r="T1463" i="3"/>
  <c r="T1461" i="3"/>
  <c r="T1397" i="3"/>
  <c r="T1525" i="3"/>
  <c r="T1521" i="3"/>
  <c r="T1500" i="3"/>
  <c r="T1408" i="3"/>
  <c r="T1484" i="3"/>
  <c r="T1514" i="3"/>
  <c r="T1467" i="3"/>
  <c r="T1470" i="3"/>
  <c r="T1438" i="3"/>
  <c r="T1429" i="3"/>
  <c r="T1423" i="3"/>
  <c r="T1473" i="3"/>
  <c r="T1413" i="3"/>
  <c r="T1398" i="3"/>
  <c r="T1454" i="3"/>
  <c r="T1401" i="3"/>
  <c r="T1522" i="3"/>
  <c r="T1515" i="3"/>
  <c r="T1439" i="3"/>
  <c r="T1428" i="3"/>
  <c r="T1384" i="3"/>
  <c r="T1379" i="3"/>
  <c r="T1373" i="3"/>
  <c r="T1389" i="3"/>
  <c r="T1370" i="3"/>
  <c r="T1365" i="3"/>
  <c r="T1360" i="3"/>
  <c r="T1366" i="3"/>
  <c r="T1371" i="3"/>
  <c r="T1367" i="3"/>
  <c r="T1382" i="3"/>
  <c r="T1375" i="3"/>
  <c r="T1383" i="3"/>
  <c r="T1387" i="3"/>
  <c r="T1272" i="3"/>
  <c r="T1150" i="3"/>
  <c r="T1338" i="3"/>
  <c r="T873" i="3"/>
  <c r="T845" i="3"/>
  <c r="T725" i="3"/>
  <c r="T881" i="3"/>
  <c r="T972" i="3"/>
  <c r="T900" i="3"/>
  <c r="T1026" i="3"/>
  <c r="T1047" i="3"/>
  <c r="T791" i="3"/>
  <c r="T937" i="3"/>
  <c r="T930" i="3"/>
  <c r="T979" i="3"/>
  <c r="T689" i="3"/>
  <c r="T924" i="3"/>
  <c r="T1010" i="3"/>
  <c r="T1191" i="3"/>
  <c r="T986" i="3"/>
  <c r="T679" i="3"/>
  <c r="T1326" i="3"/>
  <c r="T1299" i="3"/>
  <c r="T1354" i="3"/>
  <c r="T1239" i="3"/>
  <c r="T1297" i="3"/>
  <c r="T1245" i="3"/>
  <c r="T1207" i="3"/>
  <c r="T1063" i="3"/>
  <c r="T866" i="3"/>
  <c r="T1192" i="3"/>
  <c r="T1210" i="3"/>
  <c r="T1052" i="3"/>
  <c r="T794" i="3"/>
  <c r="T786" i="3"/>
  <c r="T778" i="3"/>
  <c r="T770" i="3"/>
  <c r="T762" i="3"/>
  <c r="T754" i="3"/>
  <c r="T746" i="3"/>
  <c r="T738" i="3"/>
  <c r="T730" i="3"/>
  <c r="T722" i="3"/>
  <c r="T714" i="3"/>
  <c r="T706" i="3"/>
  <c r="T698" i="3"/>
  <c r="T690" i="3"/>
  <c r="T682" i="3"/>
  <c r="T674" i="3"/>
  <c r="T666" i="3"/>
  <c r="T658" i="3"/>
  <c r="T650" i="3"/>
  <c r="T642" i="3"/>
  <c r="T634" i="3"/>
  <c r="T609" i="3"/>
  <c r="T597" i="3"/>
  <c r="T586" i="3"/>
  <c r="T556" i="3"/>
  <c r="T506" i="3"/>
  <c r="T508" i="3"/>
  <c r="T514" i="3"/>
  <c r="T518" i="3"/>
  <c r="T592" i="3"/>
  <c r="T496" i="3"/>
  <c r="T474" i="3"/>
  <c r="T530" i="3"/>
  <c r="T490" i="3"/>
  <c r="T550" i="3"/>
  <c r="T614" i="3"/>
  <c r="T478" i="3"/>
  <c r="T606" i="3"/>
  <c r="T516" i="3"/>
  <c r="T544" i="3"/>
  <c r="T500" i="3"/>
  <c r="T502" i="3"/>
  <c r="T472" i="3"/>
  <c r="U472" i="3" s="1"/>
  <c r="T387" i="3"/>
  <c r="T397" i="3"/>
  <c r="T441" i="3"/>
  <c r="T442" i="3"/>
  <c r="T432" i="3"/>
  <c r="T1493" i="3"/>
  <c r="T1433" i="3"/>
  <c r="T1508" i="3"/>
  <c r="T1518" i="3"/>
  <c r="T1466" i="3"/>
  <c r="T1497" i="3"/>
  <c r="T1481" i="3"/>
  <c r="T1457" i="3"/>
  <c r="T1411" i="3"/>
  <c r="T1480" i="3"/>
  <c r="T1394" i="3"/>
  <c r="T1445" i="3"/>
  <c r="T1390" i="3"/>
  <c r="U1390" i="3" s="1"/>
  <c r="T1526" i="3"/>
  <c r="T1488" i="3"/>
  <c r="T1442" i="3"/>
  <c r="T1510" i="3"/>
  <c r="T1468" i="3"/>
  <c r="T1491" i="3"/>
  <c r="T1430" i="3"/>
  <c r="T1380" i="3"/>
  <c r="T1513" i="3"/>
  <c r="T1459" i="3"/>
  <c r="T1469" i="3"/>
  <c r="T1492" i="3"/>
  <c r="T1507" i="3"/>
  <c r="T1496" i="3"/>
  <c r="T1501" i="3"/>
  <c r="T1486" i="3"/>
  <c r="T1456" i="3"/>
  <c r="T1448" i="3"/>
  <c r="T1410" i="3"/>
  <c r="T1506" i="3"/>
  <c r="T1434" i="3"/>
  <c r="T1432" i="3"/>
  <c r="T1446" i="3"/>
  <c r="T1453" i="3"/>
  <c r="T1391" i="3"/>
  <c r="T1534" i="3"/>
  <c r="T1532" i="3"/>
  <c r="T1426" i="3"/>
  <c r="T1447" i="3"/>
  <c r="T1504" i="3"/>
  <c r="T1509" i="3"/>
  <c r="T1443" i="3"/>
  <c r="T1444" i="3"/>
  <c r="T1490" i="3"/>
  <c r="T1436" i="3"/>
  <c r="T1419" i="3"/>
  <c r="T1427" i="3"/>
  <c r="T1475" i="3"/>
  <c r="T1403" i="3"/>
  <c r="T1417" i="3"/>
  <c r="T1460" i="3"/>
  <c r="T1533" i="3"/>
  <c r="T1505" i="3"/>
  <c r="T1471" i="3"/>
  <c r="T1420" i="3"/>
  <c r="T1388" i="3"/>
  <c r="T1377" i="3"/>
  <c r="T1385" i="3"/>
  <c r="T1381" i="3"/>
  <c r="T1372" i="3"/>
  <c r="T1368" i="3"/>
  <c r="T1362" i="3"/>
  <c r="T1363" i="3"/>
  <c r="T1364" i="3"/>
  <c r="T1376" i="3"/>
  <c r="T1369" i="3"/>
  <c r="T1374" i="3"/>
  <c r="T1378" i="3"/>
  <c r="T1386" i="3"/>
  <c r="T1361" i="3"/>
  <c r="U1361" i="3" s="1"/>
  <c r="T1075" i="3"/>
  <c r="T1183" i="3"/>
  <c r="T1076" i="3"/>
  <c r="T955" i="3"/>
  <c r="T751" i="3"/>
  <c r="T854" i="3"/>
  <c r="T915" i="3"/>
  <c r="T803" i="3"/>
  <c r="T1016" i="3"/>
  <c r="T995" i="3"/>
  <c r="T653" i="3"/>
  <c r="T948" i="3"/>
  <c r="T945" i="3"/>
  <c r="T935" i="3"/>
  <c r="T669" i="3"/>
  <c r="T1032" i="3"/>
  <c r="T812" i="3"/>
  <c r="T1099" i="3"/>
  <c r="T741" i="3"/>
  <c r="T1050" i="3"/>
  <c r="T1342" i="3"/>
  <c r="T1305" i="3"/>
  <c r="T1223" i="3"/>
  <c r="T1330" i="3"/>
  <c r="T1167" i="3"/>
  <c r="T1156" i="3"/>
  <c r="T1249" i="3"/>
  <c r="T1196" i="3"/>
  <c r="T1080" i="3"/>
  <c r="T1054" i="3"/>
  <c r="T1142" i="3"/>
  <c r="T1114" i="3"/>
  <c r="T1060" i="3"/>
  <c r="T790" i="3"/>
  <c r="T782" i="3"/>
  <c r="T774" i="3"/>
  <c r="T766" i="3"/>
  <c r="T758" i="3"/>
  <c r="T750" i="3"/>
  <c r="T742" i="3"/>
  <c r="T734" i="3"/>
  <c r="T726" i="3"/>
  <c r="T718" i="3"/>
  <c r="T710" i="3"/>
  <c r="T702" i="3"/>
  <c r="T694" i="3"/>
  <c r="T686" i="3"/>
  <c r="T678" i="3"/>
  <c r="T670" i="3"/>
  <c r="T662" i="3"/>
  <c r="T654" i="3"/>
  <c r="T646" i="3"/>
  <c r="T638" i="3"/>
  <c r="T630" i="3"/>
  <c r="T593" i="3"/>
  <c r="T529" i="3"/>
  <c r="T510" i="3"/>
  <c r="T588" i="3"/>
  <c r="T572" i="3"/>
  <c r="T554" i="3"/>
  <c r="T566" i="3"/>
  <c r="T520" i="3"/>
  <c r="T538" i="3"/>
  <c r="T480" i="3"/>
  <c r="T574" i="3"/>
  <c r="T620" i="3"/>
  <c r="T580" i="3"/>
  <c r="T604" i="3"/>
  <c r="T584" i="3"/>
  <c r="T546" i="3"/>
  <c r="T564" i="3"/>
  <c r="T536" i="3"/>
  <c r="T542" i="3"/>
  <c r="T482" i="3"/>
  <c r="T492" i="3"/>
  <c r="T443" i="3"/>
  <c r="T382" i="3"/>
  <c r="T386" i="3"/>
  <c r="T424" i="3"/>
  <c r="T427" i="3"/>
  <c r="T381" i="3"/>
  <c r="U381" i="3" s="1"/>
  <c r="U382" i="3" s="1"/>
  <c r="T504" i="3"/>
  <c r="T537" i="3"/>
  <c r="T589" i="3"/>
  <c r="T632" i="3"/>
  <c r="T640" i="3"/>
  <c r="T648" i="3"/>
  <c r="T656" i="3"/>
  <c r="T664" i="3"/>
  <c r="T672" i="3"/>
  <c r="T680" i="3"/>
  <c r="T688" i="3"/>
  <c r="T696" i="3"/>
  <c r="T704" i="3"/>
  <c r="T712" i="3"/>
  <c r="T720" i="3"/>
  <c r="T728" i="3"/>
  <c r="T736" i="3"/>
  <c r="T744" i="3"/>
  <c r="T752" i="3"/>
  <c r="T760" i="3"/>
  <c r="T768" i="3"/>
  <c r="T776" i="3"/>
  <c r="T784" i="3"/>
  <c r="T792" i="3"/>
  <c r="T1172" i="3"/>
  <c r="T1186" i="3"/>
  <c r="T1086" i="3"/>
  <c r="T721" i="3"/>
  <c r="T1166" i="3"/>
  <c r="T1190" i="3"/>
  <c r="T1259" i="3"/>
  <c r="T1283" i="3"/>
  <c r="T1170" i="3"/>
  <c r="T1221" i="3"/>
  <c r="T1301" i="3"/>
  <c r="T1079" i="3"/>
  <c r="T1048" i="3"/>
  <c r="T1062" i="3"/>
  <c r="T1023" i="3"/>
  <c r="T1130" i="3"/>
  <c r="T976" i="3"/>
  <c r="T671" i="3"/>
  <c r="T1008" i="3"/>
  <c r="T919" i="3"/>
  <c r="T939" i="3"/>
  <c r="T715" i="3"/>
  <c r="T994" i="3"/>
  <c r="T1003" i="3"/>
  <c r="T841" i="3"/>
  <c r="T808" i="3"/>
  <c r="T882" i="3"/>
  <c r="T896" i="3"/>
  <c r="T1022" i="3"/>
  <c r="T960" i="3"/>
  <c r="T1216" i="3"/>
  <c r="T1118" i="3"/>
  <c r="T1068" i="3"/>
  <c r="T897" i="3"/>
  <c r="T633" i="3"/>
  <c r="T908" i="3"/>
  <c r="T886" i="3"/>
  <c r="T1162" i="3"/>
  <c r="T789" i="3"/>
  <c r="T833" i="3"/>
  <c r="T832" i="3"/>
  <c r="T681" i="3"/>
  <c r="T818" i="3"/>
  <c r="T848" i="3"/>
  <c r="T1091" i="3"/>
  <c r="T853" i="3"/>
  <c r="T876" i="3"/>
  <c r="T912" i="3"/>
  <c r="T1148" i="3"/>
  <c r="T942" i="3"/>
  <c r="T1143" i="3"/>
  <c r="T1195" i="3"/>
  <c r="T1116" i="3"/>
  <c r="T1083" i="3"/>
  <c r="T1112" i="3"/>
  <c r="T943" i="3"/>
  <c r="T1108" i="3"/>
  <c r="T631" i="3"/>
  <c r="T673" i="3"/>
  <c r="T655" i="3"/>
  <c r="T1182" i="3"/>
  <c r="T840" i="3"/>
  <c r="T825" i="3"/>
  <c r="T745" i="3"/>
  <c r="T1169" i="3"/>
  <c r="T1209" i="3"/>
  <c r="T1270" i="3"/>
  <c r="T1347" i="3"/>
  <c r="T1327" i="3"/>
  <c r="T1065" i="3"/>
  <c r="T1025" i="3"/>
  <c r="T763" i="3"/>
  <c r="T1145" i="3"/>
  <c r="T1250" i="3"/>
  <c r="T1271" i="3"/>
  <c r="T1218" i="3"/>
  <c r="T1042" i="3"/>
  <c r="T978" i="3"/>
  <c r="T649" i="3"/>
  <c r="T727" i="3"/>
  <c r="T723" i="3"/>
  <c r="T806" i="3"/>
  <c r="T1233" i="3"/>
  <c r="T1289" i="3"/>
  <c r="T1277" i="3"/>
  <c r="T1356" i="3"/>
  <c r="T1336" i="3"/>
  <c r="T1287" i="3"/>
  <c r="T1348" i="3"/>
  <c r="T683" i="3"/>
  <c r="T1051" i="3"/>
  <c r="T757" i="3"/>
  <c r="T891" i="3"/>
  <c r="T814" i="3"/>
  <c r="T899" i="3"/>
  <c r="T929" i="3"/>
  <c r="T936" i="3"/>
  <c r="T747" i="3"/>
  <c r="T980" i="3"/>
  <c r="T962" i="3"/>
  <c r="T1021" i="3"/>
  <c r="T940" i="3"/>
  <c r="T797" i="3"/>
  <c r="T885" i="3"/>
  <c r="T910" i="3"/>
  <c r="T779" i="3"/>
  <c r="T959" i="3"/>
  <c r="T1310" i="3"/>
  <c r="T1127" i="3"/>
  <c r="T775" i="3"/>
  <c r="T641" i="3"/>
  <c r="T1110" i="3"/>
  <c r="T931" i="3"/>
  <c r="T1097" i="3"/>
  <c r="T773" i="3"/>
  <c r="T1034" i="3"/>
  <c r="T1163" i="3"/>
  <c r="T851" i="3"/>
  <c r="T850" i="3"/>
  <c r="T703" i="3"/>
  <c r="T862" i="3"/>
  <c r="T838" i="3"/>
  <c r="T871" i="3"/>
  <c r="T913" i="3"/>
  <c r="T701" i="3"/>
  <c r="T1014" i="3"/>
  <c r="T870" i="3"/>
  <c r="T956" i="3"/>
  <c r="T802" i="3"/>
  <c r="T823" i="3"/>
  <c r="T846" i="3"/>
  <c r="T1043" i="3"/>
  <c r="T1115" i="3"/>
  <c r="T1201" i="3"/>
  <c r="T1313" i="3"/>
  <c r="T1315" i="3"/>
  <c r="T1255" i="3"/>
  <c r="T1318" i="3"/>
  <c r="T643" i="3"/>
  <c r="T830" i="3"/>
  <c r="T1180" i="3"/>
  <c r="T828" i="3"/>
  <c r="T1069" i="3"/>
  <c r="T1117" i="3"/>
  <c r="T1133" i="3"/>
  <c r="T612" i="3"/>
  <c r="T549" i="3"/>
  <c r="T541" i="3"/>
  <c r="T581" i="3"/>
  <c r="T636" i="3"/>
  <c r="T644" i="3"/>
  <c r="T652" i="3"/>
  <c r="T660" i="3"/>
  <c r="T668" i="3"/>
  <c r="T676" i="3"/>
  <c r="T684" i="3"/>
  <c r="T692" i="3"/>
  <c r="T700" i="3"/>
  <c r="T708" i="3"/>
  <c r="T716" i="3"/>
  <c r="T724" i="3"/>
  <c r="T732" i="3"/>
  <c r="T740" i="3"/>
  <c r="T748" i="3"/>
  <c r="T756" i="3"/>
  <c r="T764" i="3"/>
  <c r="T772" i="3"/>
  <c r="T780" i="3"/>
  <c r="T788" i="3"/>
  <c r="T1046" i="3"/>
  <c r="T1212" i="3"/>
  <c r="T1214" i="3"/>
  <c r="T1006" i="3"/>
  <c r="T1067" i="3"/>
  <c r="T1229" i="3"/>
  <c r="T1188" i="3"/>
  <c r="T1123" i="3"/>
  <c r="T1158" i="3"/>
  <c r="T1257" i="3"/>
  <c r="T1303" i="3"/>
  <c r="T1324" i="3"/>
  <c r="T1291" i="3"/>
  <c r="T907" i="3"/>
  <c r="T1084" i="3"/>
  <c r="T1102" i="3"/>
  <c r="T753" i="3"/>
  <c r="T813" i="3"/>
  <c r="T713" i="3"/>
  <c r="T928" i="3"/>
  <c r="T947" i="3"/>
  <c r="T950" i="3"/>
  <c r="T966" i="3"/>
  <c r="T1020" i="3"/>
  <c r="T861" i="3"/>
  <c r="T880" i="3"/>
  <c r="T951" i="3"/>
  <c r="T816" i="3"/>
  <c r="T769" i="3"/>
  <c r="T921" i="3"/>
  <c r="T1267" i="3"/>
  <c r="T1119" i="3"/>
  <c r="T992" i="3"/>
  <c r="T944" i="3"/>
  <c r="T1111" i="3"/>
  <c r="T1082" i="3"/>
  <c r="T844" i="3"/>
  <c r="T1011" i="3"/>
  <c r="T1104" i="3"/>
  <c r="T821" i="3"/>
  <c r="T783" i="3"/>
  <c r="T855" i="3"/>
  <c r="T883" i="3"/>
  <c r="T996" i="3"/>
  <c r="T852" i="3"/>
  <c r="T1004" i="3"/>
  <c r="T911" i="3"/>
  <c r="T1293" i="3"/>
  <c r="T739" i="3"/>
  <c r="T1103" i="3"/>
  <c r="T1134" i="3"/>
  <c r="T1038" i="3"/>
  <c r="T964" i="3"/>
  <c r="T1202" i="3"/>
  <c r="T1136" i="3"/>
  <c r="T1219" i="3"/>
  <c r="T1204" i="3"/>
  <c r="T1273" i="3"/>
  <c r="T810" i="3"/>
  <c r="T787" i="3"/>
  <c r="T1178" i="3"/>
  <c r="T867" i="3"/>
  <c r="T836" i="3"/>
  <c r="T675" i="3"/>
  <c r="T1339" i="3"/>
  <c r="T1343" i="3"/>
  <c r="T1335" i="3"/>
  <c r="T1319" i="3"/>
  <c r="T1009" i="3"/>
  <c r="T1017" i="3"/>
  <c r="T1217" i="3"/>
  <c r="T1089" i="3"/>
  <c r="T843" i="3"/>
  <c r="T1057" i="3"/>
  <c r="T1030" i="3"/>
  <c r="T1175" i="3"/>
  <c r="T1135" i="3"/>
  <c r="T781" i="3"/>
  <c r="T1206" i="3"/>
  <c r="T809" i="3"/>
  <c r="T1246" i="3"/>
  <c r="T889" i="3"/>
  <c r="T1211" i="3"/>
  <c r="T1225" i="3"/>
  <c r="T1295" i="3"/>
  <c r="T1332" i="3"/>
  <c r="T1340" i="3"/>
  <c r="T1307" i="3"/>
  <c r="T1320" i="3"/>
  <c r="T1344" i="3"/>
  <c r="T1064" i="3"/>
  <c r="T1088" i="3"/>
  <c r="T663" i="3"/>
  <c r="T989" i="3"/>
  <c r="T691" i="3"/>
  <c r="T934" i="3"/>
  <c r="T920" i="3"/>
  <c r="T952" i="3"/>
  <c r="T697" i="3"/>
  <c r="T958" i="3"/>
  <c r="T974" i="3"/>
  <c r="T1015" i="3"/>
  <c r="T815" i="3"/>
  <c r="T953" i="3"/>
  <c r="T894" i="3"/>
  <c r="T993" i="3"/>
  <c r="T1024" i="3"/>
  <c r="T933" i="3"/>
  <c r="T1137" i="3"/>
  <c r="T1184" i="3"/>
  <c r="T957" i="3"/>
  <c r="T890" i="3"/>
  <c r="T1128" i="3"/>
  <c r="T904" i="3"/>
  <c r="T798" i="3"/>
  <c r="T963" i="3"/>
  <c r="T982" i="3"/>
  <c r="T785" i="3"/>
  <c r="T898" i="3"/>
  <c r="T991" i="3"/>
  <c r="T865" i="3"/>
  <c r="T1351" i="3"/>
  <c r="T707" i="3"/>
  <c r="T1037" i="3"/>
  <c r="T983" i="3"/>
  <c r="T868" i="3"/>
  <c r="T1028" i="3"/>
  <c r="T717" i="3"/>
  <c r="T856" i="3"/>
  <c r="T875" i="3"/>
  <c r="T1071" i="3"/>
  <c r="T1124" i="3"/>
  <c r="T1098" i="3"/>
  <c r="T1200" i="3"/>
  <c r="T1144" i="3"/>
  <c r="T1185" i="3"/>
  <c r="T1203" i="3"/>
  <c r="T1281" i="3"/>
  <c r="T777" i="3"/>
  <c r="T819" i="3"/>
  <c r="T1312" i="3"/>
  <c r="T1085" i="3"/>
  <c r="T1033" i="3"/>
  <c r="T1129" i="3"/>
  <c r="T1222" i="3"/>
  <c r="T1238" i="3"/>
  <c r="T1266" i="3"/>
  <c r="T1298" i="3"/>
  <c r="T1355" i="3"/>
  <c r="T731" i="3"/>
  <c r="T859" i="3"/>
  <c r="T965" i="3"/>
  <c r="T997" i="3"/>
  <c r="T1013" i="3"/>
  <c r="T1077" i="3"/>
  <c r="T1141" i="3"/>
  <c r="T1173" i="3"/>
  <c r="T1205" i="3"/>
  <c r="T1228" i="3"/>
  <c r="T1244" i="3"/>
  <c r="T1276" i="3"/>
  <c r="T1292" i="3"/>
  <c r="T1308" i="3"/>
  <c r="T1325" i="3"/>
  <c r="T1341" i="3"/>
  <c r="T1357" i="3"/>
  <c r="T1149" i="3"/>
  <c r="T1213" i="3"/>
  <c r="T1232" i="3"/>
  <c r="T1248" i="3"/>
  <c r="T1264" i="3"/>
  <c r="T1296" i="3"/>
  <c r="T1321" i="3"/>
  <c r="T1337" i="3"/>
  <c r="T1058" i="3"/>
  <c r="T1078" i="3"/>
  <c r="T869" i="3"/>
  <c r="T1012" i="3"/>
  <c r="T892" i="3"/>
  <c r="T639" i="3"/>
  <c r="T749" i="3"/>
  <c r="T1227" i="3"/>
  <c r="T1055" i="3"/>
  <c r="T834" i="3"/>
  <c r="T863" i="3"/>
  <c r="T1070" i="3"/>
  <c r="T906" i="3"/>
  <c r="T807" i="3"/>
  <c r="T1094" i="3"/>
  <c r="T984" i="3"/>
  <c r="T1066" i="3"/>
  <c r="T1122" i="3"/>
  <c r="T1241" i="3"/>
  <c r="T1139" i="3"/>
  <c r="T1237" i="3"/>
  <c r="T1072" i="3"/>
  <c r="T1311" i="3"/>
  <c r="T1317" i="3"/>
  <c r="T1155" i="3"/>
  <c r="T719" i="3"/>
  <c r="T824" i="3"/>
  <c r="T659" i="3"/>
  <c r="T998" i="3"/>
  <c r="T847" i="3"/>
  <c r="T801" i="3"/>
  <c r="T765" i="3"/>
  <c r="T1282" i="3"/>
  <c r="T1323" i="3"/>
  <c r="T1359" i="3"/>
  <c r="T1230" i="3"/>
  <c r="T1073" i="3"/>
  <c r="T941" i="3"/>
  <c r="T1274" i="3"/>
  <c r="T893" i="3"/>
  <c r="T1306" i="3"/>
  <c r="T1177" i="3"/>
  <c r="T1174" i="3"/>
  <c r="T1105" i="3"/>
  <c r="T1254" i="3"/>
  <c r="T1045" i="3"/>
  <c r="T637" i="3"/>
  <c r="T835" i="3"/>
  <c r="T864" i="3"/>
  <c r="T1187" i="3"/>
  <c r="T1247" i="3"/>
  <c r="T1275" i="3"/>
  <c r="T1350" i="3"/>
  <c r="T1147" i="3"/>
  <c r="T1358" i="3"/>
  <c r="T1352" i="3"/>
  <c r="T1322" i="3"/>
  <c r="T1095" i="3"/>
  <c r="T1027" i="3"/>
  <c r="T661" i="3"/>
  <c r="T977" i="3"/>
  <c r="T711" i="3"/>
  <c r="T1160" i="3"/>
  <c r="T918" i="3"/>
  <c r="T938" i="3"/>
  <c r="T685" i="3"/>
  <c r="T999" i="3"/>
  <c r="T973" i="3"/>
  <c r="T1007" i="3"/>
  <c r="T857" i="3"/>
  <c r="T914" i="3"/>
  <c r="T755" i="3"/>
  <c r="T905" i="3"/>
  <c r="T1039" i="3"/>
  <c r="T858" i="3"/>
  <c r="T1235" i="3"/>
  <c r="T1100" i="3"/>
  <c r="T922" i="3"/>
  <c r="T1090" i="3"/>
  <c r="T1243" i="3"/>
  <c r="T1096" i="3"/>
  <c r="T699" i="3"/>
  <c r="T887" i="3"/>
  <c r="T925" i="3"/>
  <c r="T1036" i="3"/>
  <c r="T888" i="3"/>
  <c r="T693" i="3"/>
  <c r="T874" i="3"/>
  <c r="T990" i="3"/>
  <c r="T1107" i="3"/>
  <c r="T884" i="3"/>
  <c r="T805" i="3"/>
  <c r="T1263" i="3"/>
  <c r="T1019" i="3"/>
  <c r="T877" i="3"/>
  <c r="T1035" i="3"/>
  <c r="T826" i="3"/>
  <c r="T829" i="3"/>
  <c r="T1199" i="3"/>
  <c r="T954" i="3"/>
  <c r="T1113" i="3"/>
  <c r="T971" i="3"/>
  <c r="T1041" i="3"/>
  <c r="T1168" i="3"/>
  <c r="T1331" i="3"/>
  <c r="T657" i="3"/>
  <c r="T811" i="3"/>
  <c r="T665" i="3"/>
  <c r="T988" i="3"/>
  <c r="T820" i="3"/>
  <c r="T1345" i="3"/>
  <c r="T1093" i="3"/>
  <c r="T1125" i="3"/>
  <c r="T1181" i="3"/>
  <c r="T475" i="3"/>
  <c r="T489" i="3"/>
  <c r="T501" i="3"/>
  <c r="T513" i="3"/>
  <c r="T533" i="3"/>
  <c r="T557" i="3"/>
  <c r="T565" i="3"/>
  <c r="T577" i="3"/>
  <c r="T601" i="3"/>
  <c r="T613" i="3"/>
  <c r="T483" i="3"/>
  <c r="T491" i="3"/>
  <c r="T499" i="3"/>
  <c r="T507" i="3"/>
  <c r="T515" i="3"/>
  <c r="T523" i="3"/>
  <c r="T531" i="3"/>
  <c r="T539" i="3"/>
  <c r="T547" i="3"/>
  <c r="T555" i="3"/>
  <c r="T563" i="3"/>
  <c r="T571" i="3"/>
  <c r="T579" i="3"/>
  <c r="T587" i="3"/>
  <c r="T595" i="3"/>
  <c r="T603" i="3"/>
  <c r="T647" i="3"/>
  <c r="T687" i="3"/>
  <c r="T761" i="3"/>
  <c r="T1165" i="3"/>
  <c r="T628" i="3"/>
  <c r="U628" i="3" s="1"/>
  <c r="T1049" i="3"/>
  <c r="T1153" i="3"/>
  <c r="T1234" i="3"/>
  <c r="T1258" i="3"/>
  <c r="T1294" i="3"/>
  <c r="T1302" i="3"/>
  <c r="T667" i="3"/>
  <c r="T795" i="3"/>
  <c r="T901" i="3"/>
  <c r="T981" i="3"/>
  <c r="T1005" i="3"/>
  <c r="T1029" i="3"/>
  <c r="T1109" i="3"/>
  <c r="T1157" i="3"/>
  <c r="T1189" i="3"/>
  <c r="T1220" i="3"/>
  <c r="T1236" i="3"/>
  <c r="T1268" i="3"/>
  <c r="T1284" i="3"/>
  <c r="T1300" i="3"/>
  <c r="T1316" i="3"/>
  <c r="T1333" i="3"/>
  <c r="T1349" i="3"/>
  <c r="T1101" i="3"/>
  <c r="T1197" i="3"/>
  <c r="T1224" i="3"/>
  <c r="T1240" i="3"/>
  <c r="T1256" i="3"/>
  <c r="T1280" i="3"/>
  <c r="T1304" i="3"/>
  <c r="T1329" i="3"/>
  <c r="T1353" i="3"/>
  <c r="T1132" i="3"/>
  <c r="T1171" i="3"/>
  <c r="T932" i="3"/>
  <c r="T987" i="3"/>
  <c r="T837" i="3"/>
  <c r="T705" i="3"/>
  <c r="T849" i="3"/>
  <c r="T804" i="3"/>
  <c r="T872" i="3"/>
  <c r="T1198" i="3"/>
  <c r="T1087" i="3"/>
  <c r="T822" i="3"/>
  <c r="T831" i="3"/>
  <c r="T923" i="3"/>
  <c r="T1018" i="3"/>
  <c r="T1106" i="3"/>
  <c r="T1092" i="3"/>
  <c r="T1138" i="3"/>
  <c r="T1146" i="3"/>
  <c r="T1285" i="3"/>
  <c r="T1253" i="3"/>
  <c r="T1176" i="3"/>
  <c r="T1279" i="3"/>
  <c r="T1044" i="3"/>
  <c r="T651" i="3"/>
  <c r="T759" i="3"/>
  <c r="T645" i="3"/>
  <c r="T1179" i="3"/>
  <c r="T902" i="3"/>
  <c r="T793" i="3"/>
  <c r="T800" i="3"/>
  <c r="T1226" i="3"/>
  <c r="T1081" i="3"/>
  <c r="T1290" i="3"/>
  <c r="T1242" i="3"/>
  <c r="T1001" i="3"/>
  <c r="T985" i="3"/>
  <c r="T1193" i="3"/>
  <c r="T909" i="3"/>
  <c r="T1286" i="3"/>
  <c r="T1278" i="3"/>
  <c r="T1328" i="3"/>
  <c r="T1152" i="3"/>
  <c r="T1164" i="3"/>
  <c r="T1262" i="3"/>
  <c r="T629" i="3"/>
  <c r="T743" i="3"/>
  <c r="T1121" i="3"/>
  <c r="T733" i="3"/>
  <c r="T1231" i="3"/>
  <c r="T1159" i="3"/>
  <c r="T1265" i="3"/>
  <c r="T1334" i="3"/>
  <c r="T1269" i="3"/>
  <c r="T1309" i="3"/>
  <c r="T1346" i="3"/>
  <c r="T729" i="3"/>
  <c r="T1059" i="3"/>
  <c r="T796" i="3"/>
  <c r="T695" i="3"/>
  <c r="T842" i="3"/>
  <c r="T709" i="3"/>
  <c r="T927" i="3"/>
  <c r="T946" i="3"/>
  <c r="T949" i="3"/>
  <c r="T735" i="3"/>
  <c r="T1002" i="3"/>
  <c r="T961" i="3"/>
  <c r="T879" i="3"/>
  <c r="T860" i="3"/>
  <c r="T916" i="3"/>
  <c r="T1151" i="3"/>
  <c r="T737" i="3"/>
  <c r="T1040" i="3"/>
  <c r="T878" i="3"/>
  <c r="T1126" i="3"/>
  <c r="T1074" i="3"/>
  <c r="T767" i="3"/>
  <c r="T1031" i="3"/>
  <c r="T903" i="3"/>
  <c r="T1000" i="3"/>
  <c r="T799" i="3"/>
  <c r="T917" i="3"/>
  <c r="T967" i="3"/>
  <c r="T1251" i="3"/>
  <c r="T1208" i="3"/>
  <c r="T1194" i="3"/>
  <c r="T895" i="3"/>
  <c r="T1056" i="3"/>
  <c r="T817" i="3"/>
  <c r="T771" i="3"/>
  <c r="T968" i="3"/>
  <c r="T975" i="3"/>
  <c r="T970" i="3"/>
  <c r="T969" i="3"/>
  <c r="T926" i="3"/>
  <c r="T1120" i="3"/>
  <c r="T839" i="3"/>
  <c r="T1131" i="3"/>
  <c r="T1161" i="3"/>
  <c r="T1154" i="3"/>
  <c r="T1215" i="3"/>
  <c r="T1314" i="3"/>
  <c r="T1261" i="3"/>
  <c r="T1053" i="3"/>
  <c r="T635" i="3"/>
  <c r="T677" i="3"/>
  <c r="T1140" i="3"/>
  <c r="T827" i="3"/>
  <c r="T1061" i="3"/>
  <c r="T1288" i="3"/>
  <c r="T1260" i="3"/>
  <c r="T1252" i="3"/>
  <c r="T479" i="3"/>
  <c r="T493" i="3"/>
  <c r="T509" i="3"/>
  <c r="T521" i="3"/>
  <c r="T545" i="3"/>
  <c r="T561" i="3"/>
  <c r="T573" i="3"/>
  <c r="T585" i="3"/>
  <c r="T605" i="3"/>
  <c r="T625" i="3"/>
  <c r="T487" i="3"/>
  <c r="T495" i="3"/>
  <c r="T503" i="3"/>
  <c r="T511" i="3"/>
  <c r="T519" i="3"/>
  <c r="T527" i="3"/>
  <c r="T535" i="3"/>
  <c r="T543" i="3"/>
  <c r="T551" i="3"/>
  <c r="T559" i="3"/>
  <c r="T575" i="3"/>
  <c r="T591" i="3"/>
  <c r="T607" i="3"/>
  <c r="T615" i="3"/>
  <c r="T623" i="3"/>
  <c r="T486" i="3"/>
  <c r="T494" i="3"/>
  <c r="T598" i="3"/>
  <c r="T512" i="3"/>
  <c r="T570" i="3"/>
  <c r="T568" i="3"/>
  <c r="T594" i="3"/>
  <c r="T498" i="3"/>
  <c r="T590" i="3"/>
  <c r="T622" i="3"/>
  <c r="T524" i="3"/>
  <c r="T484" i="3"/>
  <c r="T526" i="3"/>
  <c r="T534" i="3"/>
  <c r="T596" i="3"/>
  <c r="T558" i="3"/>
  <c r="T608" i="3"/>
  <c r="T602" i="3"/>
  <c r="T600" i="3"/>
  <c r="T626" i="3"/>
  <c r="T525" i="3"/>
  <c r="T505" i="3"/>
  <c r="T485" i="3"/>
  <c r="T617" i="3"/>
  <c r="T569" i="3"/>
  <c r="T448" i="3"/>
  <c r="T452" i="3"/>
  <c r="T464" i="3"/>
  <c r="T460" i="3"/>
  <c r="T399" i="3"/>
  <c r="T394" i="3"/>
  <c r="T436" i="3"/>
  <c r="T434" i="3"/>
  <c r="T411" i="3"/>
  <c r="T388" i="3"/>
  <c r="T425" i="3"/>
  <c r="T428" i="3"/>
  <c r="T453" i="3"/>
  <c r="T465" i="3"/>
  <c r="T468" i="3"/>
  <c r="T408" i="3"/>
  <c r="T391" i="3"/>
  <c r="T416" i="3"/>
  <c r="T445" i="3"/>
  <c r="T389" i="3"/>
  <c r="T385" i="3"/>
  <c r="T418" i="3"/>
  <c r="T455" i="3"/>
  <c r="T471" i="3"/>
  <c r="T454" i="3"/>
  <c r="T390" i="3"/>
  <c r="T422" i="3"/>
  <c r="T402" i="3"/>
  <c r="T440" i="3"/>
  <c r="T438" i="3"/>
  <c r="T410" i="3"/>
  <c r="T395" i="3"/>
  <c r="T412" i="3"/>
  <c r="T429" i="3"/>
  <c r="T457" i="3"/>
  <c r="T467" i="3"/>
  <c r="T459" i="3"/>
  <c r="T421" i="3"/>
  <c r="T398" i="3"/>
  <c r="T380" i="3"/>
  <c r="T265" i="3"/>
  <c r="U265" i="3" s="1"/>
  <c r="T273" i="3"/>
  <c r="T281" i="3"/>
  <c r="T289" i="3"/>
  <c r="T297" i="3"/>
  <c r="T305" i="3"/>
  <c r="T313" i="3"/>
  <c r="T321" i="3"/>
  <c r="T329" i="3"/>
  <c r="T337" i="3"/>
  <c r="T345" i="3"/>
  <c r="T353" i="3"/>
  <c r="T361" i="3"/>
  <c r="T369" i="3"/>
  <c r="T377" i="3"/>
  <c r="T270" i="3"/>
  <c r="T278" i="3"/>
  <c r="T286" i="3"/>
  <c r="T294" i="3"/>
  <c r="T302" i="3"/>
  <c r="T310" i="3"/>
  <c r="T318" i="3"/>
  <c r="T326" i="3"/>
  <c r="T334" i="3"/>
  <c r="T342" i="3"/>
  <c r="T350" i="3"/>
  <c r="T358" i="3"/>
  <c r="T366" i="3"/>
  <c r="T374" i="3"/>
  <c r="T267" i="3"/>
  <c r="T275" i="3"/>
  <c r="T283" i="3"/>
  <c r="T291" i="3"/>
  <c r="T299" i="3"/>
  <c r="T307" i="3"/>
  <c r="T315" i="3"/>
  <c r="T323" i="3"/>
  <c r="T331" i="3"/>
  <c r="T339" i="3"/>
  <c r="T347" i="3"/>
  <c r="T355" i="3"/>
  <c r="T363" i="3"/>
  <c r="T371" i="3"/>
  <c r="T379" i="3"/>
  <c r="T272" i="3"/>
  <c r="T280" i="3"/>
  <c r="T288" i="3"/>
  <c r="T296" i="3"/>
  <c r="T304" i="3"/>
  <c r="T312" i="3"/>
  <c r="T320" i="3"/>
  <c r="T328" i="3"/>
  <c r="T336" i="3"/>
  <c r="T344" i="3"/>
  <c r="T352" i="3"/>
  <c r="T360" i="3"/>
  <c r="T368" i="3"/>
  <c r="T376" i="3"/>
  <c r="T251" i="3"/>
  <c r="T259" i="3"/>
  <c r="T246" i="3"/>
  <c r="T254" i="3"/>
  <c r="T262" i="3"/>
  <c r="T249" i="3"/>
  <c r="T257" i="3"/>
  <c r="T244" i="3"/>
  <c r="U244" i="3" s="1"/>
  <c r="T252" i="3"/>
  <c r="T260" i="3"/>
  <c r="T567" i="3"/>
  <c r="T583" i="3"/>
  <c r="T599" i="3"/>
  <c r="T611" i="3"/>
  <c r="T619" i="3"/>
  <c r="T627" i="3"/>
  <c r="T477" i="3"/>
  <c r="T473" i="3"/>
  <c r="T522" i="3"/>
  <c r="T488" i="3"/>
  <c r="T610" i="3"/>
  <c r="T576" i="3"/>
  <c r="T624" i="3"/>
  <c r="T618" i="3"/>
  <c r="T552" i="3"/>
  <c r="T582" i="3"/>
  <c r="T476" i="3"/>
  <c r="T540" i="3"/>
  <c r="T560" i="3"/>
  <c r="T532" i="3"/>
  <c r="T562" i="3"/>
  <c r="T578" i="3"/>
  <c r="T616" i="3"/>
  <c r="T528" i="3"/>
  <c r="T548" i="3"/>
  <c r="T497" i="3"/>
  <c r="T517" i="3"/>
  <c r="T553" i="3"/>
  <c r="T621" i="3"/>
  <c r="T481" i="3"/>
  <c r="T433" i="3"/>
  <c r="T451" i="3"/>
  <c r="T462" i="3"/>
  <c r="T470" i="3"/>
  <c r="T413" i="3"/>
  <c r="T409" i="3"/>
  <c r="T405" i="3"/>
  <c r="T415" i="3"/>
  <c r="T446" i="3"/>
  <c r="T407" i="3"/>
  <c r="T393" i="3"/>
  <c r="T444" i="3"/>
  <c r="T449" i="3"/>
  <c r="T450" i="3"/>
  <c r="T461" i="3"/>
  <c r="T419" i="3"/>
  <c r="T401" i="3"/>
  <c r="T400" i="3"/>
  <c r="T437" i="3"/>
  <c r="T414" i="3"/>
  <c r="T426" i="3"/>
  <c r="T392" i="3"/>
  <c r="T435" i="3"/>
  <c r="T430" i="3"/>
  <c r="T456" i="3"/>
  <c r="T466" i="3"/>
  <c r="T447" i="3"/>
  <c r="T431" i="3"/>
  <c r="T396" i="3"/>
  <c r="T439" i="3"/>
  <c r="T417" i="3"/>
  <c r="T406" i="3"/>
  <c r="T383" i="3"/>
  <c r="T384" i="3"/>
  <c r="T423" i="3"/>
  <c r="T469" i="3"/>
  <c r="T463" i="3"/>
  <c r="T458" i="3"/>
  <c r="T420" i="3"/>
  <c r="T403" i="3"/>
  <c r="T404" i="3"/>
  <c r="T264" i="3"/>
  <c r="T269" i="3"/>
  <c r="T277" i="3"/>
  <c r="T285" i="3"/>
  <c r="T293" i="3"/>
  <c r="T301" i="3"/>
  <c r="T309" i="3"/>
  <c r="T317" i="3"/>
  <c r="T325" i="3"/>
  <c r="T333" i="3"/>
  <c r="T341" i="3"/>
  <c r="T349" i="3"/>
  <c r="T357" i="3"/>
  <c r="T365" i="3"/>
  <c r="T373" i="3"/>
  <c r="T266" i="3"/>
  <c r="T274" i="3"/>
  <c r="T282" i="3"/>
  <c r="T290" i="3"/>
  <c r="T298" i="3"/>
  <c r="T306" i="3"/>
  <c r="T314" i="3"/>
  <c r="T322" i="3"/>
  <c r="T330" i="3"/>
  <c r="T338" i="3"/>
  <c r="T346" i="3"/>
  <c r="T354" i="3"/>
  <c r="T362" i="3"/>
  <c r="T370" i="3"/>
  <c r="T378" i="3"/>
  <c r="T271" i="3"/>
  <c r="T279" i="3"/>
  <c r="T287" i="3"/>
  <c r="T295" i="3"/>
  <c r="T303" i="3"/>
  <c r="T311" i="3"/>
  <c r="T319" i="3"/>
  <c r="T327" i="3"/>
  <c r="T335" i="3"/>
  <c r="T343" i="3"/>
  <c r="T351" i="3"/>
  <c r="T359" i="3"/>
  <c r="T367" i="3"/>
  <c r="T375" i="3"/>
  <c r="T268" i="3"/>
  <c r="T276" i="3"/>
  <c r="T284" i="3"/>
  <c r="T292" i="3"/>
  <c r="T300" i="3"/>
  <c r="T308" i="3"/>
  <c r="T316" i="3"/>
  <c r="T324" i="3"/>
  <c r="T332" i="3"/>
  <c r="T340" i="3"/>
  <c r="T348" i="3"/>
  <c r="T356" i="3"/>
  <c r="T364" i="3"/>
  <c r="T372" i="3"/>
  <c r="T247" i="3"/>
  <c r="T255" i="3"/>
  <c r="T263" i="3"/>
  <c r="T250" i="3"/>
  <c r="T258" i="3"/>
  <c r="T245" i="3"/>
  <c r="T253" i="3"/>
  <c r="T261" i="3"/>
  <c r="T248" i="3"/>
  <c r="T256" i="3"/>
  <c r="T1399" i="3"/>
  <c r="T1405" i="3"/>
  <c r="T1421" i="3"/>
  <c r="T1528" i="3"/>
  <c r="T1425" i="3"/>
  <c r="T1520" i="3"/>
  <c r="T1409" i="3"/>
  <c r="T89" i="3"/>
  <c r="T202" i="3"/>
  <c r="T173" i="3"/>
  <c r="T99" i="3"/>
  <c r="T154" i="3"/>
  <c r="T148" i="3"/>
  <c r="T181" i="3"/>
  <c r="T201" i="3"/>
  <c r="T64" i="3"/>
  <c r="T194" i="3"/>
  <c r="T45" i="3"/>
  <c r="T77" i="3"/>
  <c r="T55" i="3"/>
  <c r="T58" i="3"/>
  <c r="T63" i="3"/>
  <c r="T40" i="3"/>
  <c r="T26" i="3"/>
  <c r="T10" i="3"/>
  <c r="T5" i="3"/>
  <c r="T32" i="3"/>
  <c r="T24" i="3"/>
  <c r="T16" i="3"/>
  <c r="T47" i="3"/>
  <c r="T164" i="3"/>
  <c r="T133" i="3"/>
  <c r="T234" i="3"/>
  <c r="T206" i="3"/>
  <c r="T225" i="3"/>
  <c r="T176" i="3"/>
  <c r="T224" i="3"/>
  <c r="T185" i="3"/>
  <c r="T209" i="3"/>
  <c r="T172" i="3"/>
  <c r="T241" i="3"/>
  <c r="T229" i="3"/>
  <c r="T193" i="3"/>
  <c r="T220" i="3"/>
  <c r="T227" i="3"/>
  <c r="T200" i="3"/>
  <c r="T203" i="3"/>
  <c r="T140" i="3"/>
  <c r="T188" i="3"/>
  <c r="T210" i="3"/>
  <c r="T170" i="3"/>
  <c r="T235" i="3"/>
  <c r="T198" i="3"/>
  <c r="T205" i="3"/>
  <c r="T187" i="3"/>
  <c r="T189" i="3"/>
  <c r="T156" i="3"/>
  <c r="T228" i="3"/>
  <c r="T221" i="3"/>
  <c r="T223" i="3"/>
  <c r="T243" i="3"/>
  <c r="T239" i="3"/>
  <c r="T184" i="3"/>
  <c r="T174" i="3"/>
  <c r="T138" i="3"/>
  <c r="T28" i="3"/>
  <c r="T79" i="3"/>
  <c r="T49" i="3"/>
  <c r="T68" i="3"/>
  <c r="T50" i="3"/>
  <c r="T42" i="3"/>
  <c r="T11" i="3"/>
  <c r="T9" i="3"/>
  <c r="T31" i="3"/>
  <c r="T18" i="3"/>
  <c r="T30" i="3"/>
  <c r="T20" i="3"/>
  <c r="T71" i="3"/>
  <c r="T137" i="3"/>
  <c r="T130" i="3"/>
  <c r="T111" i="3"/>
  <c r="T151" i="3"/>
  <c r="T145" i="3"/>
  <c r="T163" i="3"/>
  <c r="T121" i="3"/>
  <c r="T126" i="3"/>
  <c r="T169" i="3"/>
  <c r="T27" i="3"/>
  <c r="T74" i="3"/>
  <c r="T70" i="3"/>
  <c r="T51" i="3"/>
  <c r="T118" i="3"/>
  <c r="T116" i="3"/>
  <c r="T53" i="3"/>
  <c r="T97" i="3"/>
  <c r="T87" i="3"/>
  <c r="T131" i="3"/>
  <c r="T93" i="3"/>
  <c r="T65" i="3"/>
  <c r="T149" i="3"/>
  <c r="T90" i="3"/>
  <c r="T147" i="3"/>
  <c r="T106" i="3"/>
  <c r="T83" i="3"/>
  <c r="T129" i="3"/>
  <c r="T171" i="3"/>
  <c r="T21" i="3"/>
  <c r="T136" i="3"/>
  <c r="T75" i="3"/>
  <c r="T114" i="3"/>
  <c r="T66" i="3"/>
  <c r="T112" i="3"/>
  <c r="T117" i="3"/>
  <c r="T69" i="3"/>
  <c r="T96" i="3"/>
  <c r="T82" i="3"/>
  <c r="T91" i="3"/>
  <c r="T102" i="3"/>
  <c r="T13" i="3"/>
  <c r="T84" i="3"/>
  <c r="T48" i="3"/>
  <c r="T57" i="3"/>
  <c r="T46" i="3"/>
  <c r="T35" i="3"/>
  <c r="T3" i="3"/>
  <c r="T7" i="3"/>
  <c r="T43" i="3"/>
  <c r="T23" i="3"/>
  <c r="T19" i="3"/>
  <c r="T52" i="3"/>
  <c r="T192" i="3"/>
  <c r="T104" i="3"/>
  <c r="T134" i="3"/>
  <c r="T222" i="3"/>
  <c r="T214" i="3"/>
  <c r="T166" i="3"/>
  <c r="T183" i="3"/>
  <c r="T197" i="3"/>
  <c r="T182" i="3"/>
  <c r="T178" i="3"/>
  <c r="T144" i="3"/>
  <c r="T230" i="3"/>
  <c r="T236" i="3"/>
  <c r="T238" i="3"/>
  <c r="T211" i="3"/>
  <c r="T215" i="3"/>
  <c r="T160" i="3"/>
  <c r="T233" i="3"/>
  <c r="T191" i="3"/>
  <c r="T162" i="3"/>
  <c r="T218" i="3"/>
  <c r="T219" i="3"/>
  <c r="T179" i="3"/>
  <c r="T195" i="3"/>
  <c r="T146" i="3"/>
  <c r="T190" i="3"/>
  <c r="T158" i="3"/>
  <c r="T237" i="3"/>
  <c r="T240" i="3"/>
  <c r="T231" i="3"/>
  <c r="T242" i="3"/>
  <c r="T226" i="3"/>
  <c r="T208" i="3"/>
  <c r="T217" i="3"/>
  <c r="T142" i="3"/>
  <c r="T8" i="3"/>
  <c r="T12" i="3"/>
  <c r="T86" i="3"/>
  <c r="T59" i="3"/>
  <c r="T54" i="3"/>
  <c r="T25" i="3"/>
  <c r="T34" i="3"/>
  <c r="T33" i="3"/>
  <c r="T6" i="3"/>
  <c r="T17" i="3"/>
  <c r="T39" i="3"/>
  <c r="T29" i="3"/>
  <c r="T109" i="3"/>
  <c r="T125" i="3"/>
  <c r="T76" i="3"/>
  <c r="T153" i="3"/>
  <c r="T80" i="3"/>
  <c r="T161" i="3"/>
  <c r="T143" i="3"/>
  <c r="T124" i="3"/>
  <c r="T127" i="3"/>
  <c r="T113" i="3"/>
  <c r="T4" i="3"/>
  <c r="T135" i="3"/>
  <c r="T105" i="3"/>
  <c r="T15" i="3"/>
  <c r="T22" i="3"/>
  <c r="T95" i="3"/>
  <c r="T110" i="3"/>
  <c r="T100" i="3"/>
  <c r="T67" i="3"/>
  <c r="T56" i="3"/>
  <c r="T155" i="3"/>
  <c r="T98" i="3"/>
  <c r="T123" i="3"/>
  <c r="T85" i="3"/>
  <c r="T157" i="3"/>
  <c r="T141" i="3"/>
  <c r="T139" i="3"/>
  <c r="T120" i="3"/>
  <c r="T128" i="3"/>
  <c r="T14" i="3"/>
  <c r="T38" i="3"/>
  <c r="T132" i="3"/>
  <c r="T119" i="3"/>
  <c r="T62" i="3"/>
  <c r="T61" i="3"/>
  <c r="T107" i="3"/>
  <c r="T92" i="3"/>
  <c r="T81" i="3"/>
  <c r="T88" i="3"/>
  <c r="T101" i="3"/>
  <c r="T72" i="3"/>
  <c r="T199" i="3"/>
  <c r="T108" i="3"/>
  <c r="T204" i="3"/>
  <c r="T44" i="3"/>
  <c r="T167" i="3"/>
  <c r="T180" i="3"/>
  <c r="T216" i="3"/>
  <c r="T213" i="3"/>
  <c r="T78" i="3"/>
  <c r="T94" i="3"/>
  <c r="T122" i="3"/>
  <c r="T168" i="3"/>
  <c r="T41" i="3"/>
  <c r="T175" i="3"/>
  <c r="T186" i="3"/>
  <c r="T150" i="3"/>
  <c r="T207" i="3"/>
  <c r="T73" i="3"/>
  <c r="T2" i="3"/>
  <c r="T159" i="3"/>
  <c r="T115" i="3"/>
  <c r="T212" i="3"/>
  <c r="T232" i="3"/>
  <c r="T60" i="3"/>
  <c r="T177" i="3"/>
  <c r="T152" i="3"/>
  <c r="T165" i="3"/>
  <c r="T103" i="3"/>
  <c r="T196" i="3"/>
  <c r="T37" i="3"/>
  <c r="S150" i="3"/>
  <c r="S207" i="3"/>
  <c r="S154" i="3"/>
  <c r="S73" i="3"/>
  <c r="S2" i="3"/>
  <c r="S1516" i="3"/>
  <c r="S1517" i="3"/>
  <c r="S1440" i="3"/>
  <c r="S1407" i="3"/>
  <c r="S1520" i="3"/>
  <c r="S1396" i="3"/>
  <c r="S36" i="3"/>
  <c r="S159" i="3"/>
  <c r="S115" i="3"/>
  <c r="S108" i="3"/>
  <c r="S212" i="3"/>
  <c r="S44" i="3"/>
  <c r="S177" i="3"/>
  <c r="S152" i="3"/>
  <c r="S165" i="3"/>
  <c r="S78" i="3"/>
  <c r="S196" i="3"/>
  <c r="S37" i="3"/>
  <c r="S148" i="3"/>
  <c r="S173" i="3"/>
  <c r="S181" i="3"/>
  <c r="S122" i="3"/>
  <c r="S99" i="3"/>
  <c r="S175" i="3"/>
  <c r="S199" i="3"/>
  <c r="S204" i="3"/>
  <c r="S232" i="3"/>
  <c r="S60" i="3"/>
  <c r="S167" i="3"/>
  <c r="S180" i="3"/>
  <c r="S216" i="3"/>
  <c r="S213" i="3"/>
  <c r="S103" i="3"/>
  <c r="S94" i="3"/>
  <c r="S89" i="3"/>
  <c r="S168" i="3"/>
  <c r="S201" i="3"/>
  <c r="S41" i="3"/>
  <c r="S186" i="3"/>
  <c r="S1529" i="3"/>
  <c r="S1527" i="3"/>
  <c r="S1415" i="3"/>
  <c r="S1502" i="3"/>
  <c r="S64" i="3"/>
  <c r="S202" i="3"/>
  <c r="S194" i="3"/>
  <c r="S1392" i="3"/>
  <c r="S1399" i="3"/>
  <c r="S1404" i="3"/>
  <c r="S1405" i="3"/>
  <c r="S1524" i="3"/>
  <c r="S1421" i="3"/>
  <c r="S1530" i="3"/>
  <c r="S1528" i="3"/>
  <c r="S1418" i="3"/>
  <c r="S1425" i="3"/>
  <c r="S1503" i="3"/>
  <c r="S1519" i="3"/>
  <c r="S1435" i="3"/>
  <c r="S1409" i="3"/>
  <c r="S1393" i="3"/>
  <c r="S1400" i="3"/>
  <c r="S1464" i="3"/>
  <c r="S1465" i="3"/>
  <c r="S1523" i="3"/>
  <c r="S1422" i="3"/>
  <c r="U1391" i="3" l="1"/>
  <c r="U1392" i="3" s="1"/>
  <c r="U1393" i="3" s="1"/>
  <c r="U266" i="3"/>
  <c r="U383" i="3"/>
  <c r="U384" i="3" s="1"/>
  <c r="U385" i="3" s="1"/>
  <c r="U386" i="3" s="1"/>
  <c r="U387" i="3" s="1"/>
  <c r="U388" i="3" s="1"/>
  <c r="U389" i="3" l="1"/>
  <c r="U390" i="3" s="1"/>
  <c r="U391" i="3" s="1"/>
  <c r="U392" i="3" s="1"/>
  <c r="U1394" i="3" s="1"/>
  <c r="U1395" i="3" s="1"/>
  <c r="U1396" i="3" s="1"/>
  <c r="U267" i="3" s="1"/>
  <c r="U1397" i="3" l="1"/>
  <c r="U268" i="3" s="1"/>
  <c r="U1398" i="3" l="1"/>
  <c r="U269" i="3" s="1"/>
  <c r="U393" i="3" l="1"/>
  <c r="U473" i="3" l="1"/>
  <c r="U270" i="3" l="1"/>
  <c r="U271" i="3" l="1"/>
  <c r="U1399" i="3"/>
  <c r="U1400" i="3" s="1"/>
  <c r="U1401" i="3" l="1"/>
  <c r="U394" i="3"/>
  <c r="U272" i="3"/>
  <c r="U474" i="3" l="1"/>
  <c r="U273" i="3" s="1"/>
  <c r="U3" i="3" l="1"/>
  <c r="U475" i="3" s="1"/>
  <c r="U476" i="3" s="1"/>
  <c r="U274" i="3" l="1"/>
  <c r="U1402" i="3" l="1"/>
  <c r="U1403" i="3" s="1"/>
  <c r="U1404" i="3" s="1"/>
  <c r="U1405" i="3" s="1"/>
  <c r="U275" i="3" l="1"/>
  <c r="U276" i="3" s="1"/>
  <c r="U477" i="3" l="1"/>
  <c r="U395" i="3" l="1"/>
  <c r="U1406" i="3" l="1"/>
  <c r="U478" i="3" l="1"/>
  <c r="U479" i="3" s="1"/>
  <c r="U396" i="3" l="1"/>
  <c r="U1407" i="3" l="1"/>
  <c r="U480" i="3" l="1"/>
  <c r="U397" i="3" l="1"/>
  <c r="U481" i="3" s="1"/>
  <c r="U4" i="3" l="1"/>
  <c r="U5" i="3" s="1"/>
  <c r="U277" i="3" l="1"/>
  <c r="U398" i="3" l="1"/>
  <c r="U6" i="3" l="1"/>
  <c r="U482" i="3" l="1"/>
  <c r="U7" i="3" s="1"/>
  <c r="U278" i="3" l="1"/>
  <c r="U399" i="3" l="1"/>
  <c r="U483" i="3" l="1"/>
  <c r="U484" i="3" s="1"/>
  <c r="U400" i="3" l="1"/>
  <c r="U485" i="3" l="1"/>
  <c r="U486" i="3" s="1"/>
  <c r="U279" i="3" l="1"/>
  <c r="U8" i="3" l="1"/>
  <c r="U487" i="3" l="1"/>
  <c r="U1408" i="3" l="1"/>
  <c r="U280" i="3" l="1"/>
  <c r="U1409" i="3" l="1"/>
  <c r="U488" i="3" l="1"/>
  <c r="U9" i="3" l="1"/>
  <c r="U10" i="3" s="1"/>
  <c r="U281" i="3" l="1"/>
  <c r="U489" i="3" l="1"/>
  <c r="U401" i="3" l="1"/>
  <c r="U402" i="3" s="1"/>
  <c r="U490" i="3" l="1"/>
  <c r="U1410" i="3" l="1"/>
  <c r="U1411" i="3" s="1"/>
  <c r="U282" i="3" l="1"/>
  <c r="U11" i="3" l="1"/>
  <c r="U12" i="3" s="1"/>
  <c r="U13" i="3" s="1"/>
  <c r="U283" i="3" l="1"/>
  <c r="U491" i="3" s="1"/>
  <c r="U284" i="3" s="1"/>
  <c r="U285" i="3" s="1"/>
  <c r="U286" i="3" s="1"/>
  <c r="U492" i="3" l="1"/>
  <c r="U403" i="3" l="1"/>
  <c r="U287" i="3" l="1"/>
  <c r="U493" i="3" l="1"/>
  <c r="U494" i="3" s="1"/>
  <c r="U495" i="3" s="1"/>
  <c r="U288" i="3" l="1"/>
  <c r="U289" i="3" s="1"/>
  <c r="U290" i="3" s="1"/>
  <c r="U496" i="3" l="1"/>
  <c r="U497" i="3" s="1"/>
  <c r="U498" i="3" s="1"/>
  <c r="U499" i="3" s="1"/>
  <c r="U291" i="3" l="1"/>
  <c r="U292" i="3" s="1"/>
  <c r="U14" i="3" l="1"/>
  <c r="U15" i="3" s="1"/>
  <c r="U500" i="3" l="1"/>
  <c r="U1412" i="3" l="1"/>
  <c r="U1413" i="3" s="1"/>
  <c r="U293" i="3" l="1"/>
  <c r="U501" i="3" l="1"/>
  <c r="U294" i="3" s="1"/>
  <c r="U16" i="3" l="1"/>
  <c r="U17" i="3" s="1"/>
  <c r="U502" i="3" s="1"/>
  <c r="U503" i="3" s="1"/>
  <c r="U504" i="3" s="1"/>
  <c r="U18" i="3" l="1"/>
  <c r="U1414" i="3" l="1"/>
  <c r="U295" i="3" l="1"/>
  <c r="U296" i="3" s="1"/>
  <c r="U19" i="3" l="1"/>
  <c r="U505" i="3" l="1"/>
  <c r="U629" i="3" l="1"/>
  <c r="U630" i="3" s="1"/>
  <c r="U20" i="3" l="1"/>
  <c r="U506" i="3" l="1"/>
  <c r="U297" i="3" l="1"/>
  <c r="U298" i="3" s="1"/>
  <c r="U21" i="3" l="1"/>
  <c r="U299" i="3" s="1"/>
  <c r="U300" i="3" s="1"/>
  <c r="U507" i="3" l="1"/>
  <c r="U631" i="3" l="1"/>
  <c r="U508" i="3" s="1"/>
  <c r="U22" i="3" l="1"/>
  <c r="U23" i="3" s="1"/>
  <c r="U1415" i="3" l="1"/>
  <c r="U24" i="3" s="1"/>
  <c r="U25" i="3" s="1"/>
  <c r="U26" i="3" s="1"/>
  <c r="U27" i="3" s="1"/>
  <c r="U28" i="3" s="1"/>
  <c r="U301" i="3" l="1"/>
  <c r="U509" i="3" l="1"/>
  <c r="U510" i="3" s="1"/>
  <c r="U29" i="3" l="1"/>
  <c r="U30" i="3" s="1"/>
  <c r="U302" i="3" l="1"/>
  <c r="U1416" i="3" l="1"/>
  <c r="U1417" i="3" s="1"/>
  <c r="U31" i="3" l="1"/>
  <c r="U632" i="3" l="1"/>
  <c r="U32" i="3" s="1"/>
  <c r="U404" i="3" l="1"/>
  <c r="U405" i="3" s="1"/>
  <c r="U633" i="3" l="1"/>
  <c r="U33" i="3" l="1"/>
  <c r="U34" i="3" s="1"/>
  <c r="U35" i="3" s="1"/>
  <c r="U303" i="3" l="1"/>
  <c r="U304" i="3" s="1"/>
  <c r="U1418" i="3" l="1"/>
  <c r="U305" i="3" s="1"/>
  <c r="U634" i="3" l="1"/>
  <c r="U635" i="3" s="1"/>
  <c r="U636" i="3" s="1"/>
  <c r="U637" i="3" s="1"/>
  <c r="U36" i="3" l="1"/>
  <c r="U511" i="3" l="1"/>
  <c r="U37" i="3" s="1"/>
  <c r="U38" i="3" s="1"/>
  <c r="U512" i="3" l="1"/>
  <c r="U39" i="3" l="1"/>
  <c r="U513" i="3" l="1"/>
  <c r="U514" i="3" s="1"/>
  <c r="U40" i="3" l="1"/>
  <c r="U306" i="3" l="1"/>
  <c r="U515" i="3" l="1"/>
  <c r="U41" i="3" l="1"/>
  <c r="U516" i="3" s="1"/>
  <c r="U307" i="3" l="1"/>
  <c r="U308" i="3" s="1"/>
  <c r="U638" i="3" l="1"/>
  <c r="U309" i="3" l="1"/>
  <c r="U42" i="3" l="1"/>
  <c r="U406" i="3" l="1"/>
  <c r="U517" i="3" l="1"/>
  <c r="U43" i="3" l="1"/>
  <c r="U518" i="3" s="1"/>
  <c r="U310" i="3" l="1"/>
  <c r="U407" i="3" l="1"/>
  <c r="U1419" i="3" l="1"/>
  <c r="U1420" i="3" s="1"/>
  <c r="U44" i="3" l="1"/>
  <c r="U639" i="3" l="1"/>
  <c r="U311" i="3" l="1"/>
  <c r="U640" i="3" s="1"/>
  <c r="U312" i="3" l="1"/>
  <c r="U519" i="3" l="1"/>
  <c r="U313" i="3" s="1"/>
  <c r="U520" i="3" l="1"/>
  <c r="U1536" i="3" l="1"/>
  <c r="U521" i="3" s="1"/>
  <c r="U45" i="3" l="1"/>
  <c r="U641" i="3" l="1"/>
  <c r="U1537" i="3" l="1"/>
  <c r="U46" i="3" s="1"/>
  <c r="U314" i="3" l="1"/>
  <c r="U642" i="3" l="1"/>
  <c r="U522" i="3" l="1"/>
  <c r="U47" i="3" l="1"/>
  <c r="U523" i="3" s="1"/>
  <c r="U524" i="3" s="1"/>
  <c r="U315" i="3" l="1"/>
  <c r="U316" i="3" s="1"/>
  <c r="U408" i="3" l="1"/>
  <c r="U409" i="3" s="1"/>
  <c r="U643" i="3" l="1"/>
  <c r="U1421" i="3" l="1"/>
  <c r="U48" i="3" l="1"/>
  <c r="U49" i="3" s="1"/>
  <c r="U50" i="3" s="1"/>
  <c r="U317" i="3" l="1"/>
  <c r="U51" i="3" l="1"/>
  <c r="U1422" i="3" l="1"/>
  <c r="U52" i="3" s="1"/>
  <c r="U53" i="3" s="1"/>
  <c r="U1423" i="3" l="1"/>
  <c r="U1424" i="3" s="1"/>
  <c r="U1538" i="3" l="1"/>
  <c r="U1539" i="3" s="1"/>
  <c r="U54" i="3" l="1"/>
  <c r="U55" i="3" s="1"/>
  <c r="U1425" i="3" l="1"/>
  <c r="U525" i="3" l="1"/>
  <c r="U1426" i="3" s="1"/>
  <c r="U56" i="3" l="1"/>
  <c r="U526" i="3" l="1"/>
  <c r="U57" i="3" l="1"/>
  <c r="U58" i="3" s="1"/>
  <c r="U59" i="3" s="1"/>
  <c r="U60" i="3" s="1"/>
  <c r="U1540" i="3" l="1"/>
  <c r="U1427" i="3" l="1"/>
  <c r="U1428" i="3" s="1"/>
  <c r="U1429" i="3" s="1"/>
  <c r="U1430" i="3" s="1"/>
  <c r="U61" i="3" l="1"/>
  <c r="U1431" i="3" l="1"/>
  <c r="U1432" i="3" s="1"/>
  <c r="U62" i="3" l="1"/>
  <c r="U318" i="3" l="1"/>
  <c r="U63" i="3" l="1"/>
  <c r="U527" i="3" l="1"/>
  <c r="U64" i="3" s="1"/>
  <c r="U644" i="3" l="1"/>
  <c r="U528" i="3" l="1"/>
  <c r="U410" i="3" l="1"/>
  <c r="U1541" i="3" l="1"/>
  <c r="U1433" i="3" l="1"/>
  <c r="U645" i="3" l="1"/>
  <c r="U65" i="3" l="1"/>
  <c r="U646" i="3" s="1"/>
  <c r="U319" i="3" l="1"/>
  <c r="U1542" i="3" l="1"/>
  <c r="U66" i="3" l="1"/>
  <c r="U67" i="3" s="1"/>
  <c r="U320" i="3" l="1"/>
  <c r="U529" i="3" l="1"/>
  <c r="U530" i="3" s="1"/>
  <c r="U68" i="3" l="1"/>
  <c r="U69" i="3" s="1"/>
  <c r="U70" i="3" s="1"/>
  <c r="U1543" i="3" l="1"/>
  <c r="U321" i="3" l="1"/>
  <c r="U71" i="3" l="1"/>
  <c r="U322" i="3" s="1"/>
  <c r="U323" i="3" s="1"/>
  <c r="U324" i="3" s="1"/>
  <c r="U1544" i="3" l="1"/>
  <c r="U531" i="3" l="1"/>
  <c r="U325" i="3" l="1"/>
  <c r="U1434" i="3" l="1"/>
  <c r="U647" i="3" l="1"/>
  <c r="U648" i="3" s="1"/>
  <c r="U649" i="3" s="1"/>
  <c r="U650" i="3" s="1"/>
  <c r="U651" i="3" s="1"/>
  <c r="U532" i="3" l="1"/>
  <c r="U411" i="3" l="1"/>
  <c r="U412" i="3" s="1"/>
  <c r="U326" i="3" l="1"/>
  <c r="U533" i="3" l="1"/>
  <c r="U327" i="3" s="1"/>
  <c r="U328" i="3" s="1"/>
  <c r="U1545" i="3" l="1"/>
  <c r="U72" i="3" l="1"/>
  <c r="U73" i="3" s="1"/>
  <c r="U534" i="3" l="1"/>
  <c r="U329" i="3" l="1"/>
  <c r="U413" i="3" l="1"/>
  <c r="U414" i="3" l="1"/>
  <c r="U1546" i="3"/>
  <c r="U1547" i="3" l="1"/>
  <c r="U535" i="3"/>
  <c r="U536" i="3" s="1"/>
  <c r="U74" i="3" l="1"/>
  <c r="U75" i="3" s="1"/>
  <c r="U76" i="3" s="1"/>
  <c r="U77" i="3" s="1"/>
  <c r="U652" i="3" l="1"/>
  <c r="U1548" i="3" l="1"/>
  <c r="U78" i="3" l="1"/>
  <c r="U79" i="3" s="1"/>
  <c r="U415" i="3" l="1"/>
  <c r="U537" i="3" l="1"/>
  <c r="U330" i="3" l="1"/>
  <c r="U80" i="3" l="1"/>
  <c r="U331" i="3" s="1"/>
  <c r="U416" i="3" l="1"/>
  <c r="U653" i="3" l="1"/>
  <c r="U654" i="3" s="1"/>
  <c r="U332" i="3" l="1"/>
  <c r="U245" i="3" l="1"/>
  <c r="U333" i="3" s="1"/>
  <c r="U334" i="3" s="1"/>
  <c r="U538" i="3" l="1"/>
  <c r="U1549" i="3" l="1"/>
  <c r="U1550" i="3" s="1"/>
  <c r="U1551" i="3" s="1"/>
  <c r="U1435" i="3" l="1"/>
  <c r="U81" i="3" l="1"/>
  <c r="U1552" i="3" l="1"/>
  <c r="U335" i="3" l="1"/>
  <c r="U655" i="3" l="1"/>
  <c r="U82" i="3" l="1"/>
  <c r="U656" i="3" s="1"/>
  <c r="U246" i="3" l="1"/>
  <c r="U539" i="3" l="1"/>
  <c r="U1553" i="3" l="1"/>
  <c r="U336" i="3" l="1"/>
  <c r="U83" i="3" l="1"/>
  <c r="U1436" i="3" l="1"/>
  <c r="U1437" i="3" s="1"/>
  <c r="U1438" i="3" s="1"/>
  <c r="U1439" i="3" s="1"/>
  <c r="U1554" i="3" l="1"/>
  <c r="U657" i="3" l="1"/>
  <c r="U658" i="3" s="1"/>
  <c r="U84" i="3" l="1"/>
  <c r="U1555" i="3" l="1"/>
  <c r="U337" i="3" l="1"/>
  <c r="U1440" i="3" l="1"/>
  <c r="U85" i="3" l="1"/>
  <c r="U247" i="3" l="1"/>
  <c r="U417" i="3" l="1"/>
  <c r="U86" i="3" l="1"/>
  <c r="U540" i="3" l="1"/>
  <c r="U1556" i="3" l="1"/>
  <c r="U87" i="3" l="1"/>
  <c r="U88" i="3" s="1"/>
  <c r="U89" i="3" s="1"/>
  <c r="U90" i="3" s="1"/>
  <c r="U1557" i="3" l="1"/>
  <c r="U338" i="3" l="1"/>
  <c r="U1558" i="3" s="1"/>
  <c r="U541" i="3" l="1"/>
  <c r="U91" i="3" l="1"/>
  <c r="U1441" i="3" l="1"/>
  <c r="U542" i="3" l="1"/>
  <c r="U339" i="3" l="1"/>
  <c r="U659" i="3" l="1"/>
  <c r="U543" i="3" l="1"/>
  <c r="U1559" i="3" l="1"/>
  <c r="U92" i="3" l="1"/>
  <c r="U248" i="3" l="1"/>
  <c r="U93" i="3" s="1"/>
  <c r="U660" i="3" l="1"/>
  <c r="U1560" i="3" l="1"/>
  <c r="U340" i="3" l="1"/>
  <c r="U661" i="3" l="1"/>
  <c r="U662" i="3" s="1"/>
  <c r="U1442" i="3" l="1"/>
  <c r="U94" i="3" l="1"/>
  <c r="U341" i="3" l="1"/>
  <c r="U663" i="3" l="1"/>
  <c r="U95" i="3" l="1"/>
  <c r="U1443" i="3" l="1"/>
  <c r="U1561" i="3" l="1"/>
  <c r="U418" i="3" l="1"/>
  <c r="U342" i="3" l="1"/>
  <c r="U343" i="3" s="1"/>
  <c r="U96" i="3" l="1"/>
  <c r="U544" i="3" l="1"/>
  <c r="U97" i="3" s="1"/>
  <c r="U664" i="3" l="1"/>
  <c r="U419" i="3" l="1"/>
  <c r="U420" i="3" s="1"/>
  <c r="U421" i="3" s="1"/>
  <c r="U422" i="3" s="1"/>
  <c r="U423" i="3" s="1"/>
  <c r="U98" i="3" l="1"/>
  <c r="U344" i="3" l="1"/>
  <c r="U424" i="3" l="1"/>
  <c r="U99" i="3" l="1"/>
  <c r="U100" i="3" s="1"/>
  <c r="U101" i="3" s="1"/>
  <c r="U1562" i="3" l="1"/>
  <c r="U345" i="3" l="1"/>
  <c r="U346" i="3" s="1"/>
  <c r="U1444" i="3" l="1"/>
  <c r="U665" i="3" l="1"/>
  <c r="U347" i="3" l="1"/>
  <c r="U545" i="3" l="1"/>
  <c r="U546" i="3" s="1"/>
  <c r="U249" i="3" l="1"/>
  <c r="U425" i="3" l="1"/>
  <c r="U1563" i="3" l="1"/>
  <c r="U666" i="3" l="1"/>
  <c r="U1564" i="3" s="1"/>
  <c r="U102" i="3" l="1"/>
  <c r="U426" i="3" l="1"/>
  <c r="U103" i="3" s="1"/>
  <c r="U547" i="3" l="1"/>
  <c r="U104" i="3" l="1"/>
  <c r="U348" i="3" l="1"/>
  <c r="U349" i="3" s="1"/>
  <c r="U1445" i="3" l="1"/>
  <c r="U1446" i="3" s="1"/>
  <c r="U667" i="3" l="1"/>
  <c r="U668" i="3" s="1"/>
  <c r="U350" i="3" l="1"/>
  <c r="U351" i="3" s="1"/>
  <c r="U669" i="3" l="1"/>
  <c r="U548" i="3" l="1"/>
  <c r="U670" i="3" s="1"/>
  <c r="U105" i="3" l="1"/>
  <c r="U1447" i="3" l="1"/>
  <c r="U106" i="3" s="1"/>
  <c r="U427" i="3" l="1"/>
  <c r="U671" i="3" l="1"/>
  <c r="U672" i="3" s="1"/>
  <c r="U250" i="3" l="1"/>
  <c r="U673" i="3" l="1"/>
  <c r="U428" i="3" l="1"/>
  <c r="U352" i="3" l="1"/>
  <c r="U429" i="3" l="1"/>
  <c r="U1565" i="3" l="1"/>
  <c r="U107" i="3" l="1"/>
  <c r="U1448" i="3" l="1"/>
  <c r="U1449" i="3" s="1"/>
  <c r="U674" i="3" l="1"/>
  <c r="U549" i="3" l="1"/>
  <c r="U353" i="3" l="1"/>
  <c r="U108" i="3" l="1"/>
  <c r="U251" i="3" l="1"/>
  <c r="U354" i="3" l="1"/>
  <c r="U355" i="3" s="1"/>
  <c r="U1450" i="3" l="1"/>
  <c r="U252" i="3" l="1"/>
  <c r="U675" i="3" l="1"/>
  <c r="U1566" i="3" l="1"/>
  <c r="U109" i="3" l="1"/>
  <c r="U110" i="3" s="1"/>
  <c r="U676" i="3" l="1"/>
  <c r="U677" i="3" s="1"/>
  <c r="U111" i="3" s="1"/>
  <c r="U678" i="3" l="1"/>
  <c r="U1567" i="3" l="1"/>
  <c r="U679" i="3" s="1"/>
  <c r="U680" i="3" s="1"/>
  <c r="U1451" i="3" l="1"/>
  <c r="U112" i="3" l="1"/>
  <c r="U681" i="3" l="1"/>
  <c r="U113" i="3" s="1"/>
  <c r="U682" i="3" l="1"/>
  <c r="U114" i="3" s="1"/>
  <c r="U430" i="3" l="1"/>
  <c r="U431" i="3" s="1"/>
  <c r="U683" i="3" s="1"/>
  <c r="U550" i="3" l="1"/>
  <c r="U551" i="3" s="1"/>
  <c r="U552" i="3" s="1"/>
  <c r="U1452" i="3" l="1"/>
  <c r="U1453" i="3" s="1"/>
  <c r="U1454" i="3" s="1"/>
  <c r="U115" i="3" l="1"/>
  <c r="U684" i="3" l="1"/>
  <c r="U116" i="3" s="1"/>
  <c r="U117" i="3" s="1"/>
  <c r="U118" i="3" s="1"/>
  <c r="U1568" i="3" l="1"/>
  <c r="U119" i="3" s="1"/>
  <c r="U1569" i="3" l="1"/>
  <c r="U1455" i="3" l="1"/>
  <c r="U1570" i="3" s="1"/>
  <c r="U1571" i="3" s="1"/>
  <c r="U356" i="3" l="1"/>
  <c r="U120" i="3" l="1"/>
  <c r="U553" i="3" l="1"/>
  <c r="U1456" i="3" l="1"/>
  <c r="U1457" i="3" s="1"/>
  <c r="U685" i="3" l="1"/>
  <c r="U1572" i="3" l="1"/>
  <c r="U357" i="3" l="1"/>
  <c r="U686" i="3" l="1"/>
  <c r="U1458" i="3" l="1"/>
  <c r="U554" i="3" l="1"/>
  <c r="U687" i="3" l="1"/>
  <c r="U121" i="3" l="1"/>
  <c r="U253" i="3" l="1"/>
  <c r="U358" i="3" l="1"/>
  <c r="U432" i="3" l="1"/>
  <c r="U688" i="3" l="1"/>
  <c r="U1459" i="3" l="1"/>
  <c r="U1573" i="3" l="1"/>
  <c r="U1574" i="3" s="1"/>
  <c r="U689" i="3" l="1"/>
  <c r="U690" i="3" s="1"/>
  <c r="U1575" i="3" s="1"/>
  <c r="U691" i="3" l="1"/>
  <c r="U122" i="3" l="1"/>
  <c r="U1576" i="3" l="1"/>
  <c r="U692" i="3" l="1"/>
  <c r="U693" i="3" s="1"/>
  <c r="U359" i="3" l="1"/>
  <c r="U1577" i="3" l="1"/>
  <c r="U555" i="3" l="1"/>
  <c r="U694" i="3" l="1"/>
  <c r="U360" i="3" l="1"/>
  <c r="U695" i="3" s="1"/>
  <c r="U254" i="3" l="1"/>
  <c r="U696" i="3" l="1"/>
  <c r="U697" i="3" s="1"/>
  <c r="U698" i="3" s="1"/>
  <c r="U361" i="3" l="1"/>
  <c r="U433" i="3" l="1"/>
  <c r="U1578" i="3" l="1"/>
  <c r="U434" i="3" s="1"/>
  <c r="U699" i="3" l="1"/>
  <c r="U700" i="3" s="1"/>
  <c r="U362" i="3" l="1"/>
  <c r="U123" i="3" l="1"/>
  <c r="U556" i="3" l="1"/>
  <c r="U557" i="3" s="1"/>
  <c r="U1460" i="3" l="1"/>
  <c r="U1461" i="3" s="1"/>
  <c r="U1462" i="3" s="1"/>
  <c r="U1463" i="3" s="1"/>
  <c r="U1579" i="3" l="1"/>
  <c r="U255" i="3" l="1"/>
  <c r="U1580" i="3" s="1"/>
  <c r="U363" i="3" l="1"/>
  <c r="U701" i="3" l="1"/>
  <c r="U558" i="3" l="1"/>
  <c r="U702" i="3" s="1"/>
  <c r="U1464" i="3" l="1"/>
  <c r="U1465" i="3" s="1"/>
  <c r="U703" i="3" l="1"/>
  <c r="U559" i="3" l="1"/>
  <c r="U1581" i="3" l="1"/>
  <c r="U1466" i="3" l="1"/>
  <c r="U704" i="3" l="1"/>
  <c r="U705" i="3" s="1"/>
  <c r="U706" i="3" s="1"/>
  <c r="U1582" i="3" l="1"/>
  <c r="U1583" i="3" s="1"/>
  <c r="U707" i="3" l="1"/>
  <c r="U708" i="3" s="1"/>
  <c r="U1584" i="3" l="1"/>
  <c r="U709" i="3" l="1"/>
  <c r="U560" i="3" l="1"/>
  <c r="U1585" i="3" l="1"/>
  <c r="U1586" i="3" s="1"/>
  <c r="U1587" i="3" s="1"/>
  <c r="U561" i="3" l="1"/>
  <c r="U124" i="3" l="1"/>
  <c r="U125" i="3" s="1"/>
  <c r="U364" i="3" l="1"/>
  <c r="U710" i="3" l="1"/>
  <c r="U711" i="3" s="1"/>
  <c r="U712" i="3" s="1"/>
  <c r="U1588" i="3" l="1"/>
  <c r="U1589" i="3" s="1"/>
  <c r="U713" i="3" l="1"/>
  <c r="U714" i="3" s="1"/>
  <c r="U1590" i="3" l="1"/>
  <c r="U715" i="3" l="1"/>
  <c r="U716" i="3" s="1"/>
  <c r="U717" i="3" s="1"/>
  <c r="U718" i="3" s="1"/>
  <c r="U719" i="3" s="1"/>
  <c r="U720" i="3" s="1"/>
  <c r="U562" i="3" l="1"/>
  <c r="U721" i="3" l="1"/>
  <c r="U365" i="3" l="1"/>
  <c r="U126" i="3" l="1"/>
  <c r="U127" i="3" s="1"/>
  <c r="U128" i="3" s="1"/>
  <c r="U129" i="3" s="1"/>
  <c r="U722" i="3" l="1"/>
  <c r="U130" i="3" s="1"/>
  <c r="U723" i="3" l="1"/>
  <c r="U131" i="3" l="1"/>
  <c r="U724" i="3" l="1"/>
  <c r="U725" i="3" s="1"/>
  <c r="U1591" i="3" l="1"/>
  <c r="U726" i="3" l="1"/>
  <c r="U727" i="3" s="1"/>
  <c r="U1592" i="3" l="1"/>
  <c r="U728" i="3" l="1"/>
  <c r="U1593" i="3" l="1"/>
  <c r="U132" i="3" l="1"/>
  <c r="U1594" i="3" s="1"/>
  <c r="U1595" i="3" s="1"/>
  <c r="U366" i="3" l="1"/>
  <c r="U563" i="3" l="1"/>
  <c r="U729" i="3" l="1"/>
  <c r="U1596" i="3" l="1"/>
  <c r="U1597" i="3" s="1"/>
  <c r="U1598" i="3" s="1"/>
  <c r="U730" i="3" l="1"/>
  <c r="U133" i="3" l="1"/>
  <c r="U1467" i="3" l="1"/>
  <c r="U1468" i="3" s="1"/>
  <c r="U134" i="3" l="1"/>
  <c r="U135" i="3" s="1"/>
  <c r="U1469" i="3" l="1"/>
  <c r="U1599" i="3" l="1"/>
  <c r="U1470" i="3" l="1"/>
  <c r="U1471" i="3" s="1"/>
  <c r="U731" i="3" l="1"/>
  <c r="U732" i="3" s="1"/>
  <c r="U733" i="3" s="1"/>
  <c r="U734" i="3" s="1"/>
  <c r="U735" i="3" s="1"/>
  <c r="U736" i="3" s="1"/>
  <c r="U564" i="3" l="1"/>
  <c r="U737" i="3" l="1"/>
  <c r="U1600" i="3" l="1"/>
  <c r="U738" i="3" l="1"/>
  <c r="U1601" i="3" s="1"/>
  <c r="U1602" i="3" s="1"/>
  <c r="U739" i="3" l="1"/>
  <c r="U565" i="3" l="1"/>
  <c r="U136" i="3" l="1"/>
  <c r="U740" i="3" l="1"/>
  <c r="U741" i="3" s="1"/>
  <c r="U137" i="3" l="1"/>
  <c r="U256" i="3" l="1"/>
  <c r="U566" i="3" l="1"/>
  <c r="U1603" i="3" l="1"/>
  <c r="U1472" i="3" l="1"/>
  <c r="U742" i="3" l="1"/>
  <c r="U1604" i="3" l="1"/>
  <c r="U1605" i="3" s="1"/>
  <c r="U743" i="3" l="1"/>
  <c r="U1606" i="3" l="1"/>
  <c r="U1607" i="3" s="1"/>
  <c r="U1608" i="3" s="1"/>
  <c r="U1609" i="3" s="1"/>
  <c r="U1610" i="3" s="1"/>
  <c r="U744" i="3" l="1"/>
  <c r="U367" i="3" l="1"/>
  <c r="U567" i="3" l="1"/>
  <c r="U1611" i="3" l="1"/>
  <c r="U1612" i="3" s="1"/>
  <c r="U745" i="3" l="1"/>
  <c r="U368" i="3" l="1"/>
  <c r="U1473" i="3" l="1"/>
  <c r="U746" i="3" l="1"/>
  <c r="U747" i="3" s="1"/>
  <c r="U1613" i="3" l="1"/>
  <c r="U138" i="3" l="1"/>
  <c r="U369" i="3" l="1"/>
  <c r="U1614" i="3" l="1"/>
  <c r="U257" i="3" l="1"/>
  <c r="U748" i="3" l="1"/>
  <c r="U1615" i="3" l="1"/>
  <c r="U1616" i="3" s="1"/>
  <c r="U139" i="3" l="1"/>
  <c r="U568" i="3" l="1"/>
  <c r="U749" i="3" l="1"/>
  <c r="U750" i="3" s="1"/>
  <c r="U751" i="3" s="1"/>
  <c r="U1617" i="3" l="1"/>
  <c r="U752" i="3" l="1"/>
  <c r="U1618" i="3" l="1"/>
  <c r="U1619" i="3" s="1"/>
  <c r="U753" i="3" l="1"/>
  <c r="U1474" i="3" l="1"/>
  <c r="U1475" i="3" s="1"/>
  <c r="U754" i="3" l="1"/>
  <c r="U1620" i="3" l="1"/>
  <c r="U140" i="3" l="1"/>
  <c r="U755" i="3" l="1"/>
  <c r="U569" i="3" l="1"/>
  <c r="U756" i="3" s="1"/>
  <c r="U1476" i="3" l="1"/>
  <c r="U757" i="3" s="1"/>
  <c r="U758" i="3" s="1"/>
  <c r="U759" i="3" s="1"/>
  <c r="U570" i="3" l="1"/>
  <c r="U1477" i="3" s="1"/>
  <c r="U141" i="3" l="1"/>
  <c r="U1478" i="3" s="1"/>
  <c r="U1621" i="3" l="1"/>
  <c r="U1622" i="3" s="1"/>
  <c r="U760" i="3" l="1"/>
  <c r="U142" i="3" l="1"/>
  <c r="U571" i="3" l="1"/>
  <c r="U761" i="3" l="1"/>
  <c r="U1623" i="3" l="1"/>
  <c r="U1624" i="3" s="1"/>
  <c r="U572" i="3" l="1"/>
  <c r="U1625" i="3" s="1"/>
  <c r="U762" i="3" l="1"/>
  <c r="U1626" i="3" s="1"/>
  <c r="U1627" i="3" s="1"/>
  <c r="U763" i="3" l="1"/>
  <c r="U1628" i="3" l="1"/>
  <c r="U573" i="3" l="1"/>
  <c r="U764" i="3" l="1"/>
  <c r="U143" i="3" l="1"/>
  <c r="U765" i="3" s="1"/>
  <c r="U766" i="3" s="1"/>
  <c r="U767" i="3" s="1"/>
  <c r="U768" i="3" s="1"/>
  <c r="U1629" i="3" l="1"/>
  <c r="U1630" i="3" s="1"/>
  <c r="U769" i="3" l="1"/>
  <c r="U1631" i="3" l="1"/>
  <c r="U1632" i="3" s="1"/>
  <c r="U144" i="3" l="1"/>
  <c r="U770" i="3" l="1"/>
  <c r="U435" i="3" l="1"/>
  <c r="U574" i="3" l="1"/>
  <c r="U771" i="3" l="1"/>
  <c r="U258" i="3" l="1"/>
  <c r="U259" i="3" s="1"/>
  <c r="U772" i="3" l="1"/>
  <c r="U773" i="3" s="1"/>
  <c r="U1633" i="3" l="1"/>
  <c r="U1634" i="3" s="1"/>
  <c r="U774" i="3" l="1"/>
  <c r="U145" i="3" l="1"/>
  <c r="U1635" i="3" l="1"/>
  <c r="U775" i="3" l="1"/>
  <c r="U776" i="3" s="1"/>
  <c r="U260" i="3" l="1"/>
  <c r="U575" i="3" l="1"/>
  <c r="U777" i="3" l="1"/>
  <c r="U778" i="3" s="1"/>
  <c r="U779" i="3" s="1"/>
  <c r="U576" i="3" l="1"/>
  <c r="U780" i="3" l="1"/>
  <c r="U1636" i="3" l="1"/>
  <c r="U261" i="3" l="1"/>
  <c r="U781" i="3" l="1"/>
  <c r="U782" i="3" s="1"/>
  <c r="U783" i="3" s="1"/>
  <c r="U784" i="3" s="1"/>
  <c r="U1637" i="3" l="1"/>
  <c r="U785" i="3" l="1"/>
  <c r="U786" i="3" s="1"/>
  <c r="U787" i="3" s="1"/>
  <c r="U1479" i="3" l="1"/>
  <c r="U1480" i="3" s="1"/>
  <c r="U577" i="3" l="1"/>
  <c r="U146" i="3" l="1"/>
  <c r="U788" i="3" l="1"/>
  <c r="U789" i="3" s="1"/>
  <c r="U790" i="3" s="1"/>
  <c r="U791" i="3" s="1"/>
  <c r="U370" i="3" l="1"/>
  <c r="U371" i="3" s="1"/>
  <c r="U792" i="3" l="1"/>
  <c r="U1481" i="3" l="1"/>
  <c r="U578" i="3" l="1"/>
  <c r="U147" i="3" l="1"/>
  <c r="U1638" i="3" l="1"/>
  <c r="U579" i="3" l="1"/>
  <c r="U1482" i="3" l="1"/>
  <c r="U793" i="3" l="1"/>
  <c r="U1483" i="3" s="1"/>
  <c r="U1484" i="3" s="1"/>
  <c r="U1485" i="3" s="1"/>
  <c r="U1486" i="3" s="1"/>
  <c r="U1639" i="3" l="1"/>
  <c r="U794" i="3" l="1"/>
  <c r="U148" i="3" l="1"/>
  <c r="U795" i="3" l="1"/>
  <c r="U1640" i="3" l="1"/>
  <c r="U580" i="3" l="1"/>
  <c r="U581" i="3" s="1"/>
  <c r="U582" i="3" s="1"/>
  <c r="U796" i="3" l="1"/>
  <c r="U797" i="3" s="1"/>
  <c r="U798" i="3" s="1"/>
  <c r="U799" i="3" s="1"/>
  <c r="U800" i="3" s="1"/>
  <c r="U801" i="3" s="1"/>
  <c r="U1487" i="3" l="1"/>
  <c r="U1641" i="3" l="1"/>
  <c r="U802" i="3" l="1"/>
  <c r="U803" i="3" s="1"/>
  <c r="U583" i="3" l="1"/>
  <c r="U262" i="3" l="1"/>
  <c r="U804" i="3" l="1"/>
  <c r="U1488" i="3" l="1"/>
  <c r="U805" i="3" s="1"/>
  <c r="U1489" i="3" l="1"/>
  <c r="U806" i="3" l="1"/>
  <c r="U584" i="3" l="1"/>
  <c r="U807" i="3" l="1"/>
  <c r="U1642" i="3" l="1"/>
  <c r="U1643" i="3" s="1"/>
  <c r="U1644" i="3" s="1"/>
  <c r="U149" i="3" l="1"/>
  <c r="U808" i="3" l="1"/>
  <c r="U1645" i="3" l="1"/>
  <c r="U809" i="3" l="1"/>
  <c r="U810" i="3" s="1"/>
  <c r="U811" i="3" s="1"/>
  <c r="U372" i="3" l="1"/>
  <c r="U150" i="3" l="1"/>
  <c r="U812" i="3" l="1"/>
  <c r="U585" i="3" l="1"/>
  <c r="U813" i="3" s="1"/>
  <c r="U814" i="3" s="1"/>
  <c r="U815" i="3" s="1"/>
  <c r="U373" i="3" l="1"/>
  <c r="U151" i="3" l="1"/>
  <c r="U1490" i="3" l="1"/>
  <c r="U1491" i="3" s="1"/>
  <c r="U1646" i="3" l="1"/>
  <c r="U1647" i="3" s="1"/>
  <c r="U1648" i="3" s="1"/>
  <c r="U816" i="3" l="1"/>
  <c r="U436" i="3" l="1"/>
  <c r="U586" i="3" l="1"/>
  <c r="U817" i="3" l="1"/>
  <c r="U818" i="3" s="1"/>
  <c r="U819" i="3" s="1"/>
  <c r="U820" i="3" s="1"/>
  <c r="U152" i="3" l="1"/>
  <c r="U374" i="3" l="1"/>
  <c r="U1649" i="3" l="1"/>
  <c r="U1492" i="3" l="1"/>
  <c r="U1493" i="3" s="1"/>
  <c r="U587" i="3" l="1"/>
  <c r="U153" i="3" l="1"/>
  <c r="U588" i="3" s="1"/>
  <c r="U589" i="3" s="1"/>
  <c r="U590" i="3" s="1"/>
  <c r="U821" i="3" l="1"/>
  <c r="U822" i="3" s="1"/>
  <c r="U823" i="3" s="1"/>
  <c r="U824" i="3" s="1"/>
  <c r="U1494" i="3" l="1"/>
  <c r="U1495" i="3" s="1"/>
  <c r="U375" i="3" l="1"/>
  <c r="U1650" i="3" l="1"/>
  <c r="U263" i="3" l="1"/>
  <c r="U825" i="3" l="1"/>
  <c r="U826" i="3" s="1"/>
  <c r="U154" i="3" l="1"/>
  <c r="U827" i="3" s="1"/>
  <c r="U828" i="3" s="1"/>
  <c r="U437" i="3" l="1"/>
  <c r="U829" i="3" s="1"/>
  <c r="U1496" i="3" l="1"/>
  <c r="U1497" i="3" s="1"/>
  <c r="U830" i="3" l="1"/>
  <c r="U831" i="3" s="1"/>
  <c r="U591" i="3" l="1"/>
  <c r="U832" i="3" s="1"/>
  <c r="U592" i="3" l="1"/>
  <c r="U376" i="3" l="1"/>
  <c r="U377" i="3" s="1"/>
  <c r="U1498" i="3" l="1"/>
  <c r="U1651" i="3" l="1"/>
  <c r="U1499" i="3" s="1"/>
  <c r="U1652" i="3" l="1"/>
  <c r="U438" i="3" l="1"/>
  <c r="U155" i="3" l="1"/>
  <c r="U1653" i="3" l="1"/>
  <c r="U156" i="3" l="1"/>
  <c r="U833" i="3" l="1"/>
  <c r="U1654" i="3" l="1"/>
  <c r="U1655" i="3" s="1"/>
  <c r="U834" i="3" l="1"/>
  <c r="U1656" i="3" l="1"/>
  <c r="U835" i="3" l="1"/>
  <c r="U836" i="3" s="1"/>
  <c r="U837" i="3" s="1"/>
  <c r="U838" i="3" s="1"/>
  <c r="U439" i="3" l="1"/>
  <c r="U1657" i="3" l="1"/>
  <c r="U1658" i="3" s="1"/>
  <c r="U839" i="3" l="1"/>
  <c r="U840" i="3" s="1"/>
  <c r="U1500" i="3" l="1"/>
  <c r="U593" i="3" l="1"/>
  <c r="U264" i="3" l="1"/>
  <c r="U841" i="3" s="1"/>
  <c r="U842" i="3" s="1"/>
  <c r="U843" i="3" s="1"/>
  <c r="U1659" i="3" l="1"/>
  <c r="U157" i="3" l="1"/>
  <c r="U1660" i="3" s="1"/>
  <c r="U158" i="3" l="1"/>
  <c r="U159" i="3" s="1"/>
  <c r="U594" i="3" l="1"/>
  <c r="U160" i="3" l="1"/>
  <c r="U595" i="3" l="1"/>
  <c r="U844" i="3" l="1"/>
  <c r="U845" i="3" s="1"/>
  <c r="U1501" i="3" l="1"/>
  <c r="U1661" i="3" l="1"/>
  <c r="U161" i="3" l="1"/>
  <c r="U162" i="3" s="1"/>
  <c r="U163" i="3" s="1"/>
  <c r="U164" i="3" s="1"/>
  <c r="U846" i="3" l="1"/>
  <c r="U378" i="3" l="1"/>
  <c r="U847" i="3" l="1"/>
  <c r="U1502" i="3" l="1"/>
  <c r="U1503" i="3" s="1"/>
  <c r="U1504" i="3" s="1"/>
  <c r="U1505" i="3" s="1"/>
  <c r="U596" i="3" l="1"/>
  <c r="U848" i="3" l="1"/>
  <c r="U165" i="3" l="1"/>
  <c r="U849" i="3" s="1"/>
  <c r="U1662" i="3" l="1"/>
  <c r="U1506" i="3" l="1"/>
  <c r="U850" i="3" l="1"/>
  <c r="U851" i="3" s="1"/>
  <c r="U852" i="3" s="1"/>
  <c r="U1663" i="3" l="1"/>
  <c r="U1664" i="3" s="1"/>
  <c r="U1665" i="3" s="1"/>
  <c r="U853" i="3" l="1"/>
  <c r="U1666" i="3" l="1"/>
  <c r="U854" i="3" l="1"/>
  <c r="U855" i="3" s="1"/>
  <c r="U856" i="3" s="1"/>
  <c r="U857" i="3" s="1"/>
  <c r="U858" i="3" s="1"/>
  <c r="U859" i="3" s="1"/>
  <c r="U860" i="3" s="1"/>
  <c r="U166" i="3" l="1"/>
  <c r="U1667" i="3" l="1"/>
  <c r="U861" i="3" l="1"/>
  <c r="U167" i="3" l="1"/>
  <c r="U862" i="3" l="1"/>
  <c r="U863" i="3" s="1"/>
  <c r="U864" i="3" s="1"/>
  <c r="U865" i="3" s="1"/>
  <c r="U168" i="3" l="1"/>
  <c r="U169" i="3" s="1"/>
  <c r="U1668" i="3" l="1"/>
  <c r="U1669" i="3" s="1"/>
  <c r="U170" i="3" l="1"/>
  <c r="U597" i="3" l="1"/>
  <c r="U1670" i="3" l="1"/>
  <c r="U1507" i="3" l="1"/>
  <c r="U866" i="3" l="1"/>
  <c r="U598" i="3" l="1"/>
  <c r="U867" i="3" l="1"/>
  <c r="U440" i="3" l="1"/>
  <c r="U868" i="3" l="1"/>
  <c r="U1671" i="3" l="1"/>
  <c r="U1672" i="3" s="1"/>
  <c r="U869" i="3" l="1"/>
  <c r="U870" i="3" s="1"/>
  <c r="U871" i="3" s="1"/>
  <c r="U1673" i="3" l="1"/>
  <c r="U872" i="3" l="1"/>
  <c r="U1674" i="3" s="1"/>
  <c r="U873" i="3" l="1"/>
  <c r="U171" i="3" l="1"/>
  <c r="U874" i="3" l="1"/>
  <c r="U875" i="3" s="1"/>
  <c r="U1675" i="3" l="1"/>
  <c r="U441" i="3" l="1"/>
  <c r="U876" i="3" l="1"/>
  <c r="U877" i="3" s="1"/>
  <c r="U1676" i="3" l="1"/>
  <c r="U1677" i="3" s="1"/>
  <c r="U1508" i="3" l="1"/>
  <c r="U172" i="3" l="1"/>
  <c r="U878" i="3" l="1"/>
  <c r="U1678" i="3" l="1"/>
  <c r="U599" i="3" l="1"/>
  <c r="U173" i="3" l="1"/>
  <c r="U1679" i="3" l="1"/>
  <c r="U600" i="3" l="1"/>
  <c r="U879" i="3" l="1"/>
  <c r="U880" i="3" s="1"/>
  <c r="U881" i="3" s="1"/>
  <c r="U882" i="3" s="1"/>
  <c r="U883" i="3" s="1"/>
  <c r="U884" i="3" s="1"/>
  <c r="U885" i="3" s="1"/>
  <c r="U886" i="3" s="1"/>
  <c r="U887" i="3" s="1"/>
  <c r="U888" i="3" s="1"/>
  <c r="U889" i="3" s="1"/>
  <c r="U1509" i="3" l="1"/>
  <c r="U1510" i="3" s="1"/>
  <c r="U1680" i="3" l="1"/>
  <c r="U601" i="3" l="1"/>
  <c r="U174" i="3" l="1"/>
  <c r="U379" i="3" l="1"/>
  <c r="U1681" i="3" l="1"/>
  <c r="U890" i="3" l="1"/>
  <c r="U1682" i="3" l="1"/>
  <c r="U891" i="3" l="1"/>
  <c r="U1683" i="3" l="1"/>
  <c r="U442" i="3" l="1"/>
  <c r="U892" i="3" l="1"/>
  <c r="U1684" i="3" l="1"/>
  <c r="U175" i="3" l="1"/>
  <c r="U602" i="3" l="1"/>
  <c r="U176" i="3" l="1"/>
  <c r="U893" i="3" l="1"/>
  <c r="U1685" i="3" l="1"/>
  <c r="U1686" i="3" s="1"/>
  <c r="U1687" i="3" s="1"/>
  <c r="U1688" i="3" s="1"/>
  <c r="U1689" i="3" s="1"/>
  <c r="U1690" i="3" s="1"/>
  <c r="U603" i="3" l="1"/>
  <c r="U894" i="3" l="1"/>
  <c r="U604" i="3" l="1"/>
  <c r="U895" i="3" l="1"/>
  <c r="U1511" i="3" l="1"/>
  <c r="U896" i="3" l="1"/>
  <c r="U897" i="3" s="1"/>
  <c r="U898" i="3" s="1"/>
  <c r="U1512" i="3" l="1"/>
  <c r="U899" i="3" l="1"/>
  <c r="U900" i="3" s="1"/>
  <c r="U901" i="3" s="1"/>
  <c r="U902" i="3" s="1"/>
  <c r="U903" i="3" s="1"/>
  <c r="U1691" i="3" l="1"/>
  <c r="U1692" i="3" s="1"/>
  <c r="U904" i="3" l="1"/>
  <c r="U905" i="3" s="1"/>
  <c r="U906" i="3" s="1"/>
  <c r="U907" i="3" s="1"/>
  <c r="U908" i="3" s="1"/>
  <c r="U909" i="3" s="1"/>
  <c r="U910" i="3" s="1"/>
  <c r="U911" i="3" s="1"/>
  <c r="U912" i="3" s="1"/>
  <c r="U605" i="3" l="1"/>
  <c r="U606" i="3" s="1"/>
  <c r="U913" i="3" l="1"/>
  <c r="U177" i="3" l="1"/>
  <c r="U914" i="3" l="1"/>
  <c r="U915" i="3" s="1"/>
  <c r="U916" i="3" s="1"/>
  <c r="U917" i="3" s="1"/>
  <c r="U443" i="3" l="1"/>
  <c r="U918" i="3" l="1"/>
  <c r="U919" i="3" s="1"/>
  <c r="U920" i="3" s="1"/>
  <c r="U607" i="3" l="1"/>
  <c r="U921" i="3" l="1"/>
  <c r="U1693" i="3" l="1"/>
  <c r="U922" i="3" l="1"/>
  <c r="U923" i="3" s="1"/>
  <c r="U608" i="3" l="1"/>
  <c r="U924" i="3" l="1"/>
  <c r="U178" i="3" l="1"/>
  <c r="U925" i="3" l="1"/>
  <c r="U1513" i="3" l="1"/>
  <c r="U926" i="3" l="1"/>
  <c r="U927" i="3" s="1"/>
  <c r="U928" i="3" s="1"/>
  <c r="U929" i="3" s="1"/>
  <c r="U930" i="3" s="1"/>
  <c r="U931" i="3" s="1"/>
  <c r="U932" i="3" s="1"/>
  <c r="U933" i="3" s="1"/>
  <c r="U179" i="3" l="1"/>
  <c r="U180" i="3" s="1"/>
  <c r="U934" i="3" l="1"/>
  <c r="U935" i="3" s="1"/>
  <c r="U936" i="3" s="1"/>
  <c r="U937" i="3" s="1"/>
  <c r="U938" i="3" s="1"/>
  <c r="U939" i="3" s="1"/>
  <c r="U940" i="3" s="1"/>
  <c r="U941" i="3" s="1"/>
  <c r="U942" i="3" s="1"/>
  <c r="U943" i="3" s="1"/>
  <c r="U1694" i="3" l="1"/>
  <c r="U1695" i="3" s="1"/>
  <c r="U380" i="3" l="1"/>
  <c r="U944" i="3" s="1"/>
  <c r="U181" i="3" l="1"/>
  <c r="U182" i="3" s="1"/>
  <c r="U1696" i="3" l="1"/>
  <c r="U609" i="3" l="1"/>
  <c r="U945" i="3" l="1"/>
  <c r="U946" i="3" s="1"/>
  <c r="U947" i="3" s="1"/>
  <c r="U948" i="3" s="1"/>
  <c r="U949" i="3" s="1"/>
  <c r="U950" i="3" s="1"/>
  <c r="U951" i="3" s="1"/>
  <c r="U952" i="3" s="1"/>
  <c r="U610" i="3" l="1"/>
  <c r="U953" i="3" l="1"/>
  <c r="U183" i="3" l="1"/>
  <c r="U954" i="3" l="1"/>
  <c r="U1697" i="3" l="1"/>
  <c r="U1698" i="3" s="1"/>
  <c r="U1699" i="3" s="1"/>
  <c r="U955" i="3" l="1"/>
  <c r="U956" i="3" s="1"/>
  <c r="U957" i="3" s="1"/>
  <c r="U184" i="3" l="1"/>
  <c r="U185" i="3" s="1"/>
  <c r="U1700" i="3" l="1"/>
  <c r="U186" i="3" s="1"/>
  <c r="U611" i="3" l="1"/>
  <c r="U958" i="3" l="1"/>
  <c r="U959" i="3" s="1"/>
  <c r="U960" i="3" s="1"/>
  <c r="U1701" i="3" l="1"/>
  <c r="U1702" i="3" s="1"/>
  <c r="U187" i="3" l="1"/>
  <c r="U612" i="3" l="1"/>
  <c r="U961" i="3" l="1"/>
  <c r="U962" i="3" s="1"/>
  <c r="U963" i="3" s="1"/>
  <c r="U1703" i="3" l="1"/>
  <c r="U964" i="3" l="1"/>
  <c r="U188" i="3" l="1"/>
  <c r="U613" i="3" l="1"/>
  <c r="U189" i="3" s="1"/>
  <c r="U190" i="3" s="1"/>
  <c r="U1704" i="3" l="1"/>
  <c r="U1705" i="3" s="1"/>
  <c r="U1706" i="3" s="1"/>
  <c r="U614" i="3" s="1"/>
  <c r="U1707" i="3" l="1"/>
  <c r="U191" i="3" l="1"/>
  <c r="U444" i="3" l="1"/>
  <c r="U965" i="3" l="1"/>
  <c r="U966" i="3" s="1"/>
  <c r="U967" i="3" s="1"/>
  <c r="U968" i="3" s="1"/>
  <c r="U969" i="3" s="1"/>
  <c r="U970" i="3" s="1"/>
  <c r="U1708" i="3" l="1"/>
  <c r="U971" i="3" l="1"/>
  <c r="U972" i="3" s="1"/>
  <c r="U973" i="3" s="1"/>
  <c r="U974" i="3" s="1"/>
  <c r="U975" i="3" s="1"/>
  <c r="U192" i="3" l="1"/>
  <c r="U976" i="3" s="1"/>
  <c r="U977" i="3" s="1"/>
  <c r="U193" i="3" l="1"/>
  <c r="U978" i="3" l="1"/>
  <c r="U1709" i="3" l="1"/>
  <c r="U979" i="3" s="1"/>
  <c r="U194" i="3" l="1"/>
  <c r="U980" i="3" s="1"/>
  <c r="U981" i="3" s="1"/>
  <c r="U1710" i="3" l="1"/>
  <c r="U982" i="3" l="1"/>
  <c r="U195" i="3" l="1"/>
  <c r="U196" i="3" s="1"/>
  <c r="U983" i="3" l="1"/>
  <c r="U984" i="3" s="1"/>
  <c r="U985" i="3" s="1"/>
  <c r="U1711" i="3" l="1"/>
  <c r="U1712" i="3" s="1"/>
  <c r="U1713" i="3" s="1"/>
  <c r="U1714" i="3" s="1"/>
  <c r="U986" i="3" l="1"/>
  <c r="U197" i="3" l="1"/>
  <c r="U987" i="3" s="1"/>
  <c r="U988" i="3" s="1"/>
  <c r="U1715" i="3" l="1"/>
  <c r="U989" i="3" l="1"/>
  <c r="U445" i="3" l="1"/>
  <c r="U990" i="3" l="1"/>
  <c r="U991" i="3" s="1"/>
  <c r="U992" i="3" l="1"/>
  <c r="U993" i="3" s="1"/>
  <c r="U1716" i="3" l="1"/>
  <c r="U994" i="3" l="1"/>
  <c r="U995" i="3" s="1"/>
  <c r="U996" i="3" s="1"/>
  <c r="U997" i="3" l="1"/>
  <c r="U1514" i="3" l="1"/>
  <c r="U1515" i="3" s="1"/>
  <c r="U615" i="3" l="1"/>
  <c r="U1717" i="3" l="1"/>
  <c r="U998" i="3" l="1"/>
  <c r="U999" i="3" s="1"/>
  <c r="U1000" i="3" s="1"/>
  <c r="U1001" i="3" s="1"/>
  <c r="U1002" i="3" l="1"/>
  <c r="U1003" i="3" s="1"/>
  <c r="U1004" i="3" l="1"/>
  <c r="U1718" i="3" l="1"/>
  <c r="U1005" i="3" l="1"/>
  <c r="U1006" i="3" l="1"/>
  <c r="U1007" i="3" s="1"/>
  <c r="U1719" i="3" l="1"/>
  <c r="U1720" i="3" s="1"/>
  <c r="U1721" i="3" s="1"/>
  <c r="U1008" i="3" l="1"/>
  <c r="U1722" i="3" l="1"/>
  <c r="U1009" i="3" l="1"/>
  <c r="U616" i="3" l="1"/>
  <c r="U1010" i="3" l="1"/>
  <c r="U1516" i="3" l="1"/>
  <c r="U1517" i="3" s="1"/>
  <c r="U1011" i="3" s="1"/>
  <c r="U617" i="3" l="1"/>
  <c r="U1012" i="3" l="1"/>
  <c r="U1013" i="3" s="1"/>
  <c r="U1014" i="3" s="1"/>
  <c r="U1723" i="3" l="1"/>
  <c r="U1724" i="3" l="1"/>
  <c r="U1362" i="3" l="1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725" i="3"/>
  <c r="U1363" i="3"/>
  <c r="U1726" i="3"/>
  <c r="U215" i="3"/>
  <c r="U1029" i="3"/>
  <c r="U1030" i="3"/>
  <c r="U216" i="3"/>
  <c r="U217" i="3"/>
  <c r="U1031" i="3"/>
  <c r="U1032" i="3"/>
  <c r="U1727" i="3"/>
  <c r="U1033" i="3"/>
  <c r="U1034" i="3"/>
  <c r="U1035" i="3"/>
  <c r="U1728" i="3"/>
  <c r="U1518" i="3"/>
  <c r="U1036" i="3"/>
  <c r="U1037" i="3"/>
  <c r="U618" i="3"/>
  <c r="U218" i="3"/>
  <c r="U1038" i="3"/>
  <c r="U1039" i="3"/>
  <c r="U1729" i="3"/>
  <c r="U1730" i="3"/>
  <c r="U1040" i="3"/>
  <c r="U1041" i="3"/>
  <c r="U1731" i="3"/>
  <c r="U1732" i="3"/>
  <c r="U1042" i="3"/>
  <c r="U1043" i="3"/>
  <c r="U1733" i="3"/>
  <c r="U1044" i="3"/>
  <c r="U219" i="3"/>
  <c r="U1045" i="3"/>
  <c r="U1046" i="3"/>
  <c r="U220" i="3"/>
  <c r="U1047" i="3"/>
  <c r="U1048" i="3"/>
  <c r="U1049" i="3"/>
  <c r="U1050" i="3"/>
  <c r="U1051" i="3"/>
  <c r="U446" i="3"/>
  <c r="U1052" i="3"/>
  <c r="U1734" i="3"/>
  <c r="U221" i="3"/>
  <c r="U619" i="3"/>
  <c r="U1053" i="3"/>
  <c r="U1054" i="3"/>
  <c r="U1735" i="3"/>
  <c r="U1736" i="3"/>
  <c r="U1055" i="3"/>
  <c r="U222" i="3"/>
  <c r="U1056" i="3"/>
  <c r="U1057" i="3"/>
  <c r="U1058" i="3"/>
  <c r="U223" i="3"/>
  <c r="U1059" i="3"/>
  <c r="U1519" i="3"/>
  <c r="U1520" i="3"/>
  <c r="U1060" i="3"/>
  <c r="U1061" i="3"/>
  <c r="U224" i="3"/>
  <c r="U1737" i="3"/>
  <c r="U1062" i="3"/>
  <c r="U1063" i="3"/>
  <c r="U1738" i="3"/>
  <c r="U1064" i="3"/>
  <c r="U1065" i="3"/>
  <c r="U1066" i="3"/>
  <c r="U1067" i="3"/>
  <c r="U1364" i="3"/>
  <c r="U1068" i="3"/>
  <c r="U1069" i="3"/>
  <c r="U1070" i="3"/>
  <c r="U1071" i="3"/>
  <c r="U1072" i="3"/>
  <c r="U1073" i="3"/>
  <c r="U1074" i="3"/>
  <c r="U1075" i="3"/>
  <c r="U1076" i="3"/>
  <c r="U1077" i="3"/>
  <c r="U225" i="3"/>
  <c r="U1365" i="3"/>
  <c r="U226" i="3"/>
  <c r="U1078" i="3"/>
  <c r="U1079" i="3"/>
  <c r="U620" i="3"/>
  <c r="U1080" i="3"/>
  <c r="U1739" i="3"/>
  <c r="U1366" i="3"/>
  <c r="U1081" i="3"/>
  <c r="U1082" i="3"/>
  <c r="U1083" i="3"/>
  <c r="U1740" i="3"/>
  <c r="U227" i="3"/>
  <c r="U1084" i="3"/>
  <c r="U1085" i="3"/>
  <c r="U1086" i="3"/>
  <c r="U1087" i="3"/>
  <c r="U1088" i="3"/>
  <c r="U1089" i="3"/>
  <c r="U1090" i="3"/>
  <c r="U1091" i="3"/>
  <c r="U1367" i="3"/>
  <c r="U1092" i="3"/>
  <c r="U1093" i="3"/>
  <c r="U228" i="3"/>
  <c r="U229" i="3"/>
  <c r="U230" i="3"/>
  <c r="U447" i="3"/>
  <c r="U1521" i="3"/>
  <c r="U1368" i="3"/>
  <c r="U1094" i="3"/>
  <c r="U1095" i="3"/>
  <c r="U1096" i="3"/>
  <c r="U1097" i="3"/>
  <c r="U1098" i="3"/>
  <c r="U1099" i="3"/>
  <c r="U1100" i="3"/>
  <c r="U1101" i="3"/>
  <c r="U1369" i="3"/>
  <c r="U1102" i="3"/>
  <c r="U1103" i="3"/>
  <c r="U621" i="3"/>
  <c r="U1104" i="3"/>
  <c r="U1105" i="3"/>
  <c r="U1106" i="3"/>
  <c r="U1107" i="3"/>
  <c r="U1108" i="3"/>
  <c r="U1109" i="3"/>
  <c r="U1741" i="3"/>
  <c r="U1110" i="3"/>
  <c r="U1111" i="3"/>
  <c r="U1112" i="3"/>
  <c r="U1113" i="3"/>
  <c r="U1114" i="3"/>
  <c r="U231" i="3"/>
  <c r="U1115" i="3"/>
  <c r="U1116" i="3"/>
  <c r="U1742" i="3"/>
  <c r="U1117" i="3"/>
  <c r="U1118" i="3"/>
  <c r="U232" i="3"/>
  <c r="U1119" i="3"/>
  <c r="U1120" i="3"/>
  <c r="U1121" i="3"/>
  <c r="U1743" i="3"/>
  <c r="U1744" i="3"/>
  <c r="U1745" i="3"/>
  <c r="U622" i="3"/>
  <c r="U1122" i="3"/>
  <c r="U1746" i="3"/>
  <c r="U233" i="3"/>
  <c r="U1123" i="3"/>
  <c r="U623" i="3"/>
  <c r="U1370" i="3"/>
  <c r="U624" i="3"/>
  <c r="U1124" i="3"/>
  <c r="U1125" i="3"/>
  <c r="U1126" i="3"/>
  <c r="U234" i="3"/>
  <c r="U235" i="3"/>
  <c r="U1371" i="3"/>
  <c r="U1127" i="3"/>
  <c r="U1128" i="3"/>
  <c r="U1129" i="3"/>
  <c r="U1130" i="3"/>
  <c r="U1372" i="3"/>
  <c r="U1131" i="3"/>
  <c r="U236" i="3"/>
  <c r="U1132" i="3"/>
  <c r="U1133" i="3"/>
  <c r="U1134" i="3"/>
  <c r="U237" i="3"/>
  <c r="U1135" i="3"/>
  <c r="U1136" i="3"/>
  <c r="U448" i="3"/>
  <c r="U1373" i="3"/>
  <c r="U1374" i="3"/>
  <c r="U238" i="3"/>
  <c r="U1375" i="3"/>
  <c r="U1137" i="3"/>
  <c r="U239" i="3"/>
  <c r="U1138" i="3"/>
  <c r="U1139" i="3"/>
  <c r="U1140" i="3"/>
  <c r="U1141" i="3"/>
  <c r="U1376" i="3"/>
  <c r="U1142" i="3"/>
  <c r="U1143" i="3"/>
  <c r="U1144" i="3"/>
  <c r="U1145" i="3"/>
  <c r="U1146" i="3"/>
  <c r="U1377" i="3"/>
  <c r="U1147" i="3"/>
  <c r="U1148" i="3"/>
  <c r="U1149" i="3"/>
  <c r="U1150" i="3"/>
  <c r="U1151" i="3"/>
  <c r="U625" i="3"/>
  <c r="U240" i="3"/>
  <c r="U241" i="3"/>
  <c r="U1152" i="3"/>
  <c r="U1378" i="3"/>
  <c r="U1153" i="3"/>
  <c r="U1154" i="3"/>
  <c r="U1155" i="3"/>
  <c r="U1156" i="3"/>
  <c r="U1157" i="3"/>
  <c r="U1158" i="3"/>
  <c r="U1159" i="3"/>
  <c r="U1379" i="3"/>
  <c r="U1380" i="3"/>
  <c r="U1160" i="3"/>
  <c r="U1161" i="3"/>
  <c r="U1162" i="3"/>
  <c r="U1163" i="3"/>
  <c r="U1164" i="3"/>
  <c r="U1522" i="3"/>
  <c r="U1165" i="3"/>
  <c r="U1166" i="3"/>
  <c r="U1167" i="3"/>
  <c r="U1168" i="3"/>
  <c r="U1169" i="3"/>
  <c r="U1170" i="3"/>
  <c r="U1171" i="3"/>
  <c r="U1172" i="3"/>
  <c r="U1173" i="3"/>
  <c r="U1523" i="3"/>
  <c r="U1524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381" i="3"/>
  <c r="U1382" i="3"/>
  <c r="U1383" i="3"/>
  <c r="U1384" i="3"/>
  <c r="U242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449" i="3"/>
  <c r="U450" i="3"/>
  <c r="U1208" i="3"/>
  <c r="U1209" i="3"/>
  <c r="U451" i="3"/>
  <c r="U1210" i="3"/>
  <c r="U1211" i="3"/>
  <c r="U452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385" i="3"/>
  <c r="U1227" i="3"/>
  <c r="U1228" i="3"/>
  <c r="U1386" i="3"/>
  <c r="U1229" i="3"/>
  <c r="U1230" i="3"/>
  <c r="U1231" i="3"/>
  <c r="U243" i="3"/>
  <c r="U1232" i="3"/>
  <c r="U1233" i="3"/>
  <c r="U1234" i="3"/>
  <c r="U1235" i="3"/>
  <c r="U1236" i="3"/>
  <c r="U1237" i="3"/>
  <c r="U1238" i="3"/>
  <c r="U1239" i="3"/>
  <c r="U1240" i="3"/>
  <c r="U1241" i="3"/>
  <c r="U1387" i="3"/>
  <c r="U1242" i="3"/>
  <c r="U453" i="3"/>
  <c r="U1243" i="3"/>
  <c r="U1244" i="3"/>
  <c r="U1245" i="3"/>
  <c r="U1246" i="3"/>
  <c r="U1247" i="3"/>
  <c r="U1248" i="3"/>
  <c r="U1249" i="3"/>
  <c r="U454" i="3"/>
  <c r="U1250" i="3"/>
  <c r="U1251" i="3"/>
  <c r="U1252" i="3"/>
  <c r="U1253" i="3"/>
  <c r="U1254" i="3"/>
  <c r="U455" i="3"/>
  <c r="U456" i="3"/>
  <c r="U457" i="3"/>
  <c r="U458" i="3"/>
  <c r="U459" i="3"/>
  <c r="U626" i="3"/>
  <c r="U1255" i="3"/>
  <c r="U1256" i="3"/>
  <c r="U1257" i="3"/>
  <c r="U1258" i="3"/>
  <c r="U1259" i="3"/>
  <c r="U460" i="3"/>
  <c r="U1260" i="3"/>
  <c r="U1261" i="3"/>
  <c r="U1262" i="3"/>
  <c r="U1388" i="3"/>
  <c r="U1263" i="3"/>
  <c r="U461" i="3"/>
  <c r="U1264" i="3"/>
  <c r="U1265" i="3"/>
  <c r="U1266" i="3"/>
  <c r="U1267" i="3"/>
  <c r="U1268" i="3"/>
  <c r="U1269" i="3"/>
  <c r="U1270" i="3"/>
  <c r="U1389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462" i="3"/>
  <c r="U1283" i="3"/>
  <c r="U1284" i="3"/>
  <c r="U1285" i="3"/>
  <c r="U1286" i="3"/>
  <c r="U1287" i="3"/>
  <c r="U1288" i="3"/>
  <c r="U463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464" i="3"/>
  <c r="U465" i="3"/>
  <c r="U1307" i="3"/>
  <c r="U1308" i="3"/>
  <c r="U1309" i="3"/>
  <c r="U1310" i="3"/>
  <c r="U466" i="3"/>
  <c r="U1311" i="3"/>
  <c r="U1312" i="3"/>
  <c r="U467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627" i="3"/>
  <c r="U1329" i="3"/>
  <c r="U1330" i="3"/>
  <c r="U1331" i="3"/>
  <c r="U1525" i="3"/>
  <c r="U1332" i="3"/>
  <c r="U1333" i="3"/>
  <c r="U1334" i="3"/>
  <c r="U1335" i="3"/>
  <c r="U1336" i="3"/>
  <c r="U468" i="3"/>
  <c r="U1337" i="3"/>
  <c r="U469" i="3"/>
  <c r="U1338" i="3"/>
  <c r="U1339" i="3"/>
  <c r="U1340" i="3"/>
  <c r="U1341" i="3"/>
  <c r="U1342" i="3"/>
  <c r="U470" i="3"/>
  <c r="U1343" i="3"/>
  <c r="U1344" i="3"/>
  <c r="U1345" i="3"/>
  <c r="U1346" i="3"/>
  <c r="U1347" i="3"/>
  <c r="U1348" i="3"/>
  <c r="U1349" i="3"/>
  <c r="U1350" i="3"/>
  <c r="U1351" i="3"/>
  <c r="U1526" i="3"/>
  <c r="U1352" i="3"/>
  <c r="U1353" i="3"/>
  <c r="U1354" i="3"/>
  <c r="U1355" i="3"/>
  <c r="U1527" i="3"/>
  <c r="U1528" i="3"/>
  <c r="U1356" i="3"/>
  <c r="U1357" i="3"/>
  <c r="U1358" i="3"/>
  <c r="U1359" i="3"/>
  <c r="U1360" i="3"/>
  <c r="U471" i="3"/>
  <c r="U1529" i="3"/>
  <c r="U1530" i="3"/>
  <c r="U1531" i="3"/>
  <c r="U1532" i="3"/>
  <c r="U1533" i="3"/>
  <c r="U1534" i="3"/>
</calcChain>
</file>

<file path=xl/sharedStrings.xml><?xml version="1.0" encoding="utf-8"?>
<sst xmlns="http://schemas.openxmlformats.org/spreadsheetml/2006/main" count="14524" uniqueCount="3001">
  <si>
    <t>REFERÊNCIA</t>
  </si>
  <si>
    <t>FAMILIA</t>
  </si>
  <si>
    <t>VALOR UNIT</t>
  </si>
  <si>
    <t>FORNECEDOR</t>
  </si>
  <si>
    <t>CATEGORIA</t>
  </si>
  <si>
    <t>UNIDADE LOGÍSTICA</t>
  </si>
  <si>
    <t>ALTURA (cm)</t>
  </si>
  <si>
    <t>COMPRIMENTO (cm)</t>
  </si>
  <si>
    <t>LARGURA (cm)</t>
  </si>
  <si>
    <t>PESO UNIT (kg)</t>
  </si>
  <si>
    <t>PRODUTO</t>
  </si>
  <si>
    <t>GERDAU</t>
  </si>
  <si>
    <t>FERRO</t>
  </si>
  <si>
    <t>PEÇA</t>
  </si>
  <si>
    <t>Q61 (CA-60)</t>
  </si>
  <si>
    <t>COFER</t>
  </si>
  <si>
    <t>COLUNA 1/4</t>
  </si>
  <si>
    <t>COLUNA 5/16</t>
  </si>
  <si>
    <t>COLUNA 3/8</t>
  </si>
  <si>
    <t>TR 08645</t>
  </si>
  <si>
    <t>TR 12645</t>
  </si>
  <si>
    <t>TR 12646</t>
  </si>
  <si>
    <t>ARGAMASSAS</t>
  </si>
  <si>
    <t>ARGAMASSA CIMENTCOLA</t>
  </si>
  <si>
    <t>SACO</t>
  </si>
  <si>
    <t>QUARTZOLIT</t>
  </si>
  <si>
    <t>ARGAMASSA ASSENTAMENTO INTERNO</t>
  </si>
  <si>
    <t>FORTALEZA</t>
  </si>
  <si>
    <t>CIMENTO CP II-F32 PORTLAND COMPOSTO</t>
  </si>
  <si>
    <t>CP II-F32 COMP IT</t>
  </si>
  <si>
    <t>ITAMBÉ</t>
  </si>
  <si>
    <t>CP II-F32 COMP TP</t>
  </si>
  <si>
    <t>TUPI</t>
  </si>
  <si>
    <t>CIMENTO COLA FLEXÍVEL</t>
  </si>
  <si>
    <t>CIMENCOLA SC</t>
  </si>
  <si>
    <t>SEMPRE COLA</t>
  </si>
  <si>
    <t>CIMENTO COLA INTERIOR</t>
  </si>
  <si>
    <t>CIMENCOLA INT</t>
  </si>
  <si>
    <t>REJUNTE CERÂMICO PRETO</t>
  </si>
  <si>
    <t>REJ PR FORT</t>
  </si>
  <si>
    <t>REJUNTE CERÂMICO VERDE</t>
  </si>
  <si>
    <t>REJ VD FORT</t>
  </si>
  <si>
    <t>CAL HIDRATADA</t>
  </si>
  <si>
    <t>VOTORANTIM</t>
  </si>
  <si>
    <t>CAL DE PINTURA</t>
  </si>
  <si>
    <t>TELHAS</t>
  </si>
  <si>
    <t>TELHA CERÂMICA COR RÚBIA</t>
  </si>
  <si>
    <t xml:space="preserve"> TC-RUB-MAR</t>
  </si>
  <si>
    <t>PACOTE</t>
  </si>
  <si>
    <t>MARISTELA</t>
  </si>
  <si>
    <t xml:space="preserve">TELHA CERÂMICA MEDITERRÂNEA </t>
  </si>
  <si>
    <t>TC-MED-MAR</t>
  </si>
  <si>
    <t>TELHA CERÂMICA ESMALTADA VERDE MSUSGO</t>
  </si>
  <si>
    <t xml:space="preserve">TC-ES-VD </t>
  </si>
  <si>
    <t>TELHABRAS</t>
  </si>
  <si>
    <t>TELHA CERÂMICA AMERICANA VERMELHA</t>
  </si>
  <si>
    <t>TC-AM-VER</t>
  </si>
  <si>
    <t>CRUZADO</t>
  </si>
  <si>
    <t>TELHA CERÂMICA TOP TELHA CAFÉ</t>
  </si>
  <si>
    <t>TC-TOP-CAFÉ</t>
  </si>
  <si>
    <t>TELHA CERÂMICA ESPIGÃO MARFIM</t>
  </si>
  <si>
    <t>TC-MARFIM</t>
  </si>
  <si>
    <t>TELHA CERÂMICA ESMALTADA PERKUS COFFEE</t>
  </si>
  <si>
    <t>TC-ES-COFFEE</t>
  </si>
  <si>
    <t>R CASAGRANDE</t>
  </si>
  <si>
    <t>TELHA CERÂMICA ESMALTADA PERKUS SFUMATO</t>
  </si>
  <si>
    <t>TC-ES-SFU</t>
  </si>
  <si>
    <t>TELHA CERÂMICA PLAN ESMALTADA PERKUS BORDEAU</t>
  </si>
  <si>
    <t>TC-ES-BORDEAU</t>
  </si>
  <si>
    <t>TELHA CERÂMICA TOP TELHA IMPERMEABILIZADA</t>
  </si>
  <si>
    <t>TC-TOP-IMP</t>
  </si>
  <si>
    <t>CUMEEIRA CERÂMICA COR RÚBIA</t>
  </si>
  <si>
    <t>CC-RUBIA</t>
  </si>
  <si>
    <t>CUMEEIRA CERÂMICA TOP TELHA MEDITERRÂNEA</t>
  </si>
  <si>
    <t>CU-TOP-MED</t>
  </si>
  <si>
    <t>CUMEEIRA CERÂMICA ESMALTADA VERDE MUSGO</t>
  </si>
  <si>
    <t>CU-ES-VD</t>
  </si>
  <si>
    <t>CUMEEIRA CERÂMICA AMERICANA VERMELHA</t>
  </si>
  <si>
    <t>CU-AM-VR</t>
  </si>
  <si>
    <t>CUMEEIRA CERÂMICA TOP TELHA CAFÉ</t>
  </si>
  <si>
    <t>CU-TOP-CAFÉ</t>
  </si>
  <si>
    <t>CUMEEIRA CERÂMICA ESPIGÃO MARFIM</t>
  </si>
  <si>
    <t>CU-MARFIM</t>
  </si>
  <si>
    <t>CUMEEIRA CERÂMICA ESMALTADA PERKUS COFFEE</t>
  </si>
  <si>
    <t>CU-ES-COFFEE</t>
  </si>
  <si>
    <t>CUMEEIRA CERÂMICA ESMALTADA PERKUS SFUMATO</t>
  </si>
  <si>
    <t>CU-ES-SFUMATO</t>
  </si>
  <si>
    <t>CUMEEIRA CERÂMICA PLAN ESMALTADA PERKUS BORDEAU</t>
  </si>
  <si>
    <t>CU-ES-BORDEAU</t>
  </si>
  <si>
    <t>CUMEEIRA CERÂMICA TOP TELHA IMPERMEABILIZADA</t>
  </si>
  <si>
    <t>CU-TOP-IMP</t>
  </si>
  <si>
    <t>TERMINAL CERÂMICA COR RÚBIA</t>
  </si>
  <si>
    <t>TER-CER-RUBIA</t>
  </si>
  <si>
    <t>TERMINAL CERÂMICA MEDITERRÂNEA</t>
  </si>
  <si>
    <t>TER-CER-MED</t>
  </si>
  <si>
    <t>TERMINAL CERÂMICA ESTAMPADA VERDE MUSGO</t>
  </si>
  <si>
    <t>TER-CER-VD</t>
  </si>
  <si>
    <t>TERMINAL CERÂMICA AMERICANA VERMELHA</t>
  </si>
  <si>
    <t>TER-CER-AM-VR</t>
  </si>
  <si>
    <t>TERMINAL CERÂMICA TOP TELHA CAFÉ</t>
  </si>
  <si>
    <t>TER-CER-TOP-CAFÉ</t>
  </si>
  <si>
    <t>TERMINAL CERÂMICA ESPIGÃO MARFIM</t>
  </si>
  <si>
    <t>TER-CER-MARFIM</t>
  </si>
  <si>
    <t>TERMINAL CERÂMICA ESMALTADA PERKUS COFFEE</t>
  </si>
  <si>
    <t>TER-CER-ES-COFFEE</t>
  </si>
  <si>
    <t>TERMINAL CERÂMICA ESMALTADA PERKUS SFUMATO</t>
  </si>
  <si>
    <t>TER-CER-TOP-SFUMATO</t>
  </si>
  <si>
    <t>TERMINAL CERÂMICA PLAN ESMALTADA PERKUS BORDEAU</t>
  </si>
  <si>
    <t>TER-CER-ES-BORD</t>
  </si>
  <si>
    <t>TERMINAL CERÂMICA TOP TELHA IMPERMEABILIZADA</t>
  </si>
  <si>
    <t>TER-CER-TOP-IMP</t>
  </si>
  <si>
    <t>TIJOLOS</t>
  </si>
  <si>
    <t>TIJOLO REFRATÁRIO PA BENTO</t>
  </si>
  <si>
    <t>TIJ-REF-PB</t>
  </si>
  <si>
    <t>PADRE BENTO</t>
  </si>
  <si>
    <t>TIJOLO REFRATÁRIO MARTINS</t>
  </si>
  <si>
    <t>TIJ-REF-MART</t>
  </si>
  <si>
    <t xml:space="preserve">MARTINS </t>
  </si>
  <si>
    <t>LAJOTA REFRATÁRIA PA BENTO</t>
  </si>
  <si>
    <t>LAJ-REF-PB</t>
  </si>
  <si>
    <t>TIJOLO VIDRO INCOLOR</t>
  </si>
  <si>
    <t>TIJ-VIDRO-SOL</t>
  </si>
  <si>
    <t>SOLARIS</t>
  </si>
  <si>
    <t>TIJOLO VIDRO  VETRO JANUS ICY</t>
  </si>
  <si>
    <t>TIJ-VIDRO-ELECTRO</t>
  </si>
  <si>
    <t>ELECTROVIDRO</t>
  </si>
  <si>
    <t>RESERVATÓRIOS</t>
  </si>
  <si>
    <t>CAIXA D'ÁGUA 1000L</t>
  </si>
  <si>
    <t>CX-1000L</t>
  </si>
  <si>
    <t>FORTLEV</t>
  </si>
  <si>
    <t>CAIXA D'ÁGUA 500 L</t>
  </si>
  <si>
    <t>CX-500L</t>
  </si>
  <si>
    <t>PLASTIFIBRA</t>
  </si>
  <si>
    <t>FOSSA SÉPTICA POLIETILENO 5000L FUNDO CÔNICO</t>
  </si>
  <si>
    <t>FOS-SEP-5000</t>
  </si>
  <si>
    <t>AQUALIMP</t>
  </si>
  <si>
    <t>FOSSA SÉPTICA POLIETILENO 1300L FUNDO CÔNICO</t>
  </si>
  <si>
    <t>FOS-SEP-1300</t>
  </si>
  <si>
    <t>FILTRO CAIXA D'ÁGUA</t>
  </si>
  <si>
    <t>FIL-CXDAGUA</t>
  </si>
  <si>
    <t>DECA</t>
  </si>
  <si>
    <t>MATERIAL DE CONSTRUÇÃO</t>
  </si>
  <si>
    <t>COLUNA PARA LAVATÓRIO SABATINI BRANCO</t>
  </si>
  <si>
    <t>CPLB SB001</t>
  </si>
  <si>
    <t>COLUNA PARA LAVATÓRIO BRANCA IC301</t>
  </si>
  <si>
    <t>CPLB IC300</t>
  </si>
  <si>
    <t>COLUNA PARA LAVATÓRIO OXFORD BRANCO GELO</t>
  </si>
  <si>
    <t>CPL OBG001</t>
  </si>
  <si>
    <t>COLUNA PARA LAVATÓRIO GELO C10</t>
  </si>
  <si>
    <t>CPLG C10</t>
  </si>
  <si>
    <t>COLUNA PARA LAVATÓRIO AZALEA BRANCA</t>
  </si>
  <si>
    <t>CPL AB01</t>
  </si>
  <si>
    <t>COLUNA PARA LAVATÓRIO RIVIERA ÁGUA MARINHA</t>
  </si>
  <si>
    <t>CPL RAM001</t>
  </si>
  <si>
    <t>COLUNA PARA LAVATÓRIO THEMA CINZA PLATINA</t>
  </si>
  <si>
    <t>CPL TCP01</t>
  </si>
  <si>
    <t>CUBA PARA LAVATÓRIO SABATINI PALHA II5-01</t>
  </si>
  <si>
    <t>CBL SPII5</t>
  </si>
  <si>
    <t>CUBA PARA LAVATÓRIO FIRENZE CREME</t>
  </si>
  <si>
    <t>CBL FC001</t>
  </si>
  <si>
    <t>CUBA PARA LAVATÓRIO SEMI ENCAIXE BRANCA</t>
  </si>
  <si>
    <t>CBL SEB024</t>
  </si>
  <si>
    <t>CUBA PARA LAVATÓRIO SAVEIRO CINZA PRATA</t>
  </si>
  <si>
    <t>CBL  CP001</t>
  </si>
  <si>
    <t xml:space="preserve">CUBA PARA LAVATÓRIO FIT PERGAMON </t>
  </si>
  <si>
    <t>CBL FP025</t>
  </si>
  <si>
    <t>CUBA PARA LAVATÓRIO AZALEA PERGAMON</t>
  </si>
  <si>
    <t>CBL AP025</t>
  </si>
  <si>
    <t>CUBA PARA LAVATÓRIO OVAL BRANCA</t>
  </si>
  <si>
    <t>CBL OB001</t>
  </si>
  <si>
    <t>CUBA PARA LAVATÓRIO PARATI BRANCO</t>
  </si>
  <si>
    <t>CBL PB0014</t>
  </si>
  <si>
    <t>CUBA PARA LAVATÓRIO SENTIRE BRANCA</t>
  </si>
  <si>
    <t>CBL SB001</t>
  </si>
  <si>
    <t>CUBA PARA LAVATÓRIO INVERNO BRANCA</t>
  </si>
  <si>
    <t>CBL IB001</t>
  </si>
  <si>
    <t>CUBA PARA LAVATÓRIO NEXO BRANCA</t>
  </si>
  <si>
    <t>CBL NB031</t>
  </si>
  <si>
    <t>MICTÓRIO SIFONADO COM MECANISMO BRANCO</t>
  </si>
  <si>
    <t>MSMB 045</t>
  </si>
  <si>
    <t>MICTÓRIO COM SIFÃO INTEGRADO BRANCO GELO</t>
  </si>
  <si>
    <t>MSI BG013</t>
  </si>
  <si>
    <t>MICTÓRIO SIFONADO BRANCO</t>
  </si>
  <si>
    <t>MSB 017</t>
  </si>
  <si>
    <t xml:space="preserve">MICTÓRIO COM SIFRÃO INTEGRADO CREME </t>
  </si>
  <si>
    <t>MSI C045</t>
  </si>
  <si>
    <t>MSMB 046</t>
  </si>
  <si>
    <t>MSMB 047</t>
  </si>
  <si>
    <t>MSMB 048</t>
  </si>
  <si>
    <t>MICTÓRIO INOX</t>
  </si>
  <si>
    <t>MI001</t>
  </si>
  <si>
    <t>MI002</t>
  </si>
  <si>
    <t>VASO SANITÁRIO INFANTIL BRANCO</t>
  </si>
  <si>
    <t>VS IB01</t>
  </si>
  <si>
    <t>VASO SANITÁRIO FIT PRETO</t>
  </si>
  <si>
    <t>VSF PR017</t>
  </si>
  <si>
    <t>VASO SANITÁRIO FIT PEGAMON</t>
  </si>
  <si>
    <t>VSF P015</t>
  </si>
  <si>
    <t>VASO SANITÁRIO RIVIERA PERGAMON</t>
  </si>
  <si>
    <t>VSR P001</t>
  </si>
  <si>
    <t>VASO SANITÁRIO FLAMINGO</t>
  </si>
  <si>
    <t>VSF 01</t>
  </si>
  <si>
    <t>VASO SANITÁRIO PARATI BEGE AREIA</t>
  </si>
  <si>
    <t>VS PBA014</t>
  </si>
  <si>
    <t>VASO SANITÁRIO PARATI BRANCO</t>
  </si>
  <si>
    <t>VS PB012</t>
  </si>
  <si>
    <t>VASO SANITÁRIO PARATI CINZA</t>
  </si>
  <si>
    <t>VS PC041</t>
  </si>
  <si>
    <t>VASO SANITÁRIO DAMA SENSO</t>
  </si>
  <si>
    <t>VS DS014</t>
  </si>
  <si>
    <t>VASO SANITÁRIO HAPPENING BRANCO</t>
  </si>
  <si>
    <t>VS HB019</t>
  </si>
  <si>
    <t>VASO SANITÁRIO MERIDIAN BRANCO</t>
  </si>
  <si>
    <t>VS MB014</t>
  </si>
  <si>
    <t>CONJUNTO MÓVEL PARA BANHEIRO</t>
  </si>
  <si>
    <t>CMPB001</t>
  </si>
  <si>
    <t>CMPB002</t>
  </si>
  <si>
    <t>CMPB003</t>
  </si>
  <si>
    <t>CMPB004</t>
  </si>
  <si>
    <t>CMPB005</t>
  </si>
  <si>
    <t>CMPB006</t>
  </si>
  <si>
    <t>CMPB007</t>
  </si>
  <si>
    <t>CMPB008</t>
  </si>
  <si>
    <t>CMPB009</t>
  </si>
  <si>
    <t>CAIXA ACOPLADA ETNA BR DUPLO ACIONAMENTO</t>
  </si>
  <si>
    <t>CAE DA044</t>
  </si>
  <si>
    <t>CAIXA ACOPLADA ECOFLUSH THEMA</t>
  </si>
  <si>
    <t>CAE ET001</t>
  </si>
  <si>
    <t xml:space="preserve">CAIXA ACOPLADA LIFE ECOFLUSH </t>
  </si>
  <si>
    <t>CAE LE002</t>
  </si>
  <si>
    <t>ACABAMENTOS</t>
  </si>
  <si>
    <t>RB BENEFICIAMENTOS</t>
  </si>
  <si>
    <t>32 029582</t>
  </si>
  <si>
    <t>4360 PEI IV</t>
  </si>
  <si>
    <t>CAIXA</t>
  </si>
  <si>
    <t>LUME</t>
  </si>
  <si>
    <t>TECNOQUARTZ NAT. RE MAXIGRES</t>
  </si>
  <si>
    <t>ELIANE</t>
  </si>
  <si>
    <t>4301 PEI V</t>
  </si>
  <si>
    <t>PEDRA MISTA HD 50060</t>
  </si>
  <si>
    <t>INCEFRA</t>
  </si>
  <si>
    <t>MOSAICO GELO HD 26306</t>
  </si>
  <si>
    <t> 83994</t>
  </si>
  <si>
    <t>IDEALLE</t>
  </si>
  <si>
    <t>MAXIGRES ROSSINI SNOW</t>
  </si>
  <si>
    <t>NATURALE LUX HD PEI IV</t>
  </si>
  <si>
    <t>FIORANO</t>
  </si>
  <si>
    <t>43112 PEI IV</t>
  </si>
  <si>
    <t>RIMINI PEI V</t>
  </si>
  <si>
    <t>DECORELLE</t>
  </si>
  <si>
    <t>RAVENA BEGE PEI IV </t>
  </si>
  <si>
    <t>DESIGN PD 33150 PEI IV</t>
  </si>
  <si>
    <t>CARGO PLUS WHITE</t>
  </si>
  <si>
    <t>ARIZONA BE NAT</t>
  </si>
  <si>
    <t>CECRISA</t>
  </si>
  <si>
    <t>4338 PEI IV </t>
  </si>
  <si>
    <t>4327 PEI IV</t>
  </si>
  <si>
    <t> 43131 PEI V</t>
  </si>
  <si>
    <t> 80318</t>
  </si>
  <si>
    <t> IBIZA</t>
  </si>
  <si>
    <t>CECAFI</t>
  </si>
  <si>
    <t>CELTA GRIS PURO GRÊS FIT</t>
  </si>
  <si>
    <t>INCEPA</t>
  </si>
  <si>
    <t> CIMENTO COM TOZETO HD 50060</t>
  </si>
  <si>
    <t>4719 PEI IV</t>
  </si>
  <si>
    <t>PLANETA PEI IV</t>
  </si>
  <si>
    <t>ETNA BIANCO MAXIGRES</t>
  </si>
  <si>
    <t>PD32770 MADEIRA PEI IV</t>
  </si>
  <si>
    <t>CIMENTO COM TOZETO HD 50060</t>
  </si>
  <si>
    <t>MADEIRA JACARANDA PEI III</t>
  </si>
  <si>
    <t>TECNOQUARTZ OCRE MAXIGRES</t>
  </si>
  <si>
    <t>PETWORK BRILHANTE </t>
  </si>
  <si>
    <t>DESIGN PD32540 PEI IV</t>
  </si>
  <si>
    <t> 70348</t>
  </si>
  <si>
    <t>NÓRDICO SNOW PURO GRÊS FIT</t>
  </si>
  <si>
    <t>BARCELONA</t>
  </si>
  <si>
    <t>FORMIGRES</t>
  </si>
  <si>
    <t>MADEIRA MARRON HD 50100</t>
  </si>
  <si>
    <t>PULPIS BEIGE</t>
  </si>
  <si>
    <t> DHAMA B.P.</t>
  </si>
  <si>
    <t>BALI PEI IV</t>
  </si>
  <si>
    <t> BARILOCHE PEI IV</t>
  </si>
  <si>
    <t>4726 FIX PEI IV</t>
  </si>
  <si>
    <t>TRAÇOS 22013</t>
  </si>
  <si>
    <t>PLÁSTICO</t>
  </si>
  <si>
    <t>85MM</t>
  </si>
  <si>
    <t>CERÂMICAS</t>
  </si>
  <si>
    <t>MÓVEIS</t>
  </si>
  <si>
    <t>COLCHÕES</t>
  </si>
  <si>
    <t>B&amp;W</t>
  </si>
  <si>
    <t xml:space="preserve">PANE </t>
  </si>
  <si>
    <t>FAIXAS</t>
  </si>
  <si>
    <t>PISOS</t>
  </si>
  <si>
    <t>REF 9030BR</t>
  </si>
  <si>
    <t>GAMMASULAMERICANA</t>
  </si>
  <si>
    <t>EQUIPAMENTOS</t>
  </si>
  <si>
    <t>MOTO SERRAS</t>
  </si>
  <si>
    <t>TINTAS</t>
  </si>
  <si>
    <t>LATA</t>
  </si>
  <si>
    <t>SUVINIL</t>
  </si>
  <si>
    <t>GALÃO</t>
  </si>
  <si>
    <t>CORAL</t>
  </si>
  <si>
    <t>RENNER</t>
  </si>
  <si>
    <t>PORTATEIS PARA BELEZA</t>
  </si>
  <si>
    <t>TAIFF</t>
  </si>
  <si>
    <t>PHILIPS</t>
  </si>
  <si>
    <t>PHILCO</t>
  </si>
  <si>
    <t>MONDIAL</t>
  </si>
  <si>
    <t>NKS</t>
  </si>
  <si>
    <t>ICASA</t>
  </si>
  <si>
    <t>CELITE</t>
  </si>
  <si>
    <t>LOGASA</t>
  </si>
  <si>
    <t>ROCA</t>
  </si>
  <si>
    <t>FRANKE</t>
  </si>
  <si>
    <t>SCALLINE</t>
  </si>
  <si>
    <t>BURNI</t>
  </si>
  <si>
    <t>AQUECEDOR ELÉTRICO CERAMIC PRATA 1.500W</t>
  </si>
  <si>
    <t>AEC P001</t>
  </si>
  <si>
    <t>AQUECEDOR A ÓLEO PRETO</t>
  </si>
  <si>
    <t>AOP 0014</t>
  </si>
  <si>
    <t>AQUECEDOR A ÓLEO PRETO COM DISPLAY DIGITAL</t>
  </si>
  <si>
    <t>AOP DD004</t>
  </si>
  <si>
    <t>AQUECEDOR ELÉTRICO FREEWAY BRANCO</t>
  </si>
  <si>
    <t>AE FB001</t>
  </si>
  <si>
    <t>AQUECEDOR ELÉTRICO TERMO CERAMIC</t>
  </si>
  <si>
    <t>AE TC001</t>
  </si>
  <si>
    <t>AR CONDICIONADO COM SAÍDA DUPLA DE AR 17500 BTU</t>
  </si>
  <si>
    <t>AC DA001</t>
  </si>
  <si>
    <t>AR CONDICIONADO 22500 BTU</t>
  </si>
  <si>
    <t>AC 0004</t>
  </si>
  <si>
    <t>AR CONDICIONADO DIGITAL 18000 BTUS</t>
  </si>
  <si>
    <t>ACD 0001</t>
  </si>
  <si>
    <t>AR CONDICIONADO SPLIT CYCLONE 7500 BTU</t>
  </si>
  <si>
    <t>ACSC001</t>
  </si>
  <si>
    <t>CIRCULADOR DE AR C50 TURBO</t>
  </si>
  <si>
    <t>CA CT001</t>
  </si>
  <si>
    <t>CIRCULADOR DE AR TURBO PREMIUM</t>
  </si>
  <si>
    <t>CA TP001</t>
  </si>
  <si>
    <t>CIRCULADOR DE AR TURBO SILENCIO BOX REPELENTE</t>
  </si>
  <si>
    <t>CA TSBR001</t>
  </si>
  <si>
    <t>CIRCULADOR DE AR C45</t>
  </si>
  <si>
    <t>CA C001</t>
  </si>
  <si>
    <t>VENTILADOR V 32 3 VELODICADES 45W PRETO</t>
  </si>
  <si>
    <t>V 3VP001</t>
  </si>
  <si>
    <t>VENTILADOR DE MESA TURBO SILENCIO MAX C/ REPELENTE</t>
  </si>
  <si>
    <t>VM TSCR001</t>
  </si>
  <si>
    <t>VENTILADOR DE TORRE 3 VELOCIDADES BRANCO</t>
  </si>
  <si>
    <t>VTVB001</t>
  </si>
  <si>
    <t>VENTILADOR DE TETO ULTIMATE BRANCO</t>
  </si>
  <si>
    <t>VT UB001</t>
  </si>
  <si>
    <t>VENTILADOR DE TETO  AURA BRANCO</t>
  </si>
  <si>
    <t>VT TAB001</t>
  </si>
  <si>
    <t>VENTILADOR DE TETO BUZIOS BRANCO</t>
  </si>
  <si>
    <t>VT BB001</t>
  </si>
  <si>
    <t>VENTILADOR DE TETO QUADRIMAX ALUMINIO ESCOVADO</t>
  </si>
  <si>
    <t>VT QAE001</t>
  </si>
  <si>
    <t>BRITÂNIA</t>
  </si>
  <si>
    <t>BRANCO</t>
  </si>
  <si>
    <t>CONSUL</t>
  </si>
  <si>
    <t>SAMSUNG</t>
  </si>
  <si>
    <t>SPRINGER</t>
  </si>
  <si>
    <t>COMFEE</t>
  </si>
  <si>
    <t>ARNO</t>
  </si>
  <si>
    <t>FREEWAY</t>
  </si>
  <si>
    <t>TRON</t>
  </si>
  <si>
    <t>ELETRODOMÉSTICOS</t>
  </si>
  <si>
    <t>FOGÃO A GÁS</t>
  </si>
  <si>
    <t>50SB</t>
  </si>
  <si>
    <t>ELECTROLUX</t>
  </si>
  <si>
    <t>50SPB</t>
  </si>
  <si>
    <t>50SS</t>
  </si>
  <si>
    <t>50SX</t>
  </si>
  <si>
    <t>52SB</t>
  </si>
  <si>
    <t>52SM</t>
  </si>
  <si>
    <t>52SPX</t>
  </si>
  <si>
    <t>52SRB</t>
  </si>
  <si>
    <t>56DB</t>
  </si>
  <si>
    <t>56DTX</t>
  </si>
  <si>
    <t>56EFX</t>
  </si>
  <si>
    <t>COOK TOP</t>
  </si>
  <si>
    <t>ICP30</t>
  </si>
  <si>
    <t>GT60X</t>
  </si>
  <si>
    <t>IC60</t>
  </si>
  <si>
    <t>GT75X</t>
  </si>
  <si>
    <t>IC80</t>
  </si>
  <si>
    <t>GC60V</t>
  </si>
  <si>
    <t>FOGÃO A LENHA</t>
  </si>
  <si>
    <t>TAQI</t>
  </si>
  <si>
    <t>MAGAZINE LUIZA</t>
  </si>
  <si>
    <t>FORNO ELÉTRICO</t>
  </si>
  <si>
    <t>FB54B</t>
  </si>
  <si>
    <t>FB54T</t>
  </si>
  <si>
    <t>FB54</t>
  </si>
  <si>
    <t>MICROONDAS</t>
  </si>
  <si>
    <t>MA30S</t>
  </si>
  <si>
    <t>MB38X</t>
  </si>
  <si>
    <t>MEF33</t>
  </si>
  <si>
    <t>COIFA</t>
  </si>
  <si>
    <t>60CT</t>
  </si>
  <si>
    <t>60CV</t>
  </si>
  <si>
    <t>60CX</t>
  </si>
  <si>
    <t>90BS</t>
  </si>
  <si>
    <t>90CIT</t>
  </si>
  <si>
    <t>90CT</t>
  </si>
  <si>
    <t>DEPORADOR</t>
  </si>
  <si>
    <t>DE80X</t>
  </si>
  <si>
    <t>LAREIRA</t>
  </si>
  <si>
    <t>COZINHA</t>
  </si>
  <si>
    <t>AÉREO</t>
  </si>
  <si>
    <t>AB33</t>
  </si>
  <si>
    <t>AR20</t>
  </si>
  <si>
    <t>AB70</t>
  </si>
  <si>
    <t>PH1009</t>
  </si>
  <si>
    <t>AB701</t>
  </si>
  <si>
    <t>PH10603</t>
  </si>
  <si>
    <t>AB80</t>
  </si>
  <si>
    <t>PH10623</t>
  </si>
  <si>
    <t>AC290</t>
  </si>
  <si>
    <t>CD-282</t>
  </si>
  <si>
    <t>CD-203</t>
  </si>
  <si>
    <t>CD-211</t>
  </si>
  <si>
    <t>BALCÃO</t>
  </si>
  <si>
    <t>BA15</t>
  </si>
  <si>
    <t>BL3301</t>
  </si>
  <si>
    <t>BA-36</t>
  </si>
  <si>
    <t>050-1</t>
  </si>
  <si>
    <t>PIA INOX</t>
  </si>
  <si>
    <t>PANELEIRO</t>
  </si>
  <si>
    <t>PA30</t>
  </si>
  <si>
    <t>IPLDA-70</t>
  </si>
  <si>
    <t>PF-100</t>
  </si>
  <si>
    <t>PA40</t>
  </si>
  <si>
    <t>PH3020</t>
  </si>
  <si>
    <t>322BA</t>
  </si>
  <si>
    <t>CD308</t>
  </si>
  <si>
    <t>SMS</t>
  </si>
  <si>
    <t>MO186</t>
  </si>
  <si>
    <t>HP</t>
  </si>
  <si>
    <t>CPU</t>
  </si>
  <si>
    <t>LED 19,5" LG 20EN33SS</t>
  </si>
  <si>
    <t>LG</t>
  </si>
  <si>
    <t>AOC</t>
  </si>
  <si>
    <t>CCE</t>
  </si>
  <si>
    <t>DVD</t>
  </si>
  <si>
    <t>MOR</t>
  </si>
  <si>
    <t>TOP MOVEIS</t>
  </si>
  <si>
    <t>KETER</t>
  </si>
  <si>
    <t>BHO 08-92</t>
  </si>
  <si>
    <t>CR2LB</t>
  </si>
  <si>
    <t>R45</t>
  </si>
  <si>
    <t>R69</t>
  </si>
  <si>
    <t>R71</t>
  </si>
  <si>
    <t>R03</t>
  </si>
  <si>
    <t>R99</t>
  </si>
  <si>
    <t>R42</t>
  </si>
  <si>
    <t>R84</t>
  </si>
  <si>
    <t>A528</t>
  </si>
  <si>
    <t>A687</t>
  </si>
  <si>
    <t>A209</t>
  </si>
  <si>
    <t>B687</t>
  </si>
  <si>
    <t>B428</t>
  </si>
  <si>
    <t>B4934</t>
  </si>
  <si>
    <t>D219</t>
  </si>
  <si>
    <t>D478</t>
  </si>
  <si>
    <t>D309</t>
  </si>
  <si>
    <t>D952</t>
  </si>
  <si>
    <t>C001</t>
  </si>
  <si>
    <t>C002</t>
  </si>
  <si>
    <t>C003</t>
  </si>
  <si>
    <t>USC</t>
  </si>
  <si>
    <t>SUP</t>
  </si>
  <si>
    <t>CMO</t>
  </si>
  <si>
    <t>ESA</t>
  </si>
  <si>
    <t>B202</t>
  </si>
  <si>
    <t>S302</t>
  </si>
  <si>
    <t>S822</t>
  </si>
  <si>
    <t>BB41</t>
  </si>
  <si>
    <t> 1015LAS</t>
  </si>
  <si>
    <t> 095623</t>
  </si>
  <si>
    <t>ESTAR E JANTAR</t>
  </si>
  <si>
    <t>UNIDADE</t>
  </si>
  <si>
    <t>MULTIVISÃO</t>
  </si>
  <si>
    <t>BE 08-91</t>
  </si>
  <si>
    <t>BRV</t>
  </si>
  <si>
    <t>POLITORNO</t>
  </si>
  <si>
    <t>BX 21-06</t>
  </si>
  <si>
    <t>ZANZINI MÓVEIS</t>
  </si>
  <si>
    <t>BE 31-06</t>
  </si>
  <si>
    <t>ARTELY</t>
  </si>
  <si>
    <t>120PRY</t>
  </si>
  <si>
    <t>STAY PUFF</t>
  </si>
  <si>
    <t>231N CA</t>
  </si>
  <si>
    <t>231LMY</t>
  </si>
  <si>
    <t>120P PT</t>
  </si>
  <si>
    <t>191P PT</t>
  </si>
  <si>
    <t>0.03</t>
  </si>
  <si>
    <t>ORB</t>
  </si>
  <si>
    <t>120PVM</t>
  </si>
  <si>
    <t>120PMF</t>
  </si>
  <si>
    <t>181P BB</t>
  </si>
  <si>
    <t>MADETEC</t>
  </si>
  <si>
    <t>M008-CR</t>
  </si>
  <si>
    <t>MÓVEIS K1</t>
  </si>
  <si>
    <t>QUADRI LTDA</t>
  </si>
  <si>
    <t>RENNA</t>
  </si>
  <si>
    <t>203011IB</t>
  </si>
  <si>
    <t>CLASSIC HOME</t>
  </si>
  <si>
    <t>AÇODESIGN</t>
  </si>
  <si>
    <t>KBR153</t>
  </si>
  <si>
    <t>DAF</t>
  </si>
  <si>
    <t>BD0120</t>
  </si>
  <si>
    <t>BETILI</t>
  </si>
  <si>
    <t>TRAMONTINA</t>
  </si>
  <si>
    <t>INTER LINK</t>
  </si>
  <si>
    <t>1000.001.0002-0347</t>
  </si>
  <si>
    <t>MARCKERIC</t>
  </si>
  <si>
    <t>KBR052</t>
  </si>
  <si>
    <t>8048-1.0245</t>
  </si>
  <si>
    <t>FERRAGEM</t>
  </si>
  <si>
    <t>PREGOS E PARAFUSOS</t>
  </si>
  <si>
    <t>PREGOS</t>
  </si>
  <si>
    <t>M16</t>
  </si>
  <si>
    <t>FUSOPAR</t>
  </si>
  <si>
    <t>PREGOS PARA TACO</t>
  </si>
  <si>
    <t>M17</t>
  </si>
  <si>
    <t>PREGOS TOPOGRÁFICO</t>
  </si>
  <si>
    <t>M18</t>
  </si>
  <si>
    <t>PREGOS COM CABEÇA</t>
  </si>
  <si>
    <t>M19</t>
  </si>
  <si>
    <t>PREGOS SEM CABEÇA</t>
  </si>
  <si>
    <t>M20</t>
  </si>
  <si>
    <t>PREGOS GALVANIZADO</t>
  </si>
  <si>
    <t>M21</t>
  </si>
  <si>
    <t>PREGOS TELHEIRO</t>
  </si>
  <si>
    <t>M22</t>
  </si>
  <si>
    <t>PREGOS ANELADO</t>
  </si>
  <si>
    <t>M23</t>
  </si>
  <si>
    <t>PREGOS ARDOX</t>
  </si>
  <si>
    <t>M24</t>
  </si>
  <si>
    <t>PREGOS QUADRADO</t>
  </si>
  <si>
    <t>M25</t>
  </si>
  <si>
    <t>BUCHAS OCO</t>
  </si>
  <si>
    <t>M26</t>
  </si>
  <si>
    <t>IPABRAC</t>
  </si>
  <si>
    <t>BUCHAS UM</t>
  </si>
  <si>
    <t>M27</t>
  </si>
  <si>
    <t>BUCHAS BUR</t>
  </si>
  <si>
    <t>M28</t>
  </si>
  <si>
    <t>BUCHAS KT</t>
  </si>
  <si>
    <t>M29</t>
  </si>
  <si>
    <t>BUCHAS ''A''</t>
  </si>
  <si>
    <t>M30</t>
  </si>
  <si>
    <t>BUCHAS TAB</t>
  </si>
  <si>
    <t>M31</t>
  </si>
  <si>
    <t>M32</t>
  </si>
  <si>
    <t>M33</t>
  </si>
  <si>
    <t xml:space="preserve">BUCHAS KT </t>
  </si>
  <si>
    <t>M34</t>
  </si>
  <si>
    <t>M35</t>
  </si>
  <si>
    <t xml:space="preserve">BROCAS DE VÍDIA </t>
  </si>
  <si>
    <t>M36</t>
  </si>
  <si>
    <t>KITS DE BROCAS</t>
  </si>
  <si>
    <t>FATI FERRAMENTAS</t>
  </si>
  <si>
    <t>BROCAS DE AÇO CARBONO</t>
  </si>
  <si>
    <t>M37</t>
  </si>
  <si>
    <t>CASAS BAHIA</t>
  </si>
  <si>
    <t>BROCAS MAX PLANAS</t>
  </si>
  <si>
    <t>M38</t>
  </si>
  <si>
    <t xml:space="preserve">AMERICANAS </t>
  </si>
  <si>
    <t>BROCAS TCW</t>
  </si>
  <si>
    <t>M39</t>
  </si>
  <si>
    <t>WALMART</t>
  </si>
  <si>
    <t>BROCAS TLW</t>
  </si>
  <si>
    <t>M40</t>
  </si>
  <si>
    <t>CIGAME</t>
  </si>
  <si>
    <t>BROCAS HAMMER</t>
  </si>
  <si>
    <t>M41</t>
  </si>
  <si>
    <t>MAGAZINE E LUIZA</t>
  </si>
  <si>
    <t>BROCAS PERFO</t>
  </si>
  <si>
    <t>M42</t>
  </si>
  <si>
    <t>BROCAS TXW</t>
  </si>
  <si>
    <t>M43</t>
  </si>
  <si>
    <t>BROCAS ESCALONADAS</t>
  </si>
  <si>
    <t>M44</t>
  </si>
  <si>
    <t xml:space="preserve">BROCAS CALIBRADORA </t>
  </si>
  <si>
    <t>M45</t>
  </si>
  <si>
    <t>ARRUELAS LISA</t>
  </si>
  <si>
    <t>M46</t>
  </si>
  <si>
    <t>C&amp;C</t>
  </si>
  <si>
    <t>ARRUELAS LISA DE FERRO</t>
  </si>
  <si>
    <t>M47</t>
  </si>
  <si>
    <t xml:space="preserve">ARRUELAS DE LATÃO </t>
  </si>
  <si>
    <t>M48</t>
  </si>
  <si>
    <t>ARRUELAS DE PLÁSTICO</t>
  </si>
  <si>
    <t>M49</t>
  </si>
  <si>
    <t>ARRUELAS ONDULADA</t>
  </si>
  <si>
    <t>M50</t>
  </si>
  <si>
    <t>ARRUELAS LISA LANTARNEIRO</t>
  </si>
  <si>
    <t>M51</t>
  </si>
  <si>
    <t xml:space="preserve">ARRUELAS </t>
  </si>
  <si>
    <t>M52</t>
  </si>
  <si>
    <t>M53</t>
  </si>
  <si>
    <t>M54</t>
  </si>
  <si>
    <t>M55</t>
  </si>
  <si>
    <t>PORCAS BORBOLETA</t>
  </si>
  <si>
    <t>M56</t>
  </si>
  <si>
    <t>LEROY MERLIN</t>
  </si>
  <si>
    <t>PORCAS RECARTILHADA BAIXA</t>
  </si>
  <si>
    <t>M57</t>
  </si>
  <si>
    <t>PORCAS RECARTILHADA ALTA</t>
  </si>
  <si>
    <t>M58</t>
  </si>
  <si>
    <t>FEBRAPA</t>
  </si>
  <si>
    <t>PORCAS CEGA BAIXA</t>
  </si>
  <si>
    <t>M59</t>
  </si>
  <si>
    <t>PORCAS CEGA ALTA</t>
  </si>
  <si>
    <t>M60</t>
  </si>
  <si>
    <t>PORCAS REDONDA COM FENDA</t>
  </si>
  <si>
    <t>M61</t>
  </si>
  <si>
    <t xml:space="preserve">PORCAS REDONDA COM ENTALHES </t>
  </si>
  <si>
    <t>M62</t>
  </si>
  <si>
    <t>PORCAS REDONDA COM FUROS RADICAIS</t>
  </si>
  <si>
    <t>M63</t>
  </si>
  <si>
    <t>PORCAS DOIS FUROS PARALELOS</t>
  </si>
  <si>
    <t>M64</t>
  </si>
  <si>
    <t>PORCAS CASTELO</t>
  </si>
  <si>
    <t>M65</t>
  </si>
  <si>
    <t>REBITES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</si>
  <si>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</si>
  <si>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</si>
  <si>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</si>
  <si>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</si>
  <si>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</si>
  <si>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</si>
  <si>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</si>
  <si>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</si>
  <si>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</si>
  <si>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</si>
  <si>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MATERIAL ELÉTRICO</t>
  </si>
  <si>
    <t>SIMON30</t>
  </si>
  <si>
    <t>FAME</t>
  </si>
  <si>
    <t>RJ45 BLISS</t>
  </si>
  <si>
    <t>RJ45 CAT</t>
  </si>
  <si>
    <t>IRIEL</t>
  </si>
  <si>
    <t>TBS022</t>
  </si>
  <si>
    <t>TBS023</t>
  </si>
  <si>
    <t xml:space="preserve">TBS165 </t>
  </si>
  <si>
    <t>TBS065</t>
  </si>
  <si>
    <t>L784</t>
  </si>
  <si>
    <t>ELLA</t>
  </si>
  <si>
    <t>L899</t>
  </si>
  <si>
    <t>OSRAM</t>
  </si>
  <si>
    <t>HID EXTERNO</t>
  </si>
  <si>
    <t>HID INTERNO</t>
  </si>
  <si>
    <t>VTE 2000W</t>
  </si>
  <si>
    <t xml:space="preserve">CD35 </t>
  </si>
  <si>
    <t>CDM710</t>
  </si>
  <si>
    <t>CDM 2000W</t>
  </si>
  <si>
    <t>CDM 150</t>
  </si>
  <si>
    <t>CDM400</t>
  </si>
  <si>
    <t>CDM 1000</t>
  </si>
  <si>
    <t>MULTI200</t>
  </si>
  <si>
    <t>ELETRO FORT</t>
  </si>
  <si>
    <t xml:space="preserve">PD35 </t>
  </si>
  <si>
    <t>PD44</t>
  </si>
  <si>
    <t>PD95</t>
  </si>
  <si>
    <t>DT300</t>
  </si>
  <si>
    <t>DT290</t>
  </si>
  <si>
    <t>DT250</t>
  </si>
  <si>
    <t>DT200</t>
  </si>
  <si>
    <t>DT90</t>
  </si>
  <si>
    <t>LP 531/88</t>
  </si>
  <si>
    <t>TRÓPICO</t>
  </si>
  <si>
    <t>LP 500/89</t>
  </si>
  <si>
    <t>LP 531/90</t>
  </si>
  <si>
    <t>LP 600/91</t>
  </si>
  <si>
    <t>LP 531/92</t>
  </si>
  <si>
    <t>LP 531/93</t>
  </si>
  <si>
    <t>LP 531/94</t>
  </si>
  <si>
    <t>LORENZETTI</t>
  </si>
  <si>
    <t>CORONA</t>
  </si>
  <si>
    <t>CARDAL</t>
  </si>
  <si>
    <t>FORUSI</t>
  </si>
  <si>
    <t>26.91.227.0</t>
  </si>
  <si>
    <t>TIGRE</t>
  </si>
  <si>
    <t>1900E</t>
  </si>
  <si>
    <t>ETERNIR</t>
  </si>
  <si>
    <t>1013/11009</t>
  </si>
  <si>
    <t>ALIEXPRESS</t>
  </si>
  <si>
    <t>TORALF</t>
  </si>
  <si>
    <t>KRONA</t>
  </si>
  <si>
    <t>EXPAMBOX</t>
  </si>
  <si>
    <t>CV82</t>
  </si>
  <si>
    <t>ASTRA</t>
  </si>
  <si>
    <t>CROMADO</t>
  </si>
  <si>
    <t>CCV3</t>
  </si>
  <si>
    <t>S206B</t>
  </si>
  <si>
    <t>ARTICULÁVEL</t>
  </si>
  <si>
    <t>127V</t>
  </si>
  <si>
    <t>7500W</t>
  </si>
  <si>
    <t>6500W</t>
  </si>
  <si>
    <t>SINTEX</t>
  </si>
  <si>
    <t>JET4</t>
  </si>
  <si>
    <t>9LEDS</t>
  </si>
  <si>
    <t>CROMOTERÁPIA</t>
  </si>
  <si>
    <t>PL9</t>
  </si>
  <si>
    <t>RW9</t>
  </si>
  <si>
    <t>ROWA</t>
  </si>
  <si>
    <t>PL-280P</t>
  </si>
  <si>
    <t>25-PRESS</t>
  </si>
  <si>
    <t>18-PRESS</t>
  </si>
  <si>
    <t>IRMÃO ABAGE</t>
  </si>
  <si>
    <t>KOMECO</t>
  </si>
  <si>
    <t>C01</t>
  </si>
  <si>
    <t>C02</t>
  </si>
  <si>
    <t>C03</t>
  </si>
  <si>
    <t>CE1</t>
  </si>
  <si>
    <t>SD02</t>
  </si>
  <si>
    <t>SD03</t>
  </si>
  <si>
    <t>SD04</t>
  </si>
  <si>
    <t>TT66</t>
  </si>
  <si>
    <t>TT444</t>
  </si>
  <si>
    <t>TT555</t>
  </si>
  <si>
    <t>LU850</t>
  </si>
  <si>
    <t>LU851</t>
  </si>
  <si>
    <t>LU852</t>
  </si>
  <si>
    <t> 209622</t>
  </si>
  <si>
    <t> 209623</t>
  </si>
  <si>
    <t> 209624</t>
  </si>
  <si>
    <t>C1999</t>
  </si>
  <si>
    <t>C2000</t>
  </si>
  <si>
    <t>C2001</t>
  </si>
  <si>
    <t>N3998</t>
  </si>
  <si>
    <t>N3999</t>
  </si>
  <si>
    <t>PRE52</t>
  </si>
  <si>
    <t>PRE53</t>
  </si>
  <si>
    <t>RR200</t>
  </si>
  <si>
    <t>2193/300</t>
  </si>
  <si>
    <t>RR300</t>
  </si>
  <si>
    <t>RR100</t>
  </si>
  <si>
    <t>AA33</t>
  </si>
  <si>
    <t>AA34</t>
  </si>
  <si>
    <t>AA35</t>
  </si>
  <si>
    <t>A3</t>
  </si>
  <si>
    <t>SA4</t>
  </si>
  <si>
    <t>C44</t>
  </si>
  <si>
    <t>LNQ</t>
  </si>
  <si>
    <t>010.26</t>
  </si>
  <si>
    <t>CR</t>
  </si>
  <si>
    <t>CLR</t>
  </si>
  <si>
    <t>C55</t>
  </si>
  <si>
    <t>SIFÃO</t>
  </si>
  <si>
    <t>M1</t>
  </si>
  <si>
    <t>M2</t>
  </si>
  <si>
    <t>PLENA</t>
  </si>
  <si>
    <t>M3</t>
  </si>
  <si>
    <t>M4</t>
  </si>
  <si>
    <t>M5</t>
  </si>
  <si>
    <t>FABRIMAR</t>
  </si>
  <si>
    <t>M6</t>
  </si>
  <si>
    <t>M7</t>
  </si>
  <si>
    <t>M8</t>
  </si>
  <si>
    <t>ESTEVES</t>
  </si>
  <si>
    <t>M9</t>
  </si>
  <si>
    <t>M10</t>
  </si>
  <si>
    <t>M11</t>
  </si>
  <si>
    <t>MISTURADOR</t>
  </si>
  <si>
    <t>M12</t>
  </si>
  <si>
    <t>TUDONOVO</t>
  </si>
  <si>
    <t>M13</t>
  </si>
  <si>
    <t>M14</t>
  </si>
  <si>
    <t>M15</t>
  </si>
  <si>
    <t>VEDA ROSCA</t>
  </si>
  <si>
    <t>ADERE</t>
  </si>
  <si>
    <t>PULVITEC</t>
  </si>
  <si>
    <t>CENSI</t>
  </si>
  <si>
    <t>CHUVEIRO</t>
  </si>
  <si>
    <t>AQUECEDOR A GÁS</t>
  </si>
  <si>
    <t>TANQUE</t>
  </si>
  <si>
    <t>COZIMAX</t>
  </si>
  <si>
    <t>GRELHA</t>
  </si>
  <si>
    <t>JACKWAL</t>
  </si>
  <si>
    <t>VALVULA PARA LAVATORIO</t>
  </si>
  <si>
    <t>GTRES</t>
  </si>
  <si>
    <t>VALVULA PARA DESCARGA</t>
  </si>
  <si>
    <t>TUBO LIGAÇÃO</t>
  </si>
  <si>
    <t>M76</t>
  </si>
  <si>
    <t>M77</t>
  </si>
  <si>
    <t>M78</t>
  </si>
  <si>
    <t>M79</t>
  </si>
  <si>
    <t>M80</t>
  </si>
  <si>
    <t>M81</t>
  </si>
  <si>
    <t>M82</t>
  </si>
  <si>
    <t>CANO PARA CAIXA DE DESCARGA</t>
  </si>
  <si>
    <t>M83</t>
  </si>
  <si>
    <t>AMANCO</t>
  </si>
  <si>
    <t>M84</t>
  </si>
  <si>
    <t>FELAP</t>
  </si>
  <si>
    <t>AÇOTERRA</t>
  </si>
  <si>
    <t>VONDER</t>
  </si>
  <si>
    <t>4010BAAS4400L </t>
  </si>
  <si>
    <t xml:space="preserve">CAIXA COLETIVA </t>
  </si>
  <si>
    <t>BULL TERRIER</t>
  </si>
  <si>
    <t>4012BELS2400LL </t>
  </si>
  <si>
    <t>4012BELS4600L </t>
  </si>
  <si>
    <t>4095USES4600LB </t>
  </si>
  <si>
    <t>PERAME</t>
  </si>
  <si>
    <t>IRWIN</t>
  </si>
  <si>
    <t>H4735</t>
  </si>
  <si>
    <t>HIKARI</t>
  </si>
  <si>
    <t>H3713</t>
  </si>
  <si>
    <t>H1034</t>
  </si>
  <si>
    <t>FL5475</t>
  </si>
  <si>
    <t>FERLUVAS</t>
  </si>
  <si>
    <t>FL5434</t>
  </si>
  <si>
    <t>FL5467</t>
  </si>
  <si>
    <t>FL5478</t>
  </si>
  <si>
    <t>FL5479</t>
  </si>
  <si>
    <t>FL5480</t>
  </si>
  <si>
    <t>FL5481</t>
  </si>
  <si>
    <t>DTOOLS</t>
  </si>
  <si>
    <t>BA 20001</t>
  </si>
  <si>
    <t xml:space="preserve">PALETE </t>
  </si>
  <si>
    <t>BOM JARDIM</t>
  </si>
  <si>
    <t>MB 0236</t>
  </si>
  <si>
    <t>MB 0237</t>
  </si>
  <si>
    <t>BLS 776</t>
  </si>
  <si>
    <t xml:space="preserve">SANREMO </t>
  </si>
  <si>
    <t>BO 605/78</t>
  </si>
  <si>
    <t>BO 606/79</t>
  </si>
  <si>
    <t>10L. PINT. S/EM</t>
  </si>
  <si>
    <t>METASUL</t>
  </si>
  <si>
    <t>VR 331501000</t>
  </si>
  <si>
    <t xml:space="preserve">VONDER </t>
  </si>
  <si>
    <t xml:space="preserve">CAIXA </t>
  </si>
  <si>
    <t>BT 1722</t>
  </si>
  <si>
    <t>BETTANIN</t>
  </si>
  <si>
    <t>VFA 01</t>
  </si>
  <si>
    <t>SODRAMAR</t>
  </si>
  <si>
    <t>VFA 02</t>
  </si>
  <si>
    <t>VFA 03</t>
  </si>
  <si>
    <t>VFA 04</t>
  </si>
  <si>
    <t>CLI 7596</t>
  </si>
  <si>
    <t>COTTAGE</t>
  </si>
  <si>
    <t>1/12 E2D</t>
  </si>
  <si>
    <t>1/12 E3D</t>
  </si>
  <si>
    <t xml:space="preserve">CASA DAS FERRAMENTAS </t>
  </si>
  <si>
    <t xml:space="preserve">LOJA DO MECANICO </t>
  </si>
  <si>
    <t>CASA DO JARDIM</t>
  </si>
  <si>
    <t>TAP 02</t>
  </si>
  <si>
    <t>FERRAGEM SÃO JOSÉ</t>
  </si>
  <si>
    <t>TAP 03</t>
  </si>
  <si>
    <t>TAP 04</t>
  </si>
  <si>
    <t>FERAGEM SÃO JOSÉ</t>
  </si>
  <si>
    <t>GT 02369</t>
  </si>
  <si>
    <t xml:space="preserve">SHOPTIME </t>
  </si>
  <si>
    <t>TT 856</t>
  </si>
  <si>
    <t>BAZAR HORIZONTE</t>
  </si>
  <si>
    <t>TT857</t>
  </si>
  <si>
    <t>SX - 579</t>
  </si>
  <si>
    <t xml:space="preserve">WALMART </t>
  </si>
  <si>
    <t>SX - 580</t>
  </si>
  <si>
    <t>SX - 581</t>
  </si>
  <si>
    <t>SX - 582</t>
  </si>
  <si>
    <t>SX - 523</t>
  </si>
  <si>
    <t>SX - 524</t>
  </si>
  <si>
    <t>SX - 525</t>
  </si>
  <si>
    <t>BV 2036</t>
  </si>
  <si>
    <t xml:space="preserve">CAMPO DE OFERTAS </t>
  </si>
  <si>
    <t>ORB 258</t>
  </si>
  <si>
    <t>ORB 259</t>
  </si>
  <si>
    <t>ORB 260</t>
  </si>
  <si>
    <t>VIJ - 386</t>
  </si>
  <si>
    <t>VIA INOX</t>
  </si>
  <si>
    <t>VIJ - 387</t>
  </si>
  <si>
    <t>VIJ - 388</t>
  </si>
  <si>
    <t>VIJ - 389</t>
  </si>
  <si>
    <t>PARA MADEIRA</t>
  </si>
  <si>
    <t>CROMO 48</t>
  </si>
  <si>
    <t>SOPRANO</t>
  </si>
  <si>
    <t>INVISIVEL 86291/1</t>
  </si>
  <si>
    <t>NOVA</t>
  </si>
  <si>
    <t>CAMARRÃO 24</t>
  </si>
  <si>
    <t>PAPAIZ</t>
  </si>
  <si>
    <t>SM-3025</t>
  </si>
  <si>
    <t>AÇO ANEL</t>
  </si>
  <si>
    <t>AROUCA</t>
  </si>
  <si>
    <t>MA141</t>
  </si>
  <si>
    <t>ALIANÇA</t>
  </si>
  <si>
    <t>1501 06 - EZL</t>
  </si>
  <si>
    <t>IMAB</t>
  </si>
  <si>
    <t>1501 03 - EZL</t>
  </si>
  <si>
    <t>STAM</t>
  </si>
  <si>
    <t xml:space="preserve">  23 EI</t>
  </si>
  <si>
    <t>SACA/CAIXA</t>
  </si>
  <si>
    <t>MULTIUSO</t>
  </si>
  <si>
    <t>UNIVERSAL</t>
  </si>
  <si>
    <t>CASA DO SERRALHEIRO</t>
  </si>
  <si>
    <t>FLEXIL JET</t>
  </si>
  <si>
    <t>INCA</t>
  </si>
  <si>
    <t>MANGOTINHO</t>
  </si>
  <si>
    <t>RADIAL</t>
  </si>
  <si>
    <t>METALMATRIX</t>
  </si>
  <si>
    <t>BORRACHA</t>
  </si>
  <si>
    <t>GARTHEN</t>
  </si>
  <si>
    <t>JARDIM</t>
  </si>
  <si>
    <t>FSA 85</t>
  </si>
  <si>
    <t>LAVRALE</t>
  </si>
  <si>
    <t>FS 130</t>
  </si>
  <si>
    <t>FR 220</t>
  </si>
  <si>
    <t>STIHL</t>
  </si>
  <si>
    <t>F2 340</t>
  </si>
  <si>
    <t>HUSQVARNA</t>
  </si>
  <si>
    <t>FL 29</t>
  </si>
  <si>
    <t>POWER MAX</t>
  </si>
  <si>
    <t>DUTRA</t>
  </si>
  <si>
    <t>LM320E</t>
  </si>
  <si>
    <t>FAMASTIL</t>
  </si>
  <si>
    <t>CE30P2</t>
  </si>
  <si>
    <t xml:space="preserve">GR3000 </t>
  </si>
  <si>
    <t>TRAPP</t>
  </si>
  <si>
    <t xml:space="preserve">BG-EM 1643 </t>
  </si>
  <si>
    <t>BLACK E DECKER</t>
  </si>
  <si>
    <t xml:space="preserve">MC-40L </t>
  </si>
  <si>
    <t>HSA 65</t>
  </si>
  <si>
    <t>HSE 61</t>
  </si>
  <si>
    <t>321P5X</t>
  </si>
  <si>
    <t>CC600E</t>
  </si>
  <si>
    <t>FOREST GARDEN</t>
  </si>
  <si>
    <t>FSE 41 - 230V</t>
  </si>
  <si>
    <t>FSE 41 - 120V</t>
  </si>
  <si>
    <t>327LDX</t>
  </si>
  <si>
    <t>DOURADO</t>
  </si>
  <si>
    <t>BV2500</t>
  </si>
  <si>
    <t>UB1101</t>
  </si>
  <si>
    <t>MAKITA</t>
  </si>
  <si>
    <t>BR 600</t>
  </si>
  <si>
    <t>MOTORES</t>
  </si>
  <si>
    <t>3 HP 220 V REF</t>
  </si>
  <si>
    <t>V8 BRASIL</t>
  </si>
  <si>
    <t>BUFFALO</t>
  </si>
  <si>
    <t>NAGANO</t>
  </si>
  <si>
    <t>ELETROPLAS</t>
  </si>
  <si>
    <t>HIGRA</t>
  </si>
  <si>
    <t>FERRARI</t>
  </si>
  <si>
    <t>ECCO</t>
  </si>
  <si>
    <t>185/60R14 82H</t>
  </si>
  <si>
    <t>GREEN</t>
  </si>
  <si>
    <t>165/70R13 F600</t>
  </si>
  <si>
    <t>195/60 R15 88H</t>
  </si>
  <si>
    <t>195/55R16 ENERGY</t>
  </si>
  <si>
    <t>MICHELIN</t>
  </si>
  <si>
    <t>ITARO</t>
  </si>
  <si>
    <t>MOBIL SUPER 20W-50</t>
  </si>
  <si>
    <t>MOBIL</t>
  </si>
  <si>
    <t>HELIX HX6</t>
  </si>
  <si>
    <t>HELIX</t>
  </si>
  <si>
    <t>CASTROL</t>
  </si>
  <si>
    <t>LUBRAX</t>
  </si>
  <si>
    <t>M40-SD</t>
  </si>
  <si>
    <t>MI50JD</t>
  </si>
  <si>
    <t>MP135BD</t>
  </si>
  <si>
    <t>MI60GD</t>
  </si>
  <si>
    <t>MI70KD</t>
  </si>
  <si>
    <t>EU-20I</t>
  </si>
  <si>
    <t>GT1200F</t>
  </si>
  <si>
    <t>TEKNA</t>
  </si>
  <si>
    <t>BD6500CF</t>
  </si>
  <si>
    <t>DG-6000</t>
  </si>
  <si>
    <t>KAWASHIMA</t>
  </si>
  <si>
    <t>MDG-2200</t>
  </si>
  <si>
    <t>MOTOMIL</t>
  </si>
  <si>
    <t>MDGT-12E</t>
  </si>
  <si>
    <t>MDG-5000</t>
  </si>
  <si>
    <t>TD-4000</t>
  </si>
  <si>
    <t>TOYAMA</t>
  </si>
  <si>
    <t>TD5500</t>
  </si>
  <si>
    <t>TD7000</t>
  </si>
  <si>
    <t>TF 3000</t>
  </si>
  <si>
    <t>PARAFUSADEIRA</t>
  </si>
  <si>
    <t>FS4000</t>
  </si>
  <si>
    <t>PÇ/MALETA</t>
  </si>
  <si>
    <t>LD112</t>
  </si>
  <si>
    <t>LD116</t>
  </si>
  <si>
    <t>BLACK E DECKER</t>
  </si>
  <si>
    <t>GSR1080</t>
  </si>
  <si>
    <t>BOSCH</t>
  </si>
  <si>
    <t>3,6VPOWER</t>
  </si>
  <si>
    <t>SCHULZ</t>
  </si>
  <si>
    <t>SP600</t>
  </si>
  <si>
    <t>DW257</t>
  </si>
  <si>
    <t>DEWALT</t>
  </si>
  <si>
    <t>LT120</t>
  </si>
  <si>
    <t>LAVA JATO</t>
  </si>
  <si>
    <t>PW1400</t>
  </si>
  <si>
    <t>PRO1200</t>
  </si>
  <si>
    <t>PW1550</t>
  </si>
  <si>
    <t>PW1700</t>
  </si>
  <si>
    <t>PRO2000</t>
  </si>
  <si>
    <t>WAP EXCELLENT</t>
  </si>
  <si>
    <t>K2000</t>
  </si>
  <si>
    <t>KARCHER</t>
  </si>
  <si>
    <t>PLAINA</t>
  </si>
  <si>
    <t>12-210</t>
  </si>
  <si>
    <t>STANLEY</t>
  </si>
  <si>
    <t>KP0800</t>
  </si>
  <si>
    <t>KP0810</t>
  </si>
  <si>
    <t>P20ST</t>
  </si>
  <si>
    <t>HITACHI</t>
  </si>
  <si>
    <t>7698K</t>
  </si>
  <si>
    <t>POLITRIZ</t>
  </si>
  <si>
    <t>1100W</t>
  </si>
  <si>
    <t>EINHELL</t>
  </si>
  <si>
    <t>RT-OS13</t>
  </si>
  <si>
    <t>DWTO13</t>
  </si>
  <si>
    <t>DTS400W</t>
  </si>
  <si>
    <t>SKIL</t>
  </si>
  <si>
    <t>BT-OS280</t>
  </si>
  <si>
    <t>RT-OS30</t>
  </si>
  <si>
    <t>DWT200</t>
  </si>
  <si>
    <t>CD450</t>
  </si>
  <si>
    <t>SERR. CIRCULAR</t>
  </si>
  <si>
    <t>25C755</t>
  </si>
  <si>
    <t>GRINGER</t>
  </si>
  <si>
    <t>GKS 7.14</t>
  </si>
  <si>
    <t>5007N</t>
  </si>
  <si>
    <t>GKS190</t>
  </si>
  <si>
    <t>GK5300</t>
  </si>
  <si>
    <t>5401JE</t>
  </si>
  <si>
    <t>GKS7000</t>
  </si>
  <si>
    <t>DWE560E2</t>
  </si>
  <si>
    <t>CS1024</t>
  </si>
  <si>
    <t>GKSC5E</t>
  </si>
  <si>
    <t>GKS67</t>
  </si>
  <si>
    <t>C9SA2</t>
  </si>
  <si>
    <t>PARABONI</t>
  </si>
  <si>
    <t>RH140</t>
  </si>
  <si>
    <t>HORBACH</t>
  </si>
  <si>
    <t>M96</t>
  </si>
  <si>
    <t xml:space="preserve">BLACK &amp; DECKER </t>
  </si>
  <si>
    <t>TUPIA</t>
  </si>
  <si>
    <t>RG18</t>
  </si>
  <si>
    <t>RS85</t>
  </si>
  <si>
    <t>MAKSIWA</t>
  </si>
  <si>
    <t>GH42</t>
  </si>
  <si>
    <t>PDF140</t>
  </si>
  <si>
    <t>WBC95</t>
  </si>
  <si>
    <t>COMPRESSORES DE AR</t>
  </si>
  <si>
    <t>PWE-18</t>
  </si>
  <si>
    <t>CMI-3,0-AD</t>
  </si>
  <si>
    <t>MCA-12</t>
  </si>
  <si>
    <t>CMW-15/175</t>
  </si>
  <si>
    <t> CMV 20/200</t>
  </si>
  <si>
    <t>LPF-41B</t>
  </si>
  <si>
    <t>SAP42</t>
  </si>
  <si>
    <t>DISCO</t>
  </si>
  <si>
    <t>QOP32</t>
  </si>
  <si>
    <t>STAMACO</t>
  </si>
  <si>
    <t>QPO96</t>
  </si>
  <si>
    <t>CVX35</t>
  </si>
  <si>
    <t>LAD18</t>
  </si>
  <si>
    <t>BOM CORTE</t>
  </si>
  <si>
    <t>USA17</t>
  </si>
  <si>
    <t>DS40</t>
  </si>
  <si>
    <t>ESMERILHADEIRA</t>
  </si>
  <si>
    <t>DFA42</t>
  </si>
  <si>
    <t>F0129002JA000</t>
  </si>
  <si>
    <t>06018A10E000</t>
  </si>
  <si>
    <t>GWS 11-125</t>
  </si>
  <si>
    <t>DW28490B2</t>
  </si>
  <si>
    <t>CORTADOR  PARA CERAMICA</t>
  </si>
  <si>
    <t>JDF07</t>
  </si>
  <si>
    <t>CLIPPER</t>
  </si>
  <si>
    <t>CORTADOR PARA CERAMICA</t>
  </si>
  <si>
    <t>VCB03</t>
  </si>
  <si>
    <t>MNZ08</t>
  </si>
  <si>
    <t>DUPLEX</t>
  </si>
  <si>
    <t>ZAL44</t>
  </si>
  <si>
    <t>RISKETA</t>
  </si>
  <si>
    <t>CORTADOR VERGALHÃO</t>
  </si>
  <si>
    <t>QWE05</t>
  </si>
  <si>
    <t>MXZ71</t>
  </si>
  <si>
    <t>CVB12</t>
  </si>
  <si>
    <t>MENEGOTTI</t>
  </si>
  <si>
    <t>321A</t>
  </si>
  <si>
    <t>OPI2</t>
  </si>
  <si>
    <t xml:space="preserve">BETORNEIRA </t>
  </si>
  <si>
    <t>MLD41</t>
  </si>
  <si>
    <t>EMA21</t>
  </si>
  <si>
    <t>CMS</t>
  </si>
  <si>
    <t>UDA20</t>
  </si>
  <si>
    <t>MATERIAL HIDRÁULICO</t>
  </si>
  <si>
    <t>FERRAMENTAS</t>
  </si>
  <si>
    <t>MARTELO DE UNHA CABO/MADEIRA</t>
  </si>
  <si>
    <t>M16A</t>
  </si>
  <si>
    <t>MARTELO DE UNHA CABO/FIBRA</t>
  </si>
  <si>
    <t>MOTA</t>
  </si>
  <si>
    <t>MARTELO BOLA</t>
  </si>
  <si>
    <t>G5FG</t>
  </si>
  <si>
    <t>MARTELO CARPINTEIRO</t>
  </si>
  <si>
    <t>FG4D</t>
  </si>
  <si>
    <t>MARTELO BORRACHA</t>
  </si>
  <si>
    <t>J545J</t>
  </si>
  <si>
    <t>MARTELO DE BORDA</t>
  </si>
  <si>
    <t>1HM8</t>
  </si>
  <si>
    <t>STIL</t>
  </si>
  <si>
    <t>MARTELO DE MADEIRA</t>
  </si>
  <si>
    <t>JK8LJ</t>
  </si>
  <si>
    <t>SERROTE UTYLIT</t>
  </si>
  <si>
    <t>K1LLI</t>
  </si>
  <si>
    <t>SERROTE DE PODA</t>
  </si>
  <si>
    <t>IL59U</t>
  </si>
  <si>
    <t>SERROTE DE PODA RETO</t>
  </si>
  <si>
    <t>L6661</t>
  </si>
  <si>
    <t>SERROTE DOBRAVEL</t>
  </si>
  <si>
    <t>L9L</t>
  </si>
  <si>
    <t>SERROTE PROFICIONAL 12''</t>
  </si>
  <si>
    <t>L21KL</t>
  </si>
  <si>
    <t>SERROTE DE PONTA 12''</t>
  </si>
  <si>
    <t>L29II</t>
  </si>
  <si>
    <t xml:space="preserve">SERROTE AMADOR </t>
  </si>
  <si>
    <t>1Ç5L</t>
  </si>
  <si>
    <t>FAMASTIL TAURUS</t>
  </si>
  <si>
    <t xml:space="preserve">SERROTE CABO EMBORRACHADO </t>
  </si>
  <si>
    <t>IÇ58I</t>
  </si>
  <si>
    <t>FORD</t>
  </si>
  <si>
    <t>SERROTE COSTA</t>
  </si>
  <si>
    <t>Ç9KI</t>
  </si>
  <si>
    <t>SERROTE SUPERCUT</t>
  </si>
  <si>
    <t>21I9Ç</t>
  </si>
  <si>
    <t xml:space="preserve">SERROTE LAMINA </t>
  </si>
  <si>
    <t>ÇI9OI</t>
  </si>
  <si>
    <t>ALICATE CORTA CABOS</t>
  </si>
  <si>
    <t>TE5E</t>
  </si>
  <si>
    <t>ALICATE DE BICO</t>
  </si>
  <si>
    <t>RT9EY</t>
  </si>
  <si>
    <t>ALICATE DIAGONAL</t>
  </si>
  <si>
    <t>ERT9R</t>
  </si>
  <si>
    <t>ALICATE MEIA CANA</t>
  </si>
  <si>
    <t>R2T9EH</t>
  </si>
  <si>
    <t>MEGA FORTH</t>
  </si>
  <si>
    <t>ALICATE UNIVERSAL</t>
  </si>
  <si>
    <t>Y9ERY</t>
  </si>
  <si>
    <t>ALICATE CRIMPADOR</t>
  </si>
  <si>
    <t>H9BE</t>
  </si>
  <si>
    <t>ALICATE DESENCAPADOR DE FIO</t>
  </si>
  <si>
    <t>H9R</t>
  </si>
  <si>
    <t>ALICATE P/ ELOTRONICA</t>
  </si>
  <si>
    <t>49EYE</t>
  </si>
  <si>
    <t>ALICATE D'ÁGUA</t>
  </si>
  <si>
    <t>Y59E</t>
  </si>
  <si>
    <t>ROBUST</t>
  </si>
  <si>
    <t>ALICATE ANEL</t>
  </si>
  <si>
    <t>G5G5</t>
  </si>
  <si>
    <t>CHAVE BIELA</t>
  </si>
  <si>
    <t>E0S4</t>
  </si>
  <si>
    <t>CHAVE ESTRELA</t>
  </si>
  <si>
    <t>E30</t>
  </si>
  <si>
    <t>WORK PRO</t>
  </si>
  <si>
    <t>CHAVE FIXA</t>
  </si>
  <si>
    <t>F1415</t>
  </si>
  <si>
    <t>CHAVE COMBINADA</t>
  </si>
  <si>
    <t>EF112</t>
  </si>
  <si>
    <t>CHAVE AJUSTAVEL</t>
  </si>
  <si>
    <t>F32D</t>
  </si>
  <si>
    <t>CHAVE GRIFO</t>
  </si>
  <si>
    <t>F1D2</t>
  </si>
  <si>
    <t xml:space="preserve">CHAVE GRIFO </t>
  </si>
  <si>
    <t>DS1D5W</t>
  </si>
  <si>
    <t>KING TONY</t>
  </si>
  <si>
    <t>CHAVE DE FENDA</t>
  </si>
  <si>
    <t>1S5S0</t>
  </si>
  <si>
    <t>CHAVE DE FENDA EMBORRACHADA</t>
  </si>
  <si>
    <t>D1SD1</t>
  </si>
  <si>
    <t>FARMIASTIL</t>
  </si>
  <si>
    <t>CHAVE T11X1</t>
  </si>
  <si>
    <t>1SD</t>
  </si>
  <si>
    <t>CHAVE DE TESTE</t>
  </si>
  <si>
    <t>SDS4</t>
  </si>
  <si>
    <t>CHAVE DE CANO GRIFO</t>
  </si>
  <si>
    <t>5AS4A</t>
  </si>
  <si>
    <t>S4AS</t>
  </si>
  <si>
    <t>CHAVE INGLESA</t>
  </si>
  <si>
    <t>S4DA</t>
  </si>
  <si>
    <t>TRENA 5 METROS</t>
  </si>
  <si>
    <t>4AS8</t>
  </si>
  <si>
    <t>TRENA 3 METROS</t>
  </si>
  <si>
    <t>AAD45</t>
  </si>
  <si>
    <t>TRENA 9 METROS</t>
  </si>
  <si>
    <t>ADW92</t>
  </si>
  <si>
    <t>ACHULZ</t>
  </si>
  <si>
    <t>TRENA 8 METROS</t>
  </si>
  <si>
    <t>AW2D</t>
  </si>
  <si>
    <t>TRENA 2 METROS</t>
  </si>
  <si>
    <t>ACX</t>
  </si>
  <si>
    <t>TRENA  3 METROS</t>
  </si>
  <si>
    <t>QADAW9</t>
  </si>
  <si>
    <t xml:space="preserve">MACHADO </t>
  </si>
  <si>
    <t>ADC33</t>
  </si>
  <si>
    <t>MACHADO DE UNHA</t>
  </si>
  <si>
    <t>AD96</t>
  </si>
  <si>
    <t>MACHADO DAN</t>
  </si>
  <si>
    <t>A2DXA</t>
  </si>
  <si>
    <t>NAUTICA</t>
  </si>
  <si>
    <t>MACHADO DE BICO</t>
  </si>
  <si>
    <t>2AC5A</t>
  </si>
  <si>
    <t>OCULOS POLICABORNATO</t>
  </si>
  <si>
    <t>2CAD</t>
  </si>
  <si>
    <t>OCULOS PANORAMICO</t>
  </si>
  <si>
    <t>49DC</t>
  </si>
  <si>
    <t>OCULOS ACRILICO C/ LENTE TRANSPARENTE</t>
  </si>
  <si>
    <t>5C9C</t>
  </si>
  <si>
    <t>JAGUAR</t>
  </si>
  <si>
    <t>OCULOS ACRILICO C/ LENTE AZUL</t>
  </si>
  <si>
    <t>5C9A</t>
  </si>
  <si>
    <t>BOCH</t>
  </si>
  <si>
    <t>OCULOS ACRILICO C/ LENTE VERD</t>
  </si>
  <si>
    <t>A5CS</t>
  </si>
  <si>
    <t>OCULOS INCOLOR VISÃO AMPLA</t>
  </si>
  <si>
    <t>59SAC</t>
  </si>
  <si>
    <t>KALIPSO</t>
  </si>
  <si>
    <t>CAIXA FRT. C/ 3 GAVETAS</t>
  </si>
  <si>
    <t>5C9AS</t>
  </si>
  <si>
    <t>METABO</t>
  </si>
  <si>
    <t>CAIXA FRT. C/ 3 GAVETAS INOX</t>
  </si>
  <si>
    <t>5DAXC</t>
  </si>
  <si>
    <t>CAIXA FRT. SANFONADA C/ 5 GAVETAS</t>
  </si>
  <si>
    <t>2XCCA</t>
  </si>
  <si>
    <t>CAIXA FRT. DOBRAVEL C/ 5 GAVETAS</t>
  </si>
  <si>
    <t>C5A</t>
  </si>
  <si>
    <t>CAIXA DE FERRAMENTA C/ 55 PEÇAS</t>
  </si>
  <si>
    <t>C2A2S</t>
  </si>
  <si>
    <t>SUPER TECH</t>
  </si>
  <si>
    <t>CAIXA DE FERRAMENTA PRO FRIBOX C/ 31 PEÇAS</t>
  </si>
  <si>
    <t>SA2XA</t>
  </si>
  <si>
    <t>CAIXA DE FERRAMENTA SANFONADA C/ 65 PEÇAS</t>
  </si>
  <si>
    <t>JHGH</t>
  </si>
  <si>
    <t>VOLUME MENSAL DE VENDA(cm3)</t>
  </si>
  <si>
    <t>A-01</t>
  </si>
  <si>
    <t>B-01</t>
  </si>
  <si>
    <t>C-01</t>
  </si>
  <si>
    <t>C-02</t>
  </si>
  <si>
    <t>B-02</t>
  </si>
  <si>
    <t>A-02</t>
  </si>
  <si>
    <t>A-03</t>
  </si>
  <si>
    <t>B-03</t>
  </si>
  <si>
    <t>A-04</t>
  </si>
  <si>
    <t>B-04</t>
  </si>
  <si>
    <t>C-03</t>
  </si>
  <si>
    <t>B-05</t>
  </si>
  <si>
    <t>A-05</t>
  </si>
  <si>
    <t>C-04</t>
  </si>
  <si>
    <t>A-06</t>
  </si>
  <si>
    <t>C-05</t>
  </si>
  <si>
    <t>CAIXA DE LUZ TIGREFLEX 4"X2"</t>
  </si>
  <si>
    <t>D-01</t>
  </si>
  <si>
    <t>CAIXA LUZ  8 MEDIDORES</t>
  </si>
  <si>
    <t>D-02</t>
  </si>
  <si>
    <t>D-03</t>
  </si>
  <si>
    <t>D-04</t>
  </si>
  <si>
    <t>D-05</t>
  </si>
  <si>
    <t>D-06</t>
  </si>
  <si>
    <t>D-07</t>
  </si>
  <si>
    <t>D-08</t>
  </si>
  <si>
    <t>E-01</t>
  </si>
  <si>
    <t>E-02</t>
  </si>
  <si>
    <t>E-03</t>
  </si>
  <si>
    <t>E-04</t>
  </si>
  <si>
    <t>E-05</t>
  </si>
  <si>
    <t>E-06</t>
  </si>
  <si>
    <t>E-07</t>
  </si>
  <si>
    <t>E-08</t>
  </si>
  <si>
    <t>CAIXA DE PASSAGEM ELÉTRICA DE PISO</t>
  </si>
  <si>
    <t>F-01</t>
  </si>
  <si>
    <t>CAIXA DE PASSAGEM ELÉTRICA DE PAREDE </t>
  </si>
  <si>
    <t>F-02</t>
  </si>
  <si>
    <t>CAIXA DE PASSAGEM ELÉTRICA DE PAREDE CPT 20 - SOBREPOR</t>
  </si>
  <si>
    <t>F-03</t>
  </si>
  <si>
    <t>CAIXA DE PASSAGEM ELÉTRICA DE PAREDE CPT 40 - EMBUTIR</t>
  </si>
  <si>
    <t>F-04</t>
  </si>
  <si>
    <t>CAIXA DE PASSAGEM ELÉTRICA DE PAREDE CPT 40 - SOBREPOR</t>
  </si>
  <si>
    <t>F-05</t>
  </si>
  <si>
    <t>CAIXA DE PASSAGEM ELÉTRICA DE PAREDE CPT 15 - EMBUTIR</t>
  </si>
  <si>
    <t>F-06</t>
  </si>
  <si>
    <t>CAIXA DE PASSAGEM ELÉTRICA DE PAREDE CPT 15 - SOBREPOR</t>
  </si>
  <si>
    <t>F-07</t>
  </si>
  <si>
    <t>CAIXA DE PASSAGEM ELÉTRICA DE PAREDE CPT 30 - EMBUTIR</t>
  </si>
  <si>
    <t>F-08</t>
  </si>
  <si>
    <t>CAIXA DE PASSAGEM ELÉTRICA DE PAREDE CPT 30 - SOBREPOR</t>
  </si>
  <si>
    <t>F-09</t>
  </si>
  <si>
    <t>G-01</t>
  </si>
  <si>
    <t>CAIXA DE LUZ ELETRODUTO ROSCÁVEL 4"X4"</t>
  </si>
  <si>
    <t>G-02</t>
  </si>
  <si>
    <t>G-03</t>
  </si>
  <si>
    <t>G-04</t>
  </si>
  <si>
    <t>CAIXA DE LUZ ELETRODUTO ROSCÁVEL 2"X2"</t>
  </si>
  <si>
    <t>G-05</t>
  </si>
  <si>
    <t>CAIXA DE LUZ ELETRODUT</t>
  </si>
  <si>
    <t>G-06</t>
  </si>
  <si>
    <t>G-07</t>
  </si>
  <si>
    <t>H-01</t>
  </si>
  <si>
    <t>H-02</t>
  </si>
  <si>
    <t>H-03</t>
  </si>
  <si>
    <t>H-04</t>
  </si>
  <si>
    <t>H-05</t>
  </si>
  <si>
    <t>H-06</t>
  </si>
  <si>
    <t>H-07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</si>
  <si>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</si>
  <si>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</si>
  <si>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</si>
  <si>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</si>
  <si>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</si>
  <si>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</si>
  <si>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</si>
  <si>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</si>
  <si>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</si>
  <si>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LINHA BRANCA</t>
  </si>
  <si>
    <t>REFRIGERADOR FROST FREE</t>
  </si>
  <si>
    <t>BRASTEMP</t>
  </si>
  <si>
    <t>REFRIGERADOR CYLCLE DEFROST</t>
  </si>
  <si>
    <t>CONTINENTAL</t>
  </si>
  <si>
    <t>REFRIGERADOR FROST FREE 1 PORTA</t>
  </si>
  <si>
    <t>REFRIGERADOR FROST FREE DUPLEX</t>
  </si>
  <si>
    <t>LAVADORA DE ROUPAS FACILITE</t>
  </si>
  <si>
    <t>LAVADORA DE ROUPAS ATIVE</t>
  </si>
  <si>
    <t>LAVADORA DE ROUPAS 11KG</t>
  </si>
  <si>
    <t>LAVADORA DE ROUPAS 9KG</t>
  </si>
  <si>
    <t>SECADORA DE ROUPAS</t>
  </si>
  <si>
    <t>ELETROLUX</t>
  </si>
  <si>
    <t>SECADORA DE ROUPAS 10KG</t>
  </si>
  <si>
    <t>SECADORA DE ROUPAS SUSPENSE</t>
  </si>
  <si>
    <t>SECADORA DE ROUPAS A GÁS</t>
  </si>
  <si>
    <t>LAVA LOUÇAS ATIVE</t>
  </si>
  <si>
    <t>LAVA LOUÇAS 12 SERVIÇOS</t>
  </si>
  <si>
    <t xml:space="preserve">LAVA LOUÇAS 8 SERVIÇOS </t>
  </si>
  <si>
    <t>TANQUINHO AUTOMATICO COM TIMER</t>
  </si>
  <si>
    <t>LIBELL</t>
  </si>
  <si>
    <t>TANQUINHO 6KG</t>
  </si>
  <si>
    <t>NEWUP</t>
  </si>
  <si>
    <t>CENTRIFUGA 10KG</t>
  </si>
  <si>
    <t>MUELLER</t>
  </si>
  <si>
    <t>CENTRIFUGA 10KG SPIN</t>
  </si>
  <si>
    <t>FICSHER</t>
  </si>
  <si>
    <t>CENTRIFUGA DE ROUPAS 4KG</t>
  </si>
  <si>
    <t>BRITANIA</t>
  </si>
  <si>
    <t>PORTATÉIS</t>
  </si>
  <si>
    <t>MAQUINA FOTOGRAFICA DIGITAL 16 MP</t>
  </si>
  <si>
    <t>NIKON</t>
  </si>
  <si>
    <t>MAQUINA FOTOGRAFICA DIGITAL LCD3</t>
  </si>
  <si>
    <t>FUJIFILM</t>
  </si>
  <si>
    <t>MAQUINA FOTOGRAFICA DIGITAL SL 1000</t>
  </si>
  <si>
    <t>MAQUINA FOTOGRAFICA DIGITAL L820 16MP</t>
  </si>
  <si>
    <t>FILMADORA CX220 FULL HD</t>
  </si>
  <si>
    <t>SONY</t>
  </si>
  <si>
    <t>FILMADORA SILVER EDICTION</t>
  </si>
  <si>
    <t>HERO3</t>
  </si>
  <si>
    <t>FILMADORA ACTION CAM</t>
  </si>
  <si>
    <t>FILMADORA WHITE EDICTION 5MP</t>
  </si>
  <si>
    <t>RADIO RELÓGIO RR02</t>
  </si>
  <si>
    <t>DOCK STATION PH10</t>
  </si>
  <si>
    <t>RADIO PORTATIL PB119</t>
  </si>
  <si>
    <t>VITROLA HI-FI</t>
  </si>
  <si>
    <t>BRAVO</t>
  </si>
  <si>
    <t>RADIO AUTOMOTIVO ONE</t>
  </si>
  <si>
    <t>MULTILASER</t>
  </si>
  <si>
    <t>RADIO AUTOMOTIVO KDR449</t>
  </si>
  <si>
    <t>JVC</t>
  </si>
  <si>
    <t>RADIO AUTOMOTIVO KWR500</t>
  </si>
  <si>
    <t>RADIO AUTOMOTIVO KSR750</t>
  </si>
  <si>
    <t>GPS GP012</t>
  </si>
  <si>
    <t>GPS HUD AUTOMOTIVO</t>
  </si>
  <si>
    <t>GARMIM</t>
  </si>
  <si>
    <t>GPS  NUVI 52 5''</t>
  </si>
  <si>
    <t>GPS NUVI 65 6''</t>
  </si>
  <si>
    <t>TELEFONIA</t>
  </si>
  <si>
    <t>SMARTPHONE XPERIA Z2</t>
  </si>
  <si>
    <t>SMARTPHONE GALAXY CORE DUOS</t>
  </si>
  <si>
    <t>SMARTPHONE ASHA 220</t>
  </si>
  <si>
    <t>NOKIA</t>
  </si>
  <si>
    <t xml:space="preserve">SMARTPHONE MOTO E </t>
  </si>
  <si>
    <t>MOTOROLA</t>
  </si>
  <si>
    <t>SMARTPHONE OPTIMUM 01</t>
  </si>
  <si>
    <t xml:space="preserve">SMARTPHONE MOTO G </t>
  </si>
  <si>
    <t>SMARTPHONE IPHONE 4S</t>
  </si>
  <si>
    <t>APPLE</t>
  </si>
  <si>
    <t>SMARTPHONE C299</t>
  </si>
  <si>
    <t>SMARTPHONE IDOL ONE</t>
  </si>
  <si>
    <t>ALCATELL</t>
  </si>
  <si>
    <t xml:space="preserve">SMARTPHONE XPERIA M2 </t>
  </si>
  <si>
    <t>SMARTPHONE GALAXY SII</t>
  </si>
  <si>
    <t>SMARTPHONE GALAXY S5</t>
  </si>
  <si>
    <t>SMARTPHONE GALAXY DUOS TV</t>
  </si>
  <si>
    <t>SMARTPHONE OPTIMUS L1</t>
  </si>
  <si>
    <t>SMARTPHONE XPERIA C DUAL</t>
  </si>
  <si>
    <t>TELEFONE COM IDENTIFICADOR DE CHAMADAS</t>
  </si>
  <si>
    <t>KEO</t>
  </si>
  <si>
    <t>TELEFONE LUMINOSO DE CAMPAINHA</t>
  </si>
  <si>
    <t>TELEFONE S/ FIO</t>
  </si>
  <si>
    <t>INTELBRAS</t>
  </si>
  <si>
    <t>TELEFONE S/ FIO DETECT</t>
  </si>
  <si>
    <t>VTECH</t>
  </si>
  <si>
    <t>TELEFONE C/ FIO BINA AUTOMATICA</t>
  </si>
  <si>
    <t>TELEFONE S/ FIO 6.0</t>
  </si>
  <si>
    <t>TELEFONE S/ FIO 14 MELODIAS</t>
  </si>
  <si>
    <t>PANASONIC</t>
  </si>
  <si>
    <t>TELEFONE S/ FIO MEMÓRIA 10 CONTATOS</t>
  </si>
  <si>
    <t>TELEFONE S/ FIO AGENDA TELEFONICA</t>
  </si>
  <si>
    <t>TELEFONE S/ FIO DIGITAL</t>
  </si>
  <si>
    <t>TELEFONE S/ FIO DIGITIAL CHAMADA VIVA VOZ</t>
  </si>
  <si>
    <t>ACESSÓRIOS PARA BANHEIRO</t>
  </si>
  <si>
    <t>ASSENTO LAQUEADO</t>
  </si>
  <si>
    <t>825859</t>
  </si>
  <si>
    <t>CAIXA INDIVIDUAL</t>
  </si>
  <si>
    <t>DECOR ASSENTOS</t>
  </si>
  <si>
    <t>215859</t>
  </si>
  <si>
    <t>BOX DE CORRER VIDRO</t>
  </si>
  <si>
    <t>895859</t>
  </si>
  <si>
    <t xml:space="preserve">BOX DE CORRER </t>
  </si>
  <si>
    <t>785859</t>
  </si>
  <si>
    <t>BOX DE CORRER VIDRO FUMÊ</t>
  </si>
  <si>
    <t>525859</t>
  </si>
  <si>
    <t>BOX DE CORRER VIDRO INCOLOR</t>
  </si>
  <si>
    <t>569859</t>
  </si>
  <si>
    <t>BOX  DE CORRER VIDRO VERDE</t>
  </si>
  <si>
    <t>789859</t>
  </si>
  <si>
    <t>BOX DE CORRER ELEGANCE</t>
  </si>
  <si>
    <t>786459</t>
  </si>
  <si>
    <t>BOX DE CORRER VERSATIK</t>
  </si>
  <si>
    <t>636459</t>
  </si>
  <si>
    <t>BOX DE CORRER VIDRO EM S</t>
  </si>
  <si>
    <t>684459</t>
  </si>
  <si>
    <t>BOX DE CORRER VIDRO ULTRA WHITE</t>
  </si>
  <si>
    <t>214459</t>
  </si>
  <si>
    <t>BOX DE CORRER ACRÍLICO FUMÊ</t>
  </si>
  <si>
    <t>213259</t>
  </si>
  <si>
    <t>BOX DE CORRER VIDRO EM S SATIN</t>
  </si>
  <si>
    <t>895259</t>
  </si>
  <si>
    <t>CAIXA DE DESCARGA SEM ENGATE</t>
  </si>
  <si>
    <t>145259</t>
  </si>
  <si>
    <t>CAIXA DE DESCARGA SEM ENGATE CINZA</t>
  </si>
  <si>
    <t>25644</t>
  </si>
  <si>
    <t>CAIXA DE DESCARGA SEM ENGATE BRANCO</t>
  </si>
  <si>
    <t>15848</t>
  </si>
  <si>
    <t>CAIXA DE DESCARGA 6,8 LITROS</t>
  </si>
  <si>
    <t>55774</t>
  </si>
  <si>
    <t>CAIXA DE DESCARGA 9 LITROS</t>
  </si>
  <si>
    <t>68489</t>
  </si>
  <si>
    <t>ESPELHO DIAL</t>
  </si>
  <si>
    <t>54213</t>
  </si>
  <si>
    <t>TOK E STOK</t>
  </si>
  <si>
    <t>ESPELHO DIAL BORDA BRANCA</t>
  </si>
  <si>
    <t>24612</t>
  </si>
  <si>
    <t>ESPELHO VISIONE</t>
  </si>
  <si>
    <t>24616</t>
  </si>
  <si>
    <t>ESPELHO BIANCO</t>
  </si>
  <si>
    <t>22121</t>
  </si>
  <si>
    <t>ESPELHO BISOTADO</t>
  </si>
  <si>
    <t>25551</t>
  </si>
  <si>
    <t>LIXEIRA AUTOMATICA PARA PIA</t>
  </si>
  <si>
    <t>21655</t>
  </si>
  <si>
    <t>C E C CASA E CONSTRUÇÃO</t>
  </si>
  <si>
    <t>LIXEIRA OVAL BRANCA</t>
  </si>
  <si>
    <t>21515</t>
  </si>
  <si>
    <t>LIXEIRA INOX COM PEDAL</t>
  </si>
  <si>
    <t>39445</t>
  </si>
  <si>
    <t>LIXEIRA INOX COM TAMPA</t>
  </si>
  <si>
    <t>15155</t>
  </si>
  <si>
    <t>TAPETES LUXO PARA PÉS</t>
  </si>
  <si>
    <t>54855</t>
  </si>
  <si>
    <t>SUA CASA SHOP</t>
  </si>
  <si>
    <t>TAPETE MICROFIBRA</t>
  </si>
  <si>
    <t>55655</t>
  </si>
  <si>
    <t>ARMÁRIO RIVIERA</t>
  </si>
  <si>
    <t>12548</t>
  </si>
  <si>
    <t>MMM MEU MÓVEL DE MADEIRA</t>
  </si>
  <si>
    <t>ARMÁRIO BADEN</t>
  </si>
  <si>
    <t>12545</t>
  </si>
  <si>
    <t>CABIDE DUPLO</t>
  </si>
  <si>
    <t>36528</t>
  </si>
  <si>
    <t>PONTO LAVABO</t>
  </si>
  <si>
    <t>PAPELEIRA</t>
  </si>
  <si>
    <t>21563</t>
  </si>
  <si>
    <t>PORTA XAMPO</t>
  </si>
  <si>
    <t>23658</t>
  </si>
  <si>
    <t>SABONETEIRA</t>
  </si>
  <si>
    <t>PORTA TOALHA</t>
  </si>
  <si>
    <t>32569</t>
  </si>
  <si>
    <t>21569</t>
  </si>
  <si>
    <t>PRATELEIRA GRIJIO</t>
  </si>
  <si>
    <t>21326</t>
  </si>
  <si>
    <t>PRATELEIRA BRANCA</t>
  </si>
  <si>
    <t>23599</t>
  </si>
  <si>
    <t>PRATELEIRA WENDEL</t>
  </si>
  <si>
    <t>22365</t>
  </si>
  <si>
    <t>PRATELEIRA NOCE</t>
  </si>
  <si>
    <t>37783</t>
  </si>
  <si>
    <t>76708</t>
  </si>
  <si>
    <t>33124</t>
  </si>
  <si>
    <t>88392</t>
  </si>
  <si>
    <t>88490</t>
  </si>
  <si>
    <t>87799</t>
  </si>
  <si>
    <t>61011</t>
  </si>
  <si>
    <t>80305</t>
  </si>
  <si>
    <t>80304</t>
  </si>
  <si>
    <t>73959</t>
  </si>
  <si>
    <t>53432</t>
  </si>
  <si>
    <t>93090</t>
  </si>
  <si>
    <t>63757</t>
  </si>
  <si>
    <t>29458</t>
  </si>
  <si>
    <t>59643</t>
  </si>
  <si>
    <t>84753</t>
  </si>
  <si>
    <t>88391</t>
  </si>
  <si>
    <t>71705</t>
  </si>
  <si>
    <t>23964</t>
  </si>
  <si>
    <t>79796</t>
  </si>
  <si>
    <t>70047</t>
  </si>
  <si>
    <t>64649</t>
  </si>
  <si>
    <t>76707</t>
  </si>
  <si>
    <t>90595</t>
  </si>
  <si>
    <t>84760</t>
  </si>
  <si>
    <t>90259</t>
  </si>
  <si>
    <t>88388</t>
  </si>
  <si>
    <t>81386</t>
  </si>
  <si>
    <t>90255</t>
  </si>
  <si>
    <t> 81356</t>
  </si>
  <si>
    <t>33238</t>
  </si>
  <si>
    <t>71702</t>
  </si>
  <si>
    <t>61317</t>
  </si>
  <si>
    <t>PORCELANATO BRILHANTE BORDA RETA CRISTAL WHITE</t>
  </si>
  <si>
    <t>12345</t>
  </si>
  <si>
    <t>BRASNORTE</t>
  </si>
  <si>
    <t>PORCELANATO BRILHANTE BORDA RETA WHITE</t>
  </si>
  <si>
    <t>56789</t>
  </si>
  <si>
    <t>PORCELANATO ACETINADO BORDA ARREDONDADA OVIEDO BEIGE</t>
  </si>
  <si>
    <t>78542</t>
  </si>
  <si>
    <t>ITAGRES</t>
  </si>
  <si>
    <t>PORCELANATO ACETINADO BORDA ARREDONDADA NEW YORK CEMENT</t>
  </si>
  <si>
    <t>24213</t>
  </si>
  <si>
    <t>PORTOBELLO</t>
  </si>
  <si>
    <t>PORCELANATO BRILHANTE BORDA RETA CREMA PERLA</t>
  </si>
  <si>
    <t>36521</t>
  </si>
  <si>
    <t>PORCELANATO BRILHANTE BORDA RETA BIANCO DELICATO</t>
  </si>
  <si>
    <t>35645</t>
  </si>
  <si>
    <t>PORCELANATO ACETINADO BORDA RETA BAUHAUS CEMENT</t>
  </si>
  <si>
    <t>96586</t>
  </si>
  <si>
    <t xml:space="preserve">REVESTIMENTO PARA FACHADAS LTC1717 </t>
  </si>
  <si>
    <t>36589</t>
  </si>
  <si>
    <t>FÊNIX</t>
  </si>
  <si>
    <t xml:space="preserve">PLAQUETA GEOPEDRA G15 </t>
  </si>
  <si>
    <t>52145</t>
  </si>
  <si>
    <t>778</t>
  </si>
  <si>
    <t>REVES L'ART</t>
  </si>
  <si>
    <t xml:space="preserve">PLAQUETA EUROPEDRA CLASSIC </t>
  </si>
  <si>
    <t>85485</t>
  </si>
  <si>
    <t>REVESTIMENTO EXTERNO PLURAL</t>
  </si>
  <si>
    <t>45632</t>
  </si>
  <si>
    <t>REVESTIMENTO LISBOA TERRA</t>
  </si>
  <si>
    <t>85654</t>
  </si>
  <si>
    <t>REVEST L'ART</t>
  </si>
  <si>
    <t>FAIXAS UNIVERSAL</t>
  </si>
  <si>
    <t>REF. F1001 </t>
  </si>
  <si>
    <t>LINEART</t>
  </si>
  <si>
    <t xml:space="preserve">FAIXAS LONDON BRANCO </t>
  </si>
  <si>
    <t>REF: 81357</t>
  </si>
  <si>
    <t>PORTOBELLO </t>
  </si>
  <si>
    <t>FAIXA ATLAS BLU UNIVERSAL</t>
  </si>
  <si>
    <t>REF: 61009</t>
  </si>
  <si>
    <t>INCEPA </t>
  </si>
  <si>
    <t xml:space="preserve">FAIXA CORDON CREMA UNIVERSAL </t>
  </si>
  <si>
    <t>REF: 74010</t>
  </si>
  <si>
    <t>FAIXA CHIC</t>
  </si>
  <si>
    <t>REF.: 35225</t>
  </si>
  <si>
    <t>PORTO FERREIRA</t>
  </si>
  <si>
    <t>FAIXA GEO AZUL</t>
  </si>
  <si>
    <t>REF. 32305 </t>
  </si>
  <si>
    <t xml:space="preserve">FAIXA ISABELA REVESTIMENTOS </t>
  </si>
  <si>
    <t>REF: PP 1701.01</t>
  </si>
  <si>
    <t>FAIXA ISABELA REVESTIMENTOS BEIGE</t>
  </si>
  <si>
    <t>REF: PP1704.01</t>
  </si>
  <si>
    <t xml:space="preserve">RODAPÉ BOTTICELLI </t>
  </si>
  <si>
    <t>REF: 20027 ET</t>
  </si>
  <si>
    <t>BIANCO</t>
  </si>
  <si>
    <t>RODAPÉ MÁRMORE CREMA</t>
  </si>
  <si>
    <t>REF: 20124ET</t>
  </si>
  <si>
    <t>RODAPÉ GRANILITE PALHA BOLD</t>
  </si>
  <si>
    <t>REF: 20126ET</t>
  </si>
  <si>
    <t>RODAPÉ YORK WHITE</t>
  </si>
  <si>
    <t>REF: 5452</t>
  </si>
  <si>
    <t>PORTINARI</t>
  </si>
  <si>
    <t>RODAPÉ MODERNO</t>
  </si>
  <si>
    <t>REF: 419419</t>
  </si>
  <si>
    <t>SANTA LUZIA</t>
  </si>
  <si>
    <t>RODAPÉ ANG</t>
  </si>
  <si>
    <t>REF: LTCRA249595</t>
  </si>
  <si>
    <t>PASTILHA DE VIDRO AZUL E ESPELHO</t>
  </si>
  <si>
    <t>REF: INF- 173</t>
  </si>
  <si>
    <t>COLORTIL</t>
  </si>
  <si>
    <t xml:space="preserve">PASTILHA </t>
  </si>
  <si>
    <t>REF: METAL COPPER</t>
  </si>
  <si>
    <t>PASTILHART</t>
  </si>
  <si>
    <t>PASTILHA DE VIDRO EXTRA PLACA</t>
  </si>
  <si>
    <t>REF: 1262173</t>
  </si>
  <si>
    <t>EMBRAMACO</t>
  </si>
  <si>
    <t>PASTILHA DE VIDRO CRISTAL</t>
  </si>
  <si>
    <t xml:space="preserve">REF: 1103 </t>
  </si>
  <si>
    <t> CRYSTAL GLASS</t>
  </si>
  <si>
    <t>PASTILHA JATOBÁ PRETA</t>
  </si>
  <si>
    <t>REF: 104154</t>
  </si>
  <si>
    <t>JATOBÁ</t>
  </si>
  <si>
    <t>PASTILHA MAJOPAR PRETO</t>
  </si>
  <si>
    <t>REF: 31215</t>
  </si>
  <si>
    <t>MAJOPAR</t>
  </si>
  <si>
    <t>VIDRO MIX AMARELO</t>
  </si>
  <si>
    <t>REF: AA067</t>
  </si>
  <si>
    <t>CRISTAL GLASS</t>
  </si>
  <si>
    <t>VIDRO COLOR</t>
  </si>
  <si>
    <t>REF: 60265</t>
  </si>
  <si>
    <t>COLORMIX</t>
  </si>
  <si>
    <t>VIDRO AZUL 1 ANTIDERRAPANTE</t>
  </si>
  <si>
    <t>REF: 179812</t>
  </si>
  <si>
    <t>VIDRO</t>
  </si>
  <si>
    <t xml:space="preserve">REF: FAIXA PETALA </t>
  </si>
  <si>
    <t>VIDRO REAL</t>
  </si>
  <si>
    <t>REF: FAIXA FLORAL</t>
  </si>
  <si>
    <t>SOLEIRA GRANITO PRETO SÃO GABRIEL </t>
  </si>
  <si>
    <t>REF: 87749025</t>
  </si>
  <si>
    <t>MOREDO</t>
  </si>
  <si>
    <t xml:space="preserve">SOLEIRA MÁRMORE BRANCO </t>
  </si>
  <si>
    <t>REF:  86717183</t>
  </si>
  <si>
    <t>FORTE DEI MARMI</t>
  </si>
  <si>
    <t xml:space="preserve">SOLEIRA ART MOSAICOS LISTRA BEGE </t>
  </si>
  <si>
    <t>REF: SP5001.02</t>
  </si>
  <si>
    <t xml:space="preserve">ART MOSAICOS </t>
  </si>
  <si>
    <t>SOLEIRA ESPELHO DE PVC PLASBIL</t>
  </si>
  <si>
    <t>REF: 109395</t>
  </si>
  <si>
    <t>PLASBIL REVESTIMENTOS</t>
  </si>
  <si>
    <t>SOLEIRA ART MOSAICOS XADREZ BLACK </t>
  </si>
  <si>
    <t>REF: SP5002.01</t>
  </si>
  <si>
    <t>LOUÇAS SANITÁRIAS</t>
  </si>
  <si>
    <t>ASSOALHO E PAREDE DE EUCALIPTO</t>
  </si>
  <si>
    <t>REF: 150927</t>
  </si>
  <si>
    <t>MF RURAL</t>
  </si>
  <si>
    <t>PISO VINÍLICO FADEMAC AMBIENTA RÚSTICO</t>
  </si>
  <si>
    <t>REF: 000000000009301605</t>
  </si>
  <si>
    <t>CABREUVA</t>
  </si>
  <si>
    <t>PISO VINÍLICO SCANDIAN MONTANA CARVALHO</t>
  </si>
  <si>
    <t>REF: GMP9930</t>
  </si>
  <si>
    <t>CARVALHO</t>
  </si>
  <si>
    <t>PISO VINÍLICO PAVIFLEX NATURAL INTENSITY </t>
  </si>
  <si>
    <t>REF: 000000000009211901</t>
  </si>
  <si>
    <t>OUTLET CRYSTAL GREY</t>
  </si>
  <si>
    <t>PISO VINÍLICO RESIDENCIAL EM MANTA SCANDIAN HOME</t>
  </si>
  <si>
    <t>REF: PV0215</t>
  </si>
  <si>
    <t>SUCUPIRA</t>
  </si>
  <si>
    <t>PISO VINÍLICO EM RÉGUA DURAFLOOR LVT LOFT</t>
  </si>
  <si>
    <t>REF: 02193PISODAKAR00000001</t>
  </si>
  <si>
    <t>DAKAR</t>
  </si>
  <si>
    <t xml:space="preserve">PERFIL PISO PAREDE </t>
  </si>
  <si>
    <t>REF: 106958</t>
  </si>
  <si>
    <t>FIBRAPISO NOGUEIRA</t>
  </si>
  <si>
    <t>PERFIL PISO PAREDE MARFIM</t>
  </si>
  <si>
    <t>REF: 106957</t>
  </si>
  <si>
    <t>FIBRAPISO</t>
  </si>
  <si>
    <t>PISO PVC</t>
  </si>
  <si>
    <t>REF: 86704555</t>
  </si>
  <si>
    <t>TARKETT</t>
  </si>
  <si>
    <t xml:space="preserve">PISO LAMINADO EUCATEX </t>
  </si>
  <si>
    <t>REF: 083886</t>
  </si>
  <si>
    <t>EUCATEX</t>
  </si>
  <si>
    <t>PISO LAMINADO</t>
  </si>
  <si>
    <t>REF: 106976</t>
  </si>
  <si>
    <t>HAVANA</t>
  </si>
  <si>
    <t>PISO LAMINADO CARVALHO</t>
  </si>
  <si>
    <t>REF: 106978</t>
  </si>
  <si>
    <t>MANTA PARA PISO</t>
  </si>
  <si>
    <t>REF: 078758</t>
  </si>
  <si>
    <t>MANTA PARA PISO LAMINADO</t>
  </si>
  <si>
    <t>REF: 109253</t>
  </si>
  <si>
    <t>EUCASOFT</t>
  </si>
  <si>
    <t xml:space="preserve">JUNTA DE DILATAÇÃO </t>
  </si>
  <si>
    <t>REF: 106974</t>
  </si>
  <si>
    <t>FIBRAPISO NOGUEIRA</t>
  </si>
  <si>
    <t>RODAPÉ CERÂMICO CEUSA UNIVERSAL BLANCO</t>
  </si>
  <si>
    <t>REF: 078223</t>
  </si>
  <si>
    <t>CEUSA</t>
  </si>
  <si>
    <t>RODAPÉ FIBRAPISO ESTILO CARVALHO NATURAL</t>
  </si>
  <si>
    <t>REF: 109278</t>
  </si>
  <si>
    <t>FIBRAPISO </t>
  </si>
  <si>
    <t xml:space="preserve">RODAPÉ ART MOSAICOS CLASSIC BEGE </t>
  </si>
  <si>
    <t>REF: RD 7060.01</t>
  </si>
  <si>
    <t>BRASGROUP</t>
  </si>
  <si>
    <t>TERMINAL PARA RODAPÉ</t>
  </si>
  <si>
    <t>REF: 110503</t>
  </si>
  <si>
    <t>ASPEN</t>
  </si>
  <si>
    <t>REF: 089010</t>
  </si>
  <si>
    <t>MASSA CORRIDA</t>
  </si>
  <si>
    <t>SUVINIL MASSA CORRIDA 18L</t>
  </si>
  <si>
    <t>SELADOR</t>
  </si>
  <si>
    <t>SUVINIL SELADORA PARA MADEIRA 3,600L</t>
  </si>
  <si>
    <t>SUVINIL SELADOR ACRÍLICO 18L</t>
  </si>
  <si>
    <t>SELADOR ACRÍLICO CORAL DULUX BRANCA 18L</t>
  </si>
  <si>
    <t>SELADOR ACRÍLICO CORAL PIGMENTADO BRANCO 18L</t>
  </si>
  <si>
    <t>TINTA ACRÍLICA</t>
  </si>
  <si>
    <t>TINTA ACRÍLICA ECOLOGICA SEMIBRILHO PASTEL 18L</t>
  </si>
  <si>
    <t>TINTA ACRÍLICA ECOLÓGICA FOSCO BASE INTENSA 18L</t>
  </si>
  <si>
    <t>TINTA ACRÍLICA PISOS AZUL 18L</t>
  </si>
  <si>
    <t>TINTA ACRÍLICA PISOS AMARELO 18L</t>
  </si>
  <si>
    <t>TINTA ACRÍLICA PISOS VERDE 3,6L</t>
  </si>
  <si>
    <t>TINTA ACRÍLICA PARA GESSO BRANCO 18L</t>
  </si>
  <si>
    <t>TINTA ACRÍLICA DURA MAIS EXTERIORES BASE MÉDIA 18L</t>
  </si>
  <si>
    <t>TINTA ACRÍLICA TELHAS CARAMELO 18L</t>
  </si>
  <si>
    <t>TINTA ACRÍLICA FOSCO BRANCO 18L</t>
  </si>
  <si>
    <t>TINTA ACRÍLICA SEMI-BRILHO GELO 18L</t>
  </si>
  <si>
    <t>TINTA ACRÍLICA FACHADA BRANCO 3,6L</t>
  </si>
  <si>
    <t>TINTA ACRÍLICA SUPER LAVÁVEL BRANCO 18L</t>
  </si>
  <si>
    <t>TINTA ACRÍLICA DECORA ACETINADO MARINE 18L</t>
  </si>
  <si>
    <t>TINTA ESMALTE</t>
  </si>
  <si>
    <t>TINTA ESMALTE CORALIT ZERO BRILHANTE BRANCO 3,6 L</t>
  </si>
  <si>
    <t>TINTA ESMALTE CORALIT ACETINADO BRANCO 3,6 L</t>
  </si>
  <si>
    <t>TINTA ESMALTE CORALIT FOSCO BRANCO 3,6 L</t>
  </si>
  <si>
    <t>TINTA ESMALTE ACETINADO GELO 3,6 L</t>
  </si>
  <si>
    <t>TINTA ESMALTE ACETINADO AREIA 3,6 L</t>
  </si>
  <si>
    <t>TINTA ESMALTE BRILHANTE GELO 3,6 L</t>
  </si>
  <si>
    <t>TINTA ESMALTE BRILHANTE BRANCO 3,6 L</t>
  </si>
  <si>
    <t>TINTA ESMALTE ECO ACETINADO BRANCO 3,6L</t>
  </si>
  <si>
    <t>SHERWIN WILLIAMS </t>
  </si>
  <si>
    <t>TINTA ESMALTE ECO ACETINADO GELO 3,6L</t>
  </si>
  <si>
    <t>TINTA ESMALTE ECO ACETINADO SERENO 3,6L</t>
  </si>
  <si>
    <t>TINTA ESMALTE ECO ALTO BRILHO BRANCO 3,6L</t>
  </si>
  <si>
    <t>ESMALTE BRILHANTE BRANCO 3,6L</t>
  </si>
  <si>
    <t>TINTAS UNIVERSO</t>
  </si>
  <si>
    <t>TINTA ÓLEO</t>
  </si>
  <si>
    <t>TINTA ÓLEO SUVINIL AZUL DEL REY 3,6L</t>
  </si>
  <si>
    <t>TINTA ÓLEO SUVINIL MARROM CONHAQUE 3,6L</t>
  </si>
  <si>
    <t>TINTA ÓLEO SUVINIL BRANCO 3,6</t>
  </si>
  <si>
    <t>TINTA ÓLEO GLASURIT LARANJA 18L</t>
  </si>
  <si>
    <t>TINTA ÓLEO MAXX PVA CAPIM LIMÃO 18L</t>
  </si>
  <si>
    <t>TINTA ÓLEO TOQUE DE SEDA GELO 18L</t>
  </si>
  <si>
    <t>TINTA ÓLEO GLASURIT CENOURA 18L</t>
  </si>
  <si>
    <t>TINTA ÓLEO MEL 18L</t>
  </si>
  <si>
    <t>TINTA ÓLEO AMARELO CANÁRIO 18L</t>
  </si>
  <si>
    <t>TINTA ÓLEO VERDE MUSGO 18L</t>
  </si>
  <si>
    <t>TINTA ÓLEO CHEGA DE MOFO BRANCO CORAL 18L</t>
  </si>
  <si>
    <t>TINTA ÓLEO RENDE MUITO BRANCO NEVE 18L</t>
  </si>
  <si>
    <t>TINTA ÓLEO ECONÔMICA CORALAR PEROLA CORAL 18L</t>
  </si>
  <si>
    <t>TINTA ÓLEO ECONÔMICA CORALAR VERMELHO RUBI 18L</t>
  </si>
  <si>
    <t>TINTA ÓLEO ECONÔMICA CORALAR VERDE KIWI 18L</t>
  </si>
  <si>
    <t>TINTA ÓLEO ECONÔMICA CORALAR CAMURÇA 18L</t>
  </si>
  <si>
    <t>VERNIZES</t>
  </si>
  <si>
    <t xml:space="preserve">POLISTEN STAIN IMPREGNANTE PREMIUM IMBUIA 3,6L </t>
  </si>
  <si>
    <t>SAYERLACK</t>
  </si>
  <si>
    <t xml:space="preserve">POLISTEN STAIN IMPREGNANTE PREMIUM MOGNO 3,6L </t>
  </si>
  <si>
    <t xml:space="preserve">POLISTEN STAIN IMPREGNANTE PREMIUM TRANSPARENTE 3,6L  </t>
  </si>
  <si>
    <t>VERNIZ SEMI BRILHO KNOTTING 3,6L</t>
  </si>
  <si>
    <t>SPARLACK</t>
  </si>
  <si>
    <t>VERNIZ BRILHANTE CETOL IMBÚIA 3,6L</t>
  </si>
  <si>
    <t>AUTOMOTIVO</t>
  </si>
  <si>
    <t>PASSEIO</t>
  </si>
  <si>
    <t>PNEU</t>
  </si>
  <si>
    <t>165/70R13 SPIDER</t>
  </si>
  <si>
    <t>PIRELLI</t>
  </si>
  <si>
    <t>175/70R13 FORMULA</t>
  </si>
  <si>
    <t>165/70R13 CINTURATO</t>
  </si>
  <si>
    <t>175/70R13 P400</t>
  </si>
  <si>
    <t>165-380 ALFA</t>
  </si>
  <si>
    <t>FIRESTONE</t>
  </si>
  <si>
    <t>205/65 R15 TIMBER</t>
  </si>
  <si>
    <t>BRIDGESTONE</t>
  </si>
  <si>
    <t>205/60R16 CONTACT</t>
  </si>
  <si>
    <t>ÓLEO</t>
  </si>
  <si>
    <t>QUARTZ 5000</t>
  </si>
  <si>
    <t>CAIXA CORRUGADA</t>
  </si>
  <si>
    <t>EVOLUTION SXR</t>
  </si>
  <si>
    <t>TOP TURBO</t>
  </si>
  <si>
    <t>BATERIA</t>
  </si>
  <si>
    <t>MOURA</t>
  </si>
  <si>
    <t>CHAPINHA</t>
  </si>
  <si>
    <t xml:space="preserve">PRANCHA TAIFF TITANIUM 450 COLORS - 58W </t>
  </si>
  <si>
    <t xml:space="preserve">PRANCHA TAIFF RED ÍON - 42W </t>
  </si>
  <si>
    <t xml:space="preserve">PRANCHA TAIFF CERÂMICA BIVOLT PRETA - 42W </t>
  </si>
  <si>
    <t xml:space="preserve">PRANCHA TAIFF LOOK ALISA E MODELA - 48W </t>
  </si>
  <si>
    <t>BARBEADOR</t>
  </si>
  <si>
    <t>BARBEADOR SENSO TOUCH PHILIPS WET &amp; DRY RQ 1145/17 BIVOLT</t>
  </si>
  <si>
    <t>BARBEADOR SENSO TOUCH 3D PHILIPS WET &amp; DRY RQ1285/17 BIVOLT</t>
  </si>
  <si>
    <t>BARBEADOR PHILCO PBA03 PRETO</t>
  </si>
  <si>
    <t>SECADOR</t>
  </si>
  <si>
    <t xml:space="preserve">SECADOR TAIFF TOURMALINE ÍON CERÂMICA C/ EMISSÃO DE ÍONS - 2000W </t>
  </si>
  <si>
    <t xml:space="preserve">SECADOR DE CABELO TAIFF TITANIUM COLORS PINK - 2100W </t>
  </si>
  <si>
    <t>SECADOR TAIFF BLACK - 1700W</t>
  </si>
  <si>
    <t>MODELADOR</t>
  </si>
  <si>
    <t xml:space="preserve">MODELADOR AUTOMÁTICO DE CACHOS MONDIAL ULTIMATE CURL MCA-01 </t>
  </si>
  <si>
    <t>CLIMATIZAÇÃO</t>
  </si>
  <si>
    <t>FORNO E FOGÃO</t>
  </si>
  <si>
    <t>11500051</t>
  </si>
  <si>
    <t>11600003</t>
  </si>
  <si>
    <t>11555002</t>
  </si>
  <si>
    <t>TAMPA P/ FOGÃO A LENHA</t>
  </si>
  <si>
    <t>11500004</t>
  </si>
  <si>
    <t>694</t>
  </si>
  <si>
    <t>100664</t>
  </si>
  <si>
    <t>100835</t>
  </si>
  <si>
    <t>100381</t>
  </si>
  <si>
    <t>100540</t>
  </si>
  <si>
    <t>105124</t>
  </si>
  <si>
    <t>105532</t>
  </si>
  <si>
    <t>105502</t>
  </si>
  <si>
    <t>105099</t>
  </si>
  <si>
    <t>201288</t>
  </si>
  <si>
    <t>116022</t>
  </si>
  <si>
    <t>116024</t>
  </si>
  <si>
    <t>10733</t>
  </si>
  <si>
    <t>117044</t>
  </si>
  <si>
    <t>117048</t>
  </si>
  <si>
    <t>177042</t>
  </si>
  <si>
    <t>106800</t>
  </si>
  <si>
    <t>2029681</t>
  </si>
  <si>
    <t>16501</t>
  </si>
  <si>
    <t>888000</t>
  </si>
  <si>
    <t>116669</t>
  </si>
  <si>
    <t>PORTÁTEIS DE COZINHA</t>
  </si>
  <si>
    <t>LIQUIDIFICADOR</t>
  </si>
  <si>
    <t>13074</t>
  </si>
  <si>
    <t>LIQUIDIFICADOR ARNO CLIC</t>
  </si>
  <si>
    <t>26420</t>
  </si>
  <si>
    <t xml:space="preserve">LIQUIDIFICADOR </t>
  </si>
  <si>
    <t>26419</t>
  </si>
  <si>
    <t>28459</t>
  </si>
  <si>
    <t>28479</t>
  </si>
  <si>
    <t>23679</t>
  </si>
  <si>
    <t>23459</t>
  </si>
  <si>
    <t>21459</t>
  </si>
  <si>
    <t>27859</t>
  </si>
  <si>
    <t>23639</t>
  </si>
  <si>
    <t>BATEDEIRA MONDIAL</t>
  </si>
  <si>
    <t>24739</t>
  </si>
  <si>
    <t>BATEDEIRA PROFISSIONAL</t>
  </si>
  <si>
    <t>26939</t>
  </si>
  <si>
    <t>BATEDEIRA 4 VELOCIDADES</t>
  </si>
  <si>
    <t>29839</t>
  </si>
  <si>
    <t>CAFETEIRA ELÉTRICA</t>
  </si>
  <si>
    <t>25439</t>
  </si>
  <si>
    <t>CAFETEIRA EXPRESSO</t>
  </si>
  <si>
    <t>25239</t>
  </si>
  <si>
    <t>FERRO A VAPOR E SECO</t>
  </si>
  <si>
    <t>63239</t>
  </si>
  <si>
    <t xml:space="preserve">FERRO A VAPOR </t>
  </si>
  <si>
    <t>639339</t>
  </si>
  <si>
    <t>SANDUICHEIRA SUGGAR</t>
  </si>
  <si>
    <t>SANDUICHEIRA EASY TOASTER</t>
  </si>
  <si>
    <t>479339</t>
  </si>
  <si>
    <t>CADENCE</t>
  </si>
  <si>
    <t>GRIL E SANDUICHEIRA  MAIS VOCÊ</t>
  </si>
  <si>
    <t>699339</t>
  </si>
  <si>
    <t>SANDUICHEIRA COLLECTION</t>
  </si>
  <si>
    <t>SANDUICHEIRA CADENCE</t>
  </si>
  <si>
    <t>669339</t>
  </si>
  <si>
    <t>SANDUICHEIRA MALLORY</t>
  </si>
  <si>
    <t>662139</t>
  </si>
  <si>
    <t>PANIFICADORA BRITANIA</t>
  </si>
  <si>
    <t>625139</t>
  </si>
  <si>
    <t>MULTIPROCESSADOR EFFICACE PLUS</t>
  </si>
  <si>
    <t>667139</t>
  </si>
  <si>
    <t>MULTIPROCESSADOR PLAZA HÉRCULES</t>
  </si>
  <si>
    <t>664139</t>
  </si>
  <si>
    <t>MULTIPROCESSADOR PRATIC DELLAR</t>
  </si>
  <si>
    <t>625979</t>
  </si>
  <si>
    <t>MULTIPROCESSADOR EFICACE PLUS </t>
  </si>
  <si>
    <t>MULTIPROCESSADOR FULL FOR YOU</t>
  </si>
  <si>
    <t>825979</t>
  </si>
  <si>
    <t>403516</t>
  </si>
  <si>
    <t>884055</t>
  </si>
  <si>
    <t>884076</t>
  </si>
  <si>
    <t>403517</t>
  </si>
  <si>
    <t>406850</t>
  </si>
  <si>
    <t>884634</t>
  </si>
  <si>
    <t>406852</t>
  </si>
  <si>
    <t>884676</t>
  </si>
  <si>
    <t>316120</t>
  </si>
  <si>
    <t>2080781</t>
  </si>
  <si>
    <t>318254</t>
  </si>
  <si>
    <t>2080634</t>
  </si>
  <si>
    <t>2080496</t>
  </si>
  <si>
    <t>2080970</t>
  </si>
  <si>
    <t>2080973</t>
  </si>
  <si>
    <t>2080972</t>
  </si>
  <si>
    <t>330026</t>
  </si>
  <si>
    <t>2080960</t>
  </si>
  <si>
    <t>2080546</t>
  </si>
  <si>
    <t>2080971</t>
  </si>
  <si>
    <t>2094896</t>
  </si>
  <si>
    <t>867746</t>
  </si>
  <si>
    <t>1551081</t>
  </si>
  <si>
    <t>867707</t>
  </si>
  <si>
    <t>1557028</t>
  </si>
  <si>
    <t>867356</t>
  </si>
  <si>
    <t>867609</t>
  </si>
  <si>
    <t>867624</t>
  </si>
  <si>
    <t>867344</t>
  </si>
  <si>
    <t>867631</t>
  </si>
  <si>
    <t>1551315</t>
  </si>
  <si>
    <t>1555095</t>
  </si>
  <si>
    <t>2092722</t>
  </si>
  <si>
    <t>1557077</t>
  </si>
  <si>
    <t>1500053</t>
  </si>
  <si>
    <t>1500048</t>
  </si>
  <si>
    <t>669066</t>
  </si>
  <si>
    <t>2032312</t>
  </si>
  <si>
    <t>8609065</t>
  </si>
  <si>
    <t>1500621</t>
  </si>
  <si>
    <t>1500416</t>
  </si>
  <si>
    <t>2032152</t>
  </si>
  <si>
    <t>8690009</t>
  </si>
  <si>
    <t>2015639</t>
  </si>
  <si>
    <t>2015794</t>
  </si>
  <si>
    <t>ELETROELETRÔNICOS</t>
  </si>
  <si>
    <t>INFORMÁTICA</t>
  </si>
  <si>
    <t>ESTABILIZADOR</t>
  </si>
  <si>
    <t>REVOLUTION SPEEDY COMPACTO</t>
  </si>
  <si>
    <t>CAIXA (20)</t>
  </si>
  <si>
    <t>MÓDULO ISOLADOR PROGRESSIVE III 500VA</t>
  </si>
  <si>
    <t>EVO III 500VA/W BIVOLT AUTO</t>
  </si>
  <si>
    <t>CAIXA (10)</t>
  </si>
  <si>
    <t>FORCE LINE</t>
  </si>
  <si>
    <t>ETERNITY 300VA/W BIV/AUTO 115VMET</t>
  </si>
  <si>
    <t>MOUSE</t>
  </si>
  <si>
    <t>WIRELESS MOBILE MOUSE 3500</t>
  </si>
  <si>
    <t>CAIXA (30)</t>
  </si>
  <si>
    <t>MICROSOFT</t>
  </si>
  <si>
    <t>WIRELESS CLAMSHELL 0979 USB</t>
  </si>
  <si>
    <t>LEADERSHIP</t>
  </si>
  <si>
    <t>ÓTICO USB 605093</t>
  </si>
  <si>
    <t>MAXPRINT</t>
  </si>
  <si>
    <t>TECLADO</t>
  </si>
  <si>
    <t>FLEXÍVEL COLORIDO 60312-4</t>
  </si>
  <si>
    <t>CAIXA (25)</t>
  </si>
  <si>
    <t>TECLADO MULTIMÍDIA PS2</t>
  </si>
  <si>
    <t>BRIGHT</t>
  </si>
  <si>
    <t>BÁSICO CHOCOLATE COM FIO</t>
  </si>
  <si>
    <t>MULTIMÍDIA COMPACTO USB 15 TECLAS</t>
  </si>
  <si>
    <t>NOTEBOOK</t>
  </si>
  <si>
    <t>CHROMEBOOK COM EXYNOS 5</t>
  </si>
  <si>
    <t>SANSUNG</t>
  </si>
  <si>
    <t>ASUS COM INTEL CORE I5 4GB 500GB</t>
  </si>
  <si>
    <t>ASUS</t>
  </si>
  <si>
    <t>INSPIRON I14-3437-A45</t>
  </si>
  <si>
    <t>DELL</t>
  </si>
  <si>
    <t>PENDRIVE</t>
  </si>
  <si>
    <t>SANDISK 32GB CRUZER FORCE/METAL</t>
  </si>
  <si>
    <t>CAIXA (50)</t>
  </si>
  <si>
    <t>SANDISK</t>
  </si>
  <si>
    <t>SANDISK 8GB CRUZER BLADE</t>
  </si>
  <si>
    <t>SANDISK 16GB POP PRETO</t>
  </si>
  <si>
    <t>IMPRESSORA</t>
  </si>
  <si>
    <t>HP LASERJET PRO P1102</t>
  </si>
  <si>
    <t>EPSON TANQUE DE TINTA L800</t>
  </si>
  <si>
    <t>EPSON</t>
  </si>
  <si>
    <t>COMPAQ 6005 PRO SMALL FROM FACTOR</t>
  </si>
  <si>
    <t xml:space="preserve">COMPAQ PRO </t>
  </si>
  <si>
    <t>MONITOR</t>
  </si>
  <si>
    <t>WIDESCREEN IPS LED 27" PHILIPS AMBIGLOW 278G4DHSD</t>
  </si>
  <si>
    <t>LED 19,5" TOUCHSCREEN HD AOC E2060VWT</t>
  </si>
  <si>
    <t>SOM E IMAGEM</t>
  </si>
  <si>
    <t>TELEVISOR</t>
  </si>
  <si>
    <t>SONY 32R434 COM RÁDIO FM USB HDMI MHL</t>
  </si>
  <si>
    <t>SMART TV 48" SAMSUNG UN48H6300 FULL HD 4HDMI 3USB 240HZ</t>
  </si>
  <si>
    <t>LG 32LB5600 FULL HD 2 HDMI 1 USB FREQUÊNCIA (120HZ)</t>
  </si>
  <si>
    <t>LED 40" CCE LV40G FULL HD USB 2 HDMI 120HZ</t>
  </si>
  <si>
    <t>LED 24" AOC 24D1440 FULL HD 2 HDMI 1 USB DTVI 60HZ </t>
  </si>
  <si>
    <t>ANTENAS</t>
  </si>
  <si>
    <t>GRID STATION 2.4 GHZ 20 DBI GS-2420</t>
  </si>
  <si>
    <t>AQUÁRIO</t>
  </si>
  <si>
    <t>KIT DE INSTALAÇÃO SKY LIVRE FLEX COM ANTENA DE 150CM</t>
  </si>
  <si>
    <t>SKY</t>
  </si>
  <si>
    <t>TV DIGITAL INTELBRAS INTERNA AI 1000</t>
  </si>
  <si>
    <t>EXTERNA AQUÁRIO DTV-3000</t>
  </si>
  <si>
    <t>PARABÓLICA DE 1,70MTS + LNBF MONO</t>
  </si>
  <si>
    <t>CROMUS</t>
  </si>
  <si>
    <t>PHILIPS DVP2850X/78 USB DIVX</t>
  </si>
  <si>
    <t>DVD GAME STAR - D-03</t>
  </si>
  <si>
    <t>PRECISION DRIVE 3 E PROGRESSIVE SCAN</t>
  </si>
  <si>
    <t>PHILCO ADVENTURE IV BLACK</t>
  </si>
  <si>
    <t>PORTÁTIL TECTOY P-4000 BOB ESPONJA</t>
  </si>
  <si>
    <t>TECTOY</t>
  </si>
  <si>
    <t>MINI SISTEM</t>
  </si>
  <si>
    <t>SAMSUNG MX-F850</t>
  </si>
  <si>
    <t>MINI HI-FI SYSTEM  PHILIPS 500W</t>
  </si>
  <si>
    <t>MINI SYSTEM 2.0 MULTILASER SP127</t>
  </si>
  <si>
    <t>MINI SYSTEM SONY MHC-ESX6</t>
  </si>
  <si>
    <t>MINI SYSTEM LG X-METAL CM7520 - 930W</t>
  </si>
  <si>
    <t>CONSTRUÇÃO</t>
  </si>
  <si>
    <t xml:space="preserve">GER. PORTÁTIL </t>
  </si>
  <si>
    <t>1000</t>
  </si>
  <si>
    <t>HONDA</t>
  </si>
  <si>
    <t>ROÇADEIRA</t>
  </si>
  <si>
    <t>LAMINA</t>
  </si>
  <si>
    <t>DUAS PONTAS</t>
  </si>
  <si>
    <t>OITO PONTAS</t>
  </si>
  <si>
    <t>STANDART</t>
  </si>
  <si>
    <t>SUPERCUT</t>
  </si>
  <si>
    <t>CORTADOR DE GRAMA</t>
  </si>
  <si>
    <t>PODADOR</t>
  </si>
  <si>
    <t>79833512</t>
  </si>
  <si>
    <t>APARADOR DE GRAMA</t>
  </si>
  <si>
    <t>MASTER 1000 PLUS</t>
  </si>
  <si>
    <t>SUPER TURBO 1000</t>
  </si>
  <si>
    <t>FIO DE NYLON</t>
  </si>
  <si>
    <t>8 MM</t>
  </si>
  <si>
    <t>4MM</t>
  </si>
  <si>
    <t>10 MM</t>
  </si>
  <si>
    <t>3 MM</t>
  </si>
  <si>
    <t>SOPRADOR</t>
  </si>
  <si>
    <t>CARRINHO DE MÃO</t>
  </si>
  <si>
    <t>FURADEIRA</t>
  </si>
  <si>
    <t/>
  </si>
  <si>
    <t>8E+250</t>
  </si>
  <si>
    <t>60138800</t>
  </si>
  <si>
    <t>MOTOSSERRA HUSQVARNA 236</t>
  </si>
  <si>
    <t>REF: 084722</t>
  </si>
  <si>
    <t>MOTOSSERRA GAMMA ELITE 38 CC</t>
  </si>
  <si>
    <t>MOTOSSERRA ELITE 18</t>
  </si>
  <si>
    <t>REF.: 2291235</t>
  </si>
  <si>
    <t>GAMMA</t>
  </si>
  <si>
    <t>MOTOSSERRA 2 TEMPOS</t>
  </si>
  <si>
    <t>REF: 92700</t>
  </si>
  <si>
    <t>MOTOSSERRA ELÉTRICA GK1740 BR 1.8</t>
  </si>
  <si>
    <t>REF: GK1740 BR</t>
  </si>
  <si>
    <t>BLACK&amp;DECKER</t>
  </si>
  <si>
    <t>MOTOSSERRA ELÉTRICA GRINGER </t>
  </si>
  <si>
    <t>REF: 086528</t>
  </si>
  <si>
    <t>CORRENTE PARA MOTOSSERRA</t>
  </si>
  <si>
    <t>REF: 071403</t>
  </si>
  <si>
    <t>OREGON</t>
  </si>
  <si>
    <t>CORRENTE PARA SINALIZAÇÃO</t>
  </si>
  <si>
    <t>REF: 080350</t>
  </si>
  <si>
    <t>CIBERPLAST ELO</t>
  </si>
  <si>
    <t>ÓLEO PARA MÁQUINA</t>
  </si>
  <si>
    <t>REF: 13705</t>
  </si>
  <si>
    <t>SINGER</t>
  </si>
  <si>
    <t xml:space="preserve">ÓLEO PARA MOTOR </t>
  </si>
  <si>
    <t>REF: 2TSUPER</t>
  </si>
  <si>
    <t>TEXACO</t>
  </si>
  <si>
    <t>SABRE  PONTA ROLANTE PARA MOTOSSERRA HUSQVARNA</t>
  </si>
  <si>
    <t>REF: 18B58</t>
  </si>
  <si>
    <t>ELETROSSERRA TEKNA FOREST &amp; GARDEN ES1250</t>
  </si>
  <si>
    <t>REF: ES12502</t>
  </si>
  <si>
    <t>HOOBY</t>
  </si>
  <si>
    <t>ELETROSSERRA GK 1740</t>
  </si>
  <si>
    <t>REF: 246014</t>
  </si>
  <si>
    <t>ELETROSSERRA RDEL 2000</t>
  </si>
  <si>
    <t>REF: RDEL200-16</t>
  </si>
  <si>
    <t>BR MOTORS</t>
  </si>
  <si>
    <t>ELETROSERRA TEKNA ES1850 C/ SABRE DE 16</t>
  </si>
  <si>
    <t>MOTOR ELETRICO</t>
  </si>
  <si>
    <t xml:space="preserve">INDUÇÃO TRIFÁSICO 1 CV 2 POLOS 220/ 380 </t>
  </si>
  <si>
    <t xml:space="preserve"> 5HP MONOFÁSICO 220V 60HZ </t>
  </si>
  <si>
    <t>MOTO BOMBA</t>
  </si>
  <si>
    <t>CENTRIFUGA</t>
  </si>
  <si>
    <t>PERIFERICA</t>
  </si>
  <si>
    <t>PEFRIFERICA</t>
  </si>
  <si>
    <t>BOMBA SUBMERSA</t>
  </si>
  <si>
    <t xml:space="preserve">ANAUGER </t>
  </si>
  <si>
    <t>P/ AGUA LIMPA</t>
  </si>
  <si>
    <t>P/ AGUA TURVA</t>
  </si>
  <si>
    <t>P/ POÇO</t>
  </si>
  <si>
    <t xml:space="preserve">PÁ </t>
  </si>
  <si>
    <t>77400324</t>
  </si>
  <si>
    <t>77400424</t>
  </si>
  <si>
    <t>77400524</t>
  </si>
  <si>
    <t>77402404</t>
  </si>
  <si>
    <t>77402504</t>
  </si>
  <si>
    <t>10334</t>
  </si>
  <si>
    <t>13534</t>
  </si>
  <si>
    <t>15434</t>
  </si>
  <si>
    <t>15334</t>
  </si>
  <si>
    <t>ENXADA</t>
  </si>
  <si>
    <t>77200654</t>
  </si>
  <si>
    <t>77201654</t>
  </si>
  <si>
    <t>77212604</t>
  </si>
  <si>
    <t>77212704</t>
  </si>
  <si>
    <t>77232754</t>
  </si>
  <si>
    <t>772</t>
  </si>
  <si>
    <t>771</t>
  </si>
  <si>
    <t>770</t>
  </si>
  <si>
    <t>COLHER</t>
  </si>
  <si>
    <t>77330065</t>
  </si>
  <si>
    <t>77335065</t>
  </si>
  <si>
    <t>77348075</t>
  </si>
  <si>
    <t>77350065</t>
  </si>
  <si>
    <t>77351065</t>
  </si>
  <si>
    <t>11678</t>
  </si>
  <si>
    <t>11354</t>
  </si>
  <si>
    <t>11049</t>
  </si>
  <si>
    <t>NÍVEL</t>
  </si>
  <si>
    <t>43100012</t>
  </si>
  <si>
    <t>43105012</t>
  </si>
  <si>
    <t>43110012</t>
  </si>
  <si>
    <t>43120012</t>
  </si>
  <si>
    <t>20024</t>
  </si>
  <si>
    <t>20018</t>
  </si>
  <si>
    <t>20014</t>
  </si>
  <si>
    <t>BOTINAS</t>
  </si>
  <si>
    <t>1230000</t>
  </si>
  <si>
    <t>3560000</t>
  </si>
  <si>
    <t>ESTILETE</t>
  </si>
  <si>
    <t>43390301</t>
  </si>
  <si>
    <t>43390302</t>
  </si>
  <si>
    <t>43390308</t>
  </si>
  <si>
    <t>1903190</t>
  </si>
  <si>
    <t>2082200</t>
  </si>
  <si>
    <t>1903109</t>
  </si>
  <si>
    <t>1903189</t>
  </si>
  <si>
    <t>FERRO DE SOLDA</t>
  </si>
  <si>
    <t>43752502</t>
  </si>
  <si>
    <t>43752503</t>
  </si>
  <si>
    <t>43752504</t>
  </si>
  <si>
    <t>43752505</t>
  </si>
  <si>
    <t>43752506</t>
  </si>
  <si>
    <t>43752507</t>
  </si>
  <si>
    <t>LUVAS</t>
  </si>
  <si>
    <t>8037</t>
  </si>
  <si>
    <t>8607</t>
  </si>
  <si>
    <t>8750</t>
  </si>
  <si>
    <t>BALDE ALUMINIO 15LT</t>
  </si>
  <si>
    <t>BALDE P/ JARDIM PRETO</t>
  </si>
  <si>
    <t>1267</t>
  </si>
  <si>
    <t>BALDE P/ JARDIM BRANCO</t>
  </si>
  <si>
    <t>BALDE PARA MASSA</t>
  </si>
  <si>
    <t xml:space="preserve">BALDE BALAIO DE LIMPEZA AZUL </t>
  </si>
  <si>
    <t xml:space="preserve">BALDE OBA 15 LT  </t>
  </si>
  <si>
    <t xml:space="preserve">BALDE OBA 15 LT </t>
  </si>
  <si>
    <t xml:space="preserve">BALDE CONCRETO METAL 10 LT PRETO </t>
  </si>
  <si>
    <t xml:space="preserve">BALDE METALICO P/ CONCRETO METAL 15 LT </t>
  </si>
  <si>
    <t xml:space="preserve">VASSOURA PALHA ESPECIAL </t>
  </si>
  <si>
    <t>1810</t>
  </si>
  <si>
    <t>VASSOURA DE NYLON PRETA</t>
  </si>
  <si>
    <t>7650</t>
  </si>
  <si>
    <t>VASSOURA DE NYLON BEGE</t>
  </si>
  <si>
    <t>VASSOURA DE GRAMA MAGNIFICA ROXA</t>
  </si>
  <si>
    <t>1692</t>
  </si>
  <si>
    <t>VASSOURA DE GRAMA MAGNIFICA VERDE</t>
  </si>
  <si>
    <t xml:space="preserve">VASSOURA DE GRAMA MAGNIFICA AMARELA </t>
  </si>
  <si>
    <t xml:space="preserve">VASSOURA NOVIÇA TIPO PALHA </t>
  </si>
  <si>
    <t xml:space="preserve">VASSOURA DE GRAMA FOLHITA ROXA </t>
  </si>
  <si>
    <t>1662</t>
  </si>
  <si>
    <t>VASSOURA DE GRAMA FOLHITA VERDE</t>
  </si>
  <si>
    <t xml:space="preserve">VASSOURA DE GRAMA FOLHITA AMARAELA </t>
  </si>
  <si>
    <t xml:space="preserve">ESCADA TRADICIONAL INOX P/ PISCINA 2 DEGAUS </t>
  </si>
  <si>
    <t>ESCADA TRADICIONAL INOX P/ PISCINA 3 DEGRAUS</t>
  </si>
  <si>
    <t xml:space="preserve">ESCADA TRADICIONAL INOX P/ PISCINA 4 DEGRAUS </t>
  </si>
  <si>
    <t xml:space="preserve">ESCADA TRADICIONAL INOX P/ PISCINA 5 DEGRAUS </t>
  </si>
  <si>
    <t>ESCADA CONFORT LUXO INOX P/ PISCINA 4 DEGRAUS</t>
  </si>
  <si>
    <t xml:space="preserve">ESCADA P/ PISCINA INOX 2 DEGRAUS </t>
  </si>
  <si>
    <t>ABOUT HOME</t>
  </si>
  <si>
    <t>ESCADA P/ PISCINA INOX 3 DEGRAUS</t>
  </si>
  <si>
    <t xml:space="preserve">ESCADA PINTOR 10 DEGRAUS </t>
  </si>
  <si>
    <t>18569</t>
  </si>
  <si>
    <t xml:space="preserve">ESCADA MULTIFUNCIONAL ALUMINIO 16 DEGRAUS </t>
  </si>
  <si>
    <t>5132</t>
  </si>
  <si>
    <t>ESCADA TELESCÓPIA ALUMINIO 10 DEGRAUS</t>
  </si>
  <si>
    <t>5129</t>
  </si>
  <si>
    <t xml:space="preserve">TESOURA DE JARDINAGEM </t>
  </si>
  <si>
    <t>6787</t>
  </si>
  <si>
    <t>TESOURAS  PICOTE  VERDE</t>
  </si>
  <si>
    <t>TESOURAS PICOTE  PRETA</t>
  </si>
  <si>
    <t>TESOURAS PICOTE  AZUL</t>
  </si>
  <si>
    <t>TESOURA CORNETA VERDE</t>
  </si>
  <si>
    <t>856</t>
  </si>
  <si>
    <t>TESOURA CORNETA AMARELA</t>
  </si>
  <si>
    <t xml:space="preserve">TESOURA CORNETA PRETA </t>
  </si>
  <si>
    <t xml:space="preserve">TESOURA PARA CORTAR GRAMA </t>
  </si>
  <si>
    <t xml:space="preserve">TESOURA BRANCA </t>
  </si>
  <si>
    <t>TESOURA PRETA</t>
  </si>
  <si>
    <t xml:space="preserve">PULVERIZADOR COM PRESSÃO AMARELO </t>
  </si>
  <si>
    <t xml:space="preserve">PULVERIZADOR COM PRESSÃO VERDE </t>
  </si>
  <si>
    <t xml:space="preserve">PULVERIZADOR COM PRESSÃO AZUL </t>
  </si>
  <si>
    <t xml:space="preserve">PULVERIZADOR COM PRESSÃO VERMELHO </t>
  </si>
  <si>
    <t>PULVERIZADOR TRAK AZUL</t>
  </si>
  <si>
    <t>PULVERIZADOR TRAK ROXO</t>
  </si>
  <si>
    <t xml:space="preserve">PULVERIZADOR TRAK BRANCO </t>
  </si>
  <si>
    <t xml:space="preserve">PULVERIZADOR BRUDDEN </t>
  </si>
  <si>
    <t>PULVERIZADOR AGRÍCOLA AMARELO</t>
  </si>
  <si>
    <t>493</t>
  </si>
  <si>
    <t>PULVERIZADOR AGRÍCOLA BRANCO</t>
  </si>
  <si>
    <t>MANGUEIRA P/ JARDIM RETRATIL VERDE</t>
  </si>
  <si>
    <t>MANGUEIRA P/ JARDIM RETRATIL AMARELO</t>
  </si>
  <si>
    <t>MANGUEIRA P/ JARDIM RETRATIL AZUL</t>
  </si>
  <si>
    <t>MANGUEIRA FLÉX P/ JARDIM VERDE</t>
  </si>
  <si>
    <t>MANGUEIRA FLÉX P/ JARDIM BRANCO</t>
  </si>
  <si>
    <t>MANGUEIRA FLÉX P/ JARDIM LARANJA</t>
  </si>
  <si>
    <t>MANGUEIRA FLÉX P/ JARDIM AMARELA</t>
  </si>
  <si>
    <t xml:space="preserve">MANGUEIRA JARDIM VERDE </t>
  </si>
  <si>
    <t>635</t>
  </si>
  <si>
    <t xml:space="preserve">MANGUEIRA JARDIM AMARELA </t>
  </si>
  <si>
    <t>DESEMPENADEIRA AÇO LISA</t>
  </si>
  <si>
    <t>8627</t>
  </si>
  <si>
    <t xml:space="preserve">DESEMPENADEIRA TERMO PLÁSTICO </t>
  </si>
  <si>
    <t>8685</t>
  </si>
  <si>
    <t xml:space="preserve">DESEMPENADEIRA AÇO DENTADA </t>
  </si>
  <si>
    <t>8660</t>
  </si>
  <si>
    <t xml:space="preserve">DESEMPENADEIRA AÇO LISA CABO MADEIRA </t>
  </si>
  <si>
    <t>8945</t>
  </si>
  <si>
    <t xml:space="preserve">DESEMPENADEIRA PARA MADEIRA </t>
  </si>
  <si>
    <t>8703</t>
  </si>
  <si>
    <t xml:space="preserve">DESEMPENADEIRA TERMOPOL BORRACHA </t>
  </si>
  <si>
    <t>8426</t>
  </si>
  <si>
    <t xml:space="preserve">DESEMPENADEIRA MADEIRA LISA </t>
  </si>
  <si>
    <t>7620</t>
  </si>
  <si>
    <t xml:space="preserve">DESEMPENADEIRA PLÁSTICA COM ESPUMA </t>
  </si>
  <si>
    <t>7821</t>
  </si>
  <si>
    <t xml:space="preserve">DESEMPENADEIRA PVC </t>
  </si>
  <si>
    <t>6325</t>
  </si>
  <si>
    <t xml:space="preserve">DESEMPENADEIRA AÇO ZINCO </t>
  </si>
  <si>
    <t>1058</t>
  </si>
  <si>
    <t>FIO DE COBRE</t>
  </si>
  <si>
    <t>ROLO</t>
  </si>
  <si>
    <t>MAX CABOS</t>
  </si>
  <si>
    <t>COBRECOM</t>
  </si>
  <si>
    <t>INTERNA</t>
  </si>
  <si>
    <t>FIO DE COBRE ESMALTADO</t>
  </si>
  <si>
    <t>FIO DE COBRE FLEXIVEL</t>
  </si>
  <si>
    <t xml:space="preserve"> CAIXA</t>
  </si>
  <si>
    <t>CAIXA DE LUZ DE FERRO</t>
  </si>
  <si>
    <t>CAIXA DE LUZ ELETRODUTO</t>
  </si>
  <si>
    <t>CAIXA SOBREPOR EXTERNA XB-2901 APOIO</t>
  </si>
  <si>
    <t>CAIXA DE LUZ</t>
  </si>
  <si>
    <t>TUDOELETRICA</t>
  </si>
  <si>
    <t>DISJUNTOR SECO</t>
  </si>
  <si>
    <t xml:space="preserve">DISJUNTOR DE POTÊNCIA </t>
  </si>
  <si>
    <t>DISJUNTOR TERMO-MAGNÉTICO</t>
  </si>
  <si>
    <t>DISJUNTOR A SOPRO MAGNÉTICO</t>
  </si>
  <si>
    <t>DISJUNTOR A ÓLEO</t>
  </si>
  <si>
    <t>DISJUNTOR A VÁCUO</t>
  </si>
  <si>
    <t>DISJUNTOR DR</t>
  </si>
  <si>
    <t>DISJUNTOR A GÁS</t>
  </si>
  <si>
    <t>CAIXA DE LUZ ELETRODUT FERRO</t>
  </si>
  <si>
    <t>CAIXA DE LUZ ELETRODUTO  DE FERRO 4X2 - TIGRE</t>
  </si>
  <si>
    <t>ELETRODUTO REFORCADO TIGREFLEX</t>
  </si>
  <si>
    <t>CASASHOW</t>
  </si>
  <si>
    <t>ELETRODUTO REFORCADO 50M TIGREFLEX TIGRE</t>
  </si>
  <si>
    <t>ELETRODUTO CORRUGADO FLEXIVEL</t>
  </si>
  <si>
    <t>ELETRODUTO FLEXIVEL CORRUGADO</t>
  </si>
  <si>
    <t xml:space="preserve">ELETRODUTO CORRUGADO FLEXIVEL PIAL LEGRAND </t>
  </si>
  <si>
    <t>ELETRODUTOS FLEXIVE TIGRE</t>
  </si>
  <si>
    <t>ELETRODUTOS CASASHOW</t>
  </si>
  <si>
    <t xml:space="preserve">TOMADA COM 3 CONJUNTOS 10A 250V LINHA S19 KIT  -  </t>
  </si>
  <si>
    <t>SIMON</t>
  </si>
  <si>
    <t xml:space="preserve">KIT TOMADA COM 3 CONJUNTOS DE 1 TOMADA PADRÃO BRASILEIRO 10A 250V~ S30 -  </t>
  </si>
  <si>
    <t xml:space="preserve">*CONJUNTO 1 TOMADA COAXIAL PARA TV HORIZONTAL BRANCO S19 -  </t>
  </si>
  <si>
    <t>PLACA 4X4 4 POSTOS SEPARADOS COM SUPORTE BRANCO S30 -  SIMON</t>
  </si>
  <si>
    <t xml:space="preserve">CONJUNTO 2 TOMADAS 2P + T PADRÃO BRASILEIRO 20A 250V SEPARADAS BRANCO S19 -  </t>
  </si>
  <si>
    <t xml:space="preserve">CONJUNTO 1 TOMADA COAXIAL PARA TV HORIZONTAL BRANCO S19 -  </t>
  </si>
  <si>
    <t xml:space="preserve">PLACA 4X2 CEGA COM SUPORTE BRANCO S19 -  </t>
  </si>
  <si>
    <t xml:space="preserve">PLACA 4X2 2 POSTOS HORIZONTAIS COM SUPORTE BRANCO S30 -  </t>
  </si>
  <si>
    <t xml:space="preserve">PLACA 4X2 SAÍDA DE FIO COM SUPORTE BRANCO S30 -  </t>
  </si>
  <si>
    <t>TOMADA</t>
  </si>
  <si>
    <t>RJ45 INFORMATICA</t>
  </si>
  <si>
    <t>RJ45 TERMOPLASTICO</t>
  </si>
  <si>
    <t>MODENA</t>
  </si>
  <si>
    <t>INTERRUPTOR SIMPLES</t>
  </si>
  <si>
    <t>VERTICAL</t>
  </si>
  <si>
    <t>INTERRUPTOR</t>
  </si>
  <si>
    <t>DUPLO</t>
  </si>
  <si>
    <t xml:space="preserve">INTERRUPTOR </t>
  </si>
  <si>
    <t>LUMINÁRIAS SUSPENSAS</t>
  </si>
  <si>
    <t>78954</t>
  </si>
  <si>
    <t>78945</t>
  </si>
  <si>
    <t>REATORES</t>
  </si>
  <si>
    <t>POSTES</t>
  </si>
  <si>
    <t>RESISTENCIA PRA CHUVEIRO</t>
  </si>
  <si>
    <t>85261484</t>
  </si>
  <si>
    <t>86586941</t>
  </si>
  <si>
    <t>86596426</t>
  </si>
  <si>
    <t>86596433</t>
  </si>
  <si>
    <t>86596440</t>
  </si>
  <si>
    <t>87100426</t>
  </si>
  <si>
    <t>87242855</t>
  </si>
  <si>
    <t>87320163</t>
  </si>
  <si>
    <t>87320170</t>
  </si>
  <si>
    <t>87432723</t>
  </si>
  <si>
    <t>87432730</t>
  </si>
  <si>
    <t>87532256</t>
  </si>
  <si>
    <t>87532263</t>
  </si>
  <si>
    <t>HASTE PARA CHUVEIRO</t>
  </si>
  <si>
    <t>8810</t>
  </si>
  <si>
    <t>753</t>
  </si>
  <si>
    <t>DUCHA</t>
  </si>
  <si>
    <t>110523</t>
  </si>
  <si>
    <t>84494</t>
  </si>
  <si>
    <t>101297</t>
  </si>
  <si>
    <t>2039242</t>
  </si>
  <si>
    <t>2066696</t>
  </si>
  <si>
    <t>2066700</t>
  </si>
  <si>
    <t>2039228</t>
  </si>
  <si>
    <t>225013</t>
  </si>
  <si>
    <t>PRESSURIZADOR</t>
  </si>
  <si>
    <t>PL280P</t>
  </si>
  <si>
    <t>5421944</t>
  </si>
  <si>
    <t>407455</t>
  </si>
  <si>
    <t>303666</t>
  </si>
  <si>
    <t>464182</t>
  </si>
  <si>
    <t>364304</t>
  </si>
  <si>
    <t>CONECTOR</t>
  </si>
  <si>
    <t>5700919</t>
  </si>
  <si>
    <t>1110241</t>
  </si>
  <si>
    <t>638784</t>
  </si>
  <si>
    <t>5700830</t>
  </si>
  <si>
    <t>3653457</t>
  </si>
  <si>
    <t>1110200</t>
  </si>
  <si>
    <t>1110222</t>
  </si>
  <si>
    <t>1110240</t>
  </si>
  <si>
    <t>1110204</t>
  </si>
  <si>
    <t>5700329</t>
  </si>
  <si>
    <t>TORNEIRA ELETRICA</t>
  </si>
  <si>
    <t>419181</t>
  </si>
  <si>
    <t>299618</t>
  </si>
  <si>
    <t>391427</t>
  </si>
  <si>
    <t>324879</t>
  </si>
  <si>
    <t>566624</t>
  </si>
  <si>
    <t>84175</t>
  </si>
  <si>
    <t>660841</t>
  </si>
  <si>
    <t>MINI BOMBA</t>
  </si>
  <si>
    <t>2039056</t>
  </si>
  <si>
    <t>111379771</t>
  </si>
  <si>
    <t>CURVA</t>
  </si>
  <si>
    <t>REDEBRAS</t>
  </si>
  <si>
    <t>4100112</t>
  </si>
  <si>
    <t>4100113</t>
  </si>
  <si>
    <t>4100114</t>
  </si>
  <si>
    <t>4100115</t>
  </si>
  <si>
    <t>4100116</t>
  </si>
  <si>
    <t>CANOS D'ÁGUA</t>
  </si>
  <si>
    <t>FARDO</t>
  </si>
  <si>
    <t>CANOS ESGOTO</t>
  </si>
  <si>
    <t>210112</t>
  </si>
  <si>
    <t>210115</t>
  </si>
  <si>
    <t>210116</t>
  </si>
  <si>
    <t>210117</t>
  </si>
  <si>
    <t>210118</t>
  </si>
  <si>
    <t>JOELHO</t>
  </si>
  <si>
    <t>5100111</t>
  </si>
  <si>
    <t>5100112</t>
  </si>
  <si>
    <t>5100113</t>
  </si>
  <si>
    <t>5100114</t>
  </si>
  <si>
    <t>5100115</t>
  </si>
  <si>
    <t>5100116</t>
  </si>
  <si>
    <t>ADAPTADOS</t>
  </si>
  <si>
    <t>5140116</t>
  </si>
  <si>
    <t>TE</t>
  </si>
  <si>
    <t>5108029</t>
  </si>
  <si>
    <t>5108030</t>
  </si>
  <si>
    <t>5108031</t>
  </si>
  <si>
    <t>LUVA (CONEXÃO)</t>
  </si>
  <si>
    <t>RAMO CONEXÕES</t>
  </si>
  <si>
    <t>HIDRÔMETRO</t>
  </si>
  <si>
    <t>59548</t>
  </si>
  <si>
    <t>HIDROGERAIS</t>
  </si>
  <si>
    <t>59549</t>
  </si>
  <si>
    <t>59550</t>
  </si>
  <si>
    <t>59551</t>
  </si>
  <si>
    <t>59552</t>
  </si>
  <si>
    <t>59553</t>
  </si>
  <si>
    <t>CAP</t>
  </si>
  <si>
    <t>5100687</t>
  </si>
  <si>
    <t>5100688</t>
  </si>
  <si>
    <t>5100689</t>
  </si>
  <si>
    <t>NÍPEL</t>
  </si>
  <si>
    <t>572219</t>
  </si>
  <si>
    <t>572220</t>
  </si>
  <si>
    <t>572221</t>
  </si>
  <si>
    <t>572223</t>
  </si>
  <si>
    <t>PROLONGADOR</t>
  </si>
  <si>
    <t>29980</t>
  </si>
  <si>
    <t>29981</t>
  </si>
  <si>
    <t>29982</t>
  </si>
  <si>
    <t>29983</t>
  </si>
  <si>
    <t>RALO</t>
  </si>
  <si>
    <t>409456</t>
  </si>
  <si>
    <t>409455</t>
  </si>
  <si>
    <t>409457</t>
  </si>
  <si>
    <t>COSTA NAVARRO</t>
  </si>
  <si>
    <t>BRINOX</t>
  </si>
  <si>
    <t>409460</t>
  </si>
  <si>
    <t>REDUÇÃO</t>
  </si>
  <si>
    <t>30074</t>
  </si>
  <si>
    <t>30075</t>
  </si>
  <si>
    <t>30076</t>
  </si>
  <si>
    <t>ANEL</t>
  </si>
  <si>
    <t>87807</t>
  </si>
  <si>
    <t>JUNÇÃO SIMPLES ESGOTO</t>
  </si>
  <si>
    <t>TRIPLO</t>
  </si>
  <si>
    <t>CAIXA DE GORDURA</t>
  </si>
  <si>
    <t>LOTE</t>
  </si>
  <si>
    <t>QUADRUPLO</t>
  </si>
  <si>
    <t>CAIXA SINFONADA CROMADA</t>
  </si>
  <si>
    <t>HERC</t>
  </si>
  <si>
    <t>QUINTOPLO</t>
  </si>
  <si>
    <t>CAIXA SIFONADA QUADRADA</t>
  </si>
  <si>
    <t>CAIXA SIFONADA UMA SAIDA</t>
  </si>
  <si>
    <t>ÚNICA</t>
  </si>
  <si>
    <t>CAIXA SIFONADA TAMPA QUADRADA</t>
  </si>
  <si>
    <t>CAIXA SIFONADA TAMPA REDONDA</t>
  </si>
  <si>
    <t>CAIXA SIFONADA</t>
  </si>
  <si>
    <t>REGISTRO COBREBRUTO</t>
  </si>
  <si>
    <t>VOLANTE</t>
  </si>
  <si>
    <t>REGISTRO LATAO GAVETA 1/2</t>
  </si>
  <si>
    <t>REGISTRO GAVETA COBRE/ 3/4</t>
  </si>
  <si>
    <t>REGISTRO GAVETA UM PLEGADA LATAO</t>
  </si>
  <si>
    <t>REGISTRO GAVETA EUROPA</t>
  </si>
  <si>
    <t>SEM VALVULA</t>
  </si>
  <si>
    <t>DOCOL</t>
  </si>
  <si>
    <t>REGISTRO GAVETA 3/4 POL EUROPA</t>
  </si>
  <si>
    <t>REGISTRO GAVETA JET</t>
  </si>
  <si>
    <t>REGISTRO CROMADO</t>
  </si>
  <si>
    <t>PEQUENO</t>
  </si>
  <si>
    <t>REGISTRO ESFERA</t>
  </si>
  <si>
    <t>ROSQUEAVEL</t>
  </si>
  <si>
    <t>REGISTRO DUCHA</t>
  </si>
  <si>
    <t xml:space="preserve">ROSQUEAVEL </t>
  </si>
  <si>
    <t>REGISTRO ESFERA AQUECEDOR</t>
  </si>
  <si>
    <t>VALVULA</t>
  </si>
  <si>
    <t>REGISTRO DE GAVETA</t>
  </si>
  <si>
    <t>REGISTRO GAVETA PRESSÃO</t>
  </si>
  <si>
    <t>FUROSI</t>
  </si>
  <si>
    <t>REGISTRO CROMADO CIRCULAR</t>
  </si>
  <si>
    <t>REGISTRO ROMADO LOREN</t>
  </si>
  <si>
    <t>REGISTRO LOREN SLIM</t>
  </si>
  <si>
    <t>REGISTRO CROMADO CYTI</t>
  </si>
  <si>
    <t>REGISTRO CROMADO GYRO</t>
  </si>
  <si>
    <t>FRIBRAMAR</t>
  </si>
  <si>
    <t>REGISTRO PARA MANGUEIRA CLABER</t>
  </si>
  <si>
    <t>CLABER</t>
  </si>
  <si>
    <t>REGISTRO CROMADO DREAM</t>
  </si>
  <si>
    <t>REGISTRO CROMADO UNIC</t>
  </si>
  <si>
    <t>REGISTRO CROMADO TWIST</t>
  </si>
  <si>
    <t>REGISTRO KIRA</t>
  </si>
  <si>
    <t>REGISTRO CROMADO C90</t>
  </si>
  <si>
    <t>REGISTRO PLITO</t>
  </si>
  <si>
    <t>REGISTRO CROMADO GOIA</t>
  </si>
  <si>
    <t>FIBRAMAR</t>
  </si>
  <si>
    <t>REGISTRO CROMADO CREATO</t>
  </si>
  <si>
    <t>REGISTRO CROMADO DACOL NOVA</t>
  </si>
  <si>
    <t>REGISTRO CROMADO TITAN</t>
  </si>
  <si>
    <t>REGISTRO CROMADO LOTUS</t>
  </si>
  <si>
    <t>REGISTRO CROMAOD ESTRELA</t>
  </si>
  <si>
    <t>REGISTRO CROMADO C50</t>
  </si>
  <si>
    <t>REGSTRO CROMADO C40 DUMOS</t>
  </si>
  <si>
    <t>REGISTRO CROMADO C56</t>
  </si>
  <si>
    <t>REGISTRO CROMDO SOHO</t>
  </si>
  <si>
    <t>REGISTRO DE GAVETA ROMADO BELLA</t>
  </si>
  <si>
    <t>REGISTRO MOVO SMART</t>
  </si>
  <si>
    <t>REGISTRO CROMADO BELLE</t>
  </si>
  <si>
    <t>REGISTRO CROMADO SUPER C21</t>
  </si>
  <si>
    <t>TORNEIRA PARA COZINHA MISTY</t>
  </si>
  <si>
    <t xml:space="preserve">TORNEIRA BICA ALTA CLASSICA </t>
  </si>
  <si>
    <t>TORNEIRA ALTA CROMADA LINK</t>
  </si>
  <si>
    <t>TORNEIRA DE JARDIM FOSCA PRATA</t>
  </si>
  <si>
    <t>TORNEIRA DE JARDIM PAREDE</t>
  </si>
  <si>
    <t>TORNEIRA TEMPORIZADORA</t>
  </si>
  <si>
    <t>170B</t>
  </si>
  <si>
    <t>TORNEIRA CROMADA SINGLE</t>
  </si>
  <si>
    <t>ONE</t>
  </si>
  <si>
    <t>TORNEIRA PRATA SMAL</t>
  </si>
  <si>
    <t>TORNEIRA C33 PRATA LUCO</t>
  </si>
  <si>
    <t>219455</t>
  </si>
  <si>
    <t>ROMAR</t>
  </si>
  <si>
    <t xml:space="preserve">TORNEIRA CROMADA ASPEN </t>
  </si>
  <si>
    <t>1198D</t>
  </si>
  <si>
    <t xml:space="preserve">TORNEIRA PRATA </t>
  </si>
  <si>
    <t xml:space="preserve">TORNEIRA PRATA SEML </t>
  </si>
  <si>
    <t>TORNEIRA CROMADA SKY</t>
  </si>
  <si>
    <t>1195</t>
  </si>
  <si>
    <t>TORNEIRA PRATA SENSEA</t>
  </si>
  <si>
    <t>TANGO</t>
  </si>
  <si>
    <t>TORNCEIRA PRATA</t>
  </si>
  <si>
    <t>MEBER</t>
  </si>
  <si>
    <t>TORNEIRA MESA PRATA LINK</t>
  </si>
  <si>
    <t xml:space="preserve">TORNEIRA BRANCA CISNE </t>
  </si>
  <si>
    <t>TORNEIRA PRATA OGGI</t>
  </si>
  <si>
    <t>TORNEIRA PRATA LONGA</t>
  </si>
  <si>
    <t>SPOT</t>
  </si>
  <si>
    <t xml:space="preserve">TORNEIRA PRATA BRILHO </t>
  </si>
  <si>
    <t>BRILHO</t>
  </si>
  <si>
    <t>TORNEIRA PRATA CLIK</t>
  </si>
  <si>
    <t>TORNEIRA PRATA FIT</t>
  </si>
  <si>
    <t>5102</t>
  </si>
  <si>
    <t>TORNEIRA BASICA PRATA</t>
  </si>
  <si>
    <t>IZY</t>
  </si>
  <si>
    <t xml:space="preserve">TORNEIRA PRATA DE MESA </t>
  </si>
  <si>
    <t>DOBRADIÇA</t>
  </si>
  <si>
    <t>FECHADURA P/ PORTA</t>
  </si>
  <si>
    <t>BLMA510 -ZCE AROUCA</t>
  </si>
  <si>
    <t>FECHADURA P/ JANELA</t>
  </si>
  <si>
    <t>NYLON 4314</t>
  </si>
  <si>
    <t>LINNUS 451</t>
  </si>
  <si>
    <t>GANCHOS</t>
  </si>
  <si>
    <t>LONGO A548</t>
  </si>
  <si>
    <t>CURVA 42</t>
  </si>
  <si>
    <t>BICROMATIZADO</t>
  </si>
  <si>
    <t>INOX</t>
  </si>
  <si>
    <t>N° RESIDENCIAL</t>
  </si>
  <si>
    <t>1 AO 3</t>
  </si>
  <si>
    <t>4 AO 6</t>
  </si>
  <si>
    <t>6 AO 8</t>
  </si>
  <si>
    <t>9 AO 10</t>
  </si>
  <si>
    <t>ABRAÇADEIRA</t>
  </si>
  <si>
    <t>LAZER</t>
  </si>
  <si>
    <t>EQUIPAMENTO</t>
  </si>
  <si>
    <t>BARRACA SPIDER</t>
  </si>
  <si>
    <t>9052</t>
  </si>
  <si>
    <t>BARRACA MONTANA</t>
  </si>
  <si>
    <t>55085</t>
  </si>
  <si>
    <t>HUMMER</t>
  </si>
  <si>
    <t>BARRACA IGLU</t>
  </si>
  <si>
    <t>3502</t>
  </si>
  <si>
    <t>BARRACA FOX FIT</t>
  </si>
  <si>
    <t>5698</t>
  </si>
  <si>
    <t>NAUTIKA</t>
  </si>
  <si>
    <t>COLCHÃOC/ INFLADOR</t>
  </si>
  <si>
    <t>3569</t>
  </si>
  <si>
    <t>COLCHÃO INLÁVEL COM FOLE</t>
  </si>
  <si>
    <t>11201</t>
  </si>
  <si>
    <t>COLCHÃO DE AR RELAX</t>
  </si>
  <si>
    <t>9079</t>
  </si>
  <si>
    <t>COLCHÃO DE AR ELÉTRICO</t>
  </si>
  <si>
    <t>8569</t>
  </si>
  <si>
    <t>CAPRI</t>
  </si>
  <si>
    <t>PISCINA 400L</t>
  </si>
  <si>
    <t xml:space="preserve">MOR </t>
  </si>
  <si>
    <t>PISCINA 100L</t>
  </si>
  <si>
    <t>1002</t>
  </si>
  <si>
    <t>PISCINA STANDART 3000L</t>
  </si>
  <si>
    <t>1005</t>
  </si>
  <si>
    <t>PISCINA PREMIUM 7600L</t>
  </si>
  <si>
    <t>1026</t>
  </si>
  <si>
    <t>PISCINA PREMIUM 10000L</t>
  </si>
  <si>
    <t>1027</t>
  </si>
  <si>
    <t>BICICLETA INF. TINA</t>
  </si>
  <si>
    <t>92347</t>
  </si>
  <si>
    <t>HOUSTON</t>
  </si>
  <si>
    <t>BICICLETA INF. BOY</t>
  </si>
  <si>
    <t>95121</t>
  </si>
  <si>
    <t>BICICLETA MOUNTAIN</t>
  </si>
  <si>
    <t>98088</t>
  </si>
  <si>
    <t>SOUTH</t>
  </si>
  <si>
    <t>BICICLETA NINA</t>
  </si>
  <si>
    <t>93318</t>
  </si>
  <si>
    <t>BICICLETA  FOXER HAMMER</t>
  </si>
  <si>
    <t>CHURRASQUEIRA AGR-05</t>
  </si>
  <si>
    <t>59184</t>
  </si>
  <si>
    <t>ARKE</t>
  </si>
  <si>
    <t xml:space="preserve">CHURRASQUEIRA STYLE </t>
  </si>
  <si>
    <t>98818</t>
  </si>
  <si>
    <t>PROGÁS</t>
  </si>
  <si>
    <t>CHURRASQUEIRA DESMONTÁVEL</t>
  </si>
  <si>
    <t>96351</t>
  </si>
  <si>
    <t>ADANS</t>
  </si>
  <si>
    <t>CHURRASQUEIRO C/ BACIA</t>
  </si>
  <si>
    <t>95801</t>
  </si>
  <si>
    <t>CADEIRA ALTA</t>
  </si>
  <si>
    <t>2101</t>
  </si>
  <si>
    <t>CADEIRA ALTA AÇO</t>
  </si>
  <si>
    <t>2002</t>
  </si>
  <si>
    <t>CADEIRA ESPREGUIÇADERIA</t>
  </si>
  <si>
    <t>2415</t>
  </si>
  <si>
    <t>2411</t>
  </si>
  <si>
    <t>GUARDA-SOL ORIENTAL</t>
  </si>
  <si>
    <t>3747</t>
  </si>
  <si>
    <t>GUARDA-SOL ITAPUÃ</t>
  </si>
  <si>
    <t>9004</t>
  </si>
  <si>
    <t>GUARDA-SOL BANGUM</t>
  </si>
  <si>
    <t>3724</t>
  </si>
  <si>
    <t>GUARDA- SOL OMBROLONE</t>
  </si>
  <si>
    <t>593027</t>
  </si>
  <si>
    <t>101072001</t>
  </si>
  <si>
    <t>204609</t>
  </si>
  <si>
    <t>34053</t>
  </si>
  <si>
    <t>85981966</t>
  </si>
  <si>
    <t>CALHAS</t>
  </si>
  <si>
    <t>CALHA BOCAL NORMAL</t>
  </si>
  <si>
    <t>CALHA BOCAL CIRCULAR</t>
  </si>
  <si>
    <t>32029523</t>
  </si>
  <si>
    <t>CALHA CABECEIRA TERMINAL DIREITO</t>
  </si>
  <si>
    <t>32068928</t>
  </si>
  <si>
    <t>CALHA CABECEIRA REFORÇADA</t>
  </si>
  <si>
    <t>87290021</t>
  </si>
  <si>
    <t>CALHA EMENDA</t>
  </si>
  <si>
    <t>87295551</t>
  </si>
  <si>
    <t>CALHA FORTE</t>
  </si>
  <si>
    <t>87012023</t>
  </si>
  <si>
    <t>ODEM</t>
  </si>
  <si>
    <t>CALHA ESQUADRO</t>
  </si>
  <si>
    <t>87012044</t>
  </si>
  <si>
    <t>85256593</t>
  </si>
  <si>
    <t>CALHA JOELHO</t>
  </si>
  <si>
    <t>87012226</t>
  </si>
  <si>
    <t>AQUAPLUV</t>
  </si>
  <si>
    <t>CALHA SUPORTE</t>
  </si>
  <si>
    <t>87012288</t>
  </si>
  <si>
    <t>ESQUADRIAS</t>
  </si>
  <si>
    <t>JANELA VITRO</t>
  </si>
  <si>
    <t>87677</t>
  </si>
  <si>
    <t>RONDOSUL</t>
  </si>
  <si>
    <t>JANELA AÇO</t>
  </si>
  <si>
    <t>96569</t>
  </si>
  <si>
    <t>MAXIM AR</t>
  </si>
  <si>
    <t>JANELA MADEIRA</t>
  </si>
  <si>
    <t>25634</t>
  </si>
  <si>
    <t>JANELA MADEIRA QUADRICULADA</t>
  </si>
  <si>
    <t>50223</t>
  </si>
  <si>
    <t>JANELA VENEZIANA</t>
  </si>
  <si>
    <t>523659</t>
  </si>
  <si>
    <t>METALMAX</t>
  </si>
  <si>
    <t>PORTA REAL</t>
  </si>
  <si>
    <t>82359</t>
  </si>
  <si>
    <t>REAL</t>
  </si>
  <si>
    <t>PORTA EXTERNA</t>
  </si>
  <si>
    <t>856965</t>
  </si>
  <si>
    <t>SALETE</t>
  </si>
  <si>
    <t>PORTA INTERNA</t>
  </si>
  <si>
    <t>84942</t>
  </si>
  <si>
    <t>FABRIPAL</t>
  </si>
  <si>
    <t>PORTA DECORADA</t>
  </si>
  <si>
    <t>2355</t>
  </si>
  <si>
    <t>FUCK</t>
  </si>
  <si>
    <t>PORTA MADEIRA</t>
  </si>
  <si>
    <t>12356987</t>
  </si>
  <si>
    <t>METHA</t>
  </si>
  <si>
    <t>PORTÕES FERRO</t>
  </si>
  <si>
    <t>84694</t>
  </si>
  <si>
    <t>PORTÕES FERRO COM BASCULANTE</t>
  </si>
  <si>
    <t>84257</t>
  </si>
  <si>
    <t>PORTÕES CPNTRAPESO</t>
  </si>
  <si>
    <t>81816</t>
  </si>
  <si>
    <t>TECNOMA</t>
  </si>
  <si>
    <t>PORTÕES MADEIRA</t>
  </si>
  <si>
    <t>109080</t>
  </si>
  <si>
    <t>PORTÕES MOLOSSI</t>
  </si>
  <si>
    <t>109657</t>
  </si>
  <si>
    <t>ESQUADRIAS MOLOSSI</t>
  </si>
  <si>
    <t>BARRA 5 MM</t>
  </si>
  <si>
    <t>0652</t>
  </si>
  <si>
    <t>BARRA 8 MM</t>
  </si>
  <si>
    <t>6462</t>
  </si>
  <si>
    <t>BARRA 10MM</t>
  </si>
  <si>
    <t>6496</t>
  </si>
  <si>
    <t>BARRA 12MM</t>
  </si>
  <si>
    <t>6543</t>
  </si>
  <si>
    <t>BARRA 20MM</t>
  </si>
  <si>
    <t>BARRA 25MM</t>
  </si>
  <si>
    <t>6608</t>
  </si>
  <si>
    <t>MALHA 15X15 CM</t>
  </si>
  <si>
    <t>479291</t>
  </si>
  <si>
    <t>ESTRIBO 7X17 CM</t>
  </si>
  <si>
    <t>215841</t>
  </si>
  <si>
    <t>3506489</t>
  </si>
  <si>
    <t>2871624</t>
  </si>
  <si>
    <t>2945439</t>
  </si>
  <si>
    <t>TRELIÇA 8M</t>
  </si>
  <si>
    <t>10 UNID</t>
  </si>
  <si>
    <t>TRELIÇA 10 M</t>
  </si>
  <si>
    <t>TRELIÇA 12 M</t>
  </si>
  <si>
    <t>FORRO</t>
  </si>
  <si>
    <t>FORRO MADEIRA PINUS</t>
  </si>
  <si>
    <t>87590503</t>
  </si>
  <si>
    <t>FORRO MADEIRA</t>
  </si>
  <si>
    <t>87590510</t>
  </si>
  <si>
    <t>FORRO PVC MADEIRA</t>
  </si>
  <si>
    <t>87820145</t>
  </si>
  <si>
    <t>PLASBIL</t>
  </si>
  <si>
    <t>FORRO PVC LISO</t>
  </si>
  <si>
    <t>88035836</t>
  </si>
  <si>
    <t>87821223</t>
  </si>
  <si>
    <t>87820131</t>
  </si>
  <si>
    <t>JUNÇÃO  VENTICAL</t>
  </si>
  <si>
    <t>87464853</t>
  </si>
  <si>
    <t>SASAZAKI</t>
  </si>
  <si>
    <t>JUNÇÃO SIMPLES</t>
  </si>
  <si>
    <t>85228073</t>
  </si>
  <si>
    <t>JUNÇÃO DUPLA</t>
  </si>
  <si>
    <t>85228143</t>
  </si>
  <si>
    <t>CEMALHA SIMPLES</t>
  </si>
  <si>
    <t>5223651</t>
  </si>
  <si>
    <t>TELAS E ARAMES</t>
  </si>
  <si>
    <t>TELA ALAMBRADO</t>
  </si>
  <si>
    <t>563365</t>
  </si>
  <si>
    <t>METRO</t>
  </si>
  <si>
    <t>INSUL</t>
  </si>
  <si>
    <t>TELA  ALAMBRADO</t>
  </si>
  <si>
    <t>22346</t>
  </si>
  <si>
    <t>ARAME FARPADO</t>
  </si>
  <si>
    <t>40523</t>
  </si>
  <si>
    <t>MORLAN</t>
  </si>
  <si>
    <t>ARAME LISO</t>
  </si>
  <si>
    <t>23365</t>
  </si>
  <si>
    <t>78922</t>
  </si>
  <si>
    <t>851</t>
  </si>
  <si>
    <t>854</t>
  </si>
  <si>
    <t>855</t>
  </si>
  <si>
    <t>1120204</t>
  </si>
  <si>
    <t>93040</t>
  </si>
  <si>
    <t>63002</t>
  </si>
  <si>
    <t>100517</t>
  </si>
  <si>
    <t>COLCHÃO CASAL ESPUMA D-45</t>
  </si>
  <si>
    <t>352C4</t>
  </si>
  <si>
    <t xml:space="preserve">CASTOR </t>
  </si>
  <si>
    <t>COLCHÃO CASAL ESPUMA D-46</t>
  </si>
  <si>
    <t>325O4</t>
  </si>
  <si>
    <t>COLCHÃO ORTOBOM CASAL ESPUMA D-28</t>
  </si>
  <si>
    <t>236Ç5</t>
  </si>
  <si>
    <t>ORTOBOM</t>
  </si>
  <si>
    <t>COLCHÃO ORTOBOM CASAL ESPUMA HR</t>
  </si>
  <si>
    <t>85P45</t>
  </si>
  <si>
    <t>COLCHÃO CASAL MOLA</t>
  </si>
  <si>
    <t>965T8</t>
  </si>
  <si>
    <t>COLCHÃO AMERICANFLEX CASAL MOLA</t>
  </si>
  <si>
    <t>52NB47</t>
  </si>
  <si>
    <t>AMERICANFLEX</t>
  </si>
  <si>
    <t>COLCHÃO CASAL MOLA COM ORTOPILLOW </t>
  </si>
  <si>
    <t>23CV1</t>
  </si>
  <si>
    <t>COLCHÃO ORTOBOM CASAL MOLA</t>
  </si>
  <si>
    <t>21DF85</t>
  </si>
  <si>
    <t>COLCHÃO PAROPAS CASAL MOLA</t>
  </si>
  <si>
    <t>21PO58</t>
  </si>
  <si>
    <t>PAROPAS</t>
  </si>
  <si>
    <t>COLCHÃO MANNES CASAL MOLA</t>
  </si>
  <si>
    <t>9L523</t>
  </si>
  <si>
    <t>MANNES</t>
  </si>
  <si>
    <t>COLCHÃO HELLEN CASAL MOLA POCKET</t>
  </si>
  <si>
    <t>25AS47</t>
  </si>
  <si>
    <t>HELLEN</t>
  </si>
  <si>
    <t>COLCHÃO CASAL MOLA BONNEL SYSTEM</t>
  </si>
  <si>
    <t>25M41</t>
  </si>
  <si>
    <t>COLCHÃO CASAL MOLA BONNEL SYSTEM </t>
  </si>
  <si>
    <t>TRAVESSEIRO SOGNOBELLO ANTIÁCARO</t>
  </si>
  <si>
    <t>2081799</t>
  </si>
  <si>
    <t>CARAMBELLA</t>
  </si>
  <si>
    <t>CAMA BOX CONJUGADO SOLTEIRO </t>
  </si>
  <si>
    <t>1243203</t>
  </si>
  <si>
    <t>UMAFLEX</t>
  </si>
  <si>
    <t>DORMITÓRIO</t>
  </si>
  <si>
    <t>CAMA</t>
  </si>
  <si>
    <t>QUEEN</t>
  </si>
  <si>
    <t>DALLA COSTA</t>
  </si>
  <si>
    <t>BCO</t>
  </si>
  <si>
    <t>SANTOS ANDIRÁ</t>
  </si>
  <si>
    <t>BALI</t>
  </si>
  <si>
    <t>VITRINE</t>
  </si>
  <si>
    <t>MULTIMOVEIS</t>
  </si>
  <si>
    <t>OREGON BLACK</t>
  </si>
  <si>
    <t>PLAY</t>
  </si>
  <si>
    <t>BRASUTIL</t>
  </si>
  <si>
    <t>INTERLINK</t>
  </si>
  <si>
    <t>CONFORT</t>
  </si>
  <si>
    <t>CIM</t>
  </si>
  <si>
    <t>CASATEMA</t>
  </si>
  <si>
    <t>992</t>
  </si>
  <si>
    <t>STAR</t>
  </si>
  <si>
    <t>SPEED</t>
  </si>
  <si>
    <t>WHLEES</t>
  </si>
  <si>
    <t>ROUPEIRO</t>
  </si>
  <si>
    <t>EDEZ</t>
  </si>
  <si>
    <t>VERSAT</t>
  </si>
  <si>
    <t>OPEN</t>
  </si>
  <si>
    <t>KAPPESBERG</t>
  </si>
  <si>
    <t>WOOD STOK</t>
  </si>
  <si>
    <t>SICAD</t>
  </si>
  <si>
    <t>CÔMODO</t>
  </si>
  <si>
    <t>WALL</t>
  </si>
  <si>
    <t>SONIC</t>
  </si>
  <si>
    <t>ARO</t>
  </si>
  <si>
    <t>CRIADO MUDO</t>
  </si>
  <si>
    <t>ABE</t>
  </si>
  <si>
    <t>MAGAZINE</t>
  </si>
  <si>
    <t>LINDÓIA</t>
  </si>
  <si>
    <t>824W</t>
  </si>
  <si>
    <t>476W</t>
  </si>
  <si>
    <t>207W</t>
  </si>
  <si>
    <t>688W</t>
  </si>
  <si>
    <t>104W</t>
  </si>
  <si>
    <t xml:space="preserve">ESCRITÓRIO </t>
  </si>
  <si>
    <t>CADEIRA</t>
  </si>
  <si>
    <t>OFFICE LUX </t>
  </si>
  <si>
    <t>STAPLES</t>
  </si>
  <si>
    <t>CORDOBA</t>
  </si>
  <si>
    <t>5148</t>
  </si>
  <si>
    <t>CLASIC HOME</t>
  </si>
  <si>
    <t>MESA</t>
  </si>
  <si>
    <t>POLITORNO MÓVEIS</t>
  </si>
  <si>
    <t>ESTANTE</t>
  </si>
  <si>
    <t>1655</t>
  </si>
  <si>
    <t>30172</t>
  </si>
  <si>
    <t>1653</t>
  </si>
  <si>
    <t>2390000049</t>
  </si>
  <si>
    <t>211542</t>
  </si>
  <si>
    <t>MESA DE CENTRO</t>
  </si>
  <si>
    <t>2604</t>
  </si>
  <si>
    <t>1985</t>
  </si>
  <si>
    <t>1208</t>
  </si>
  <si>
    <t>52265</t>
  </si>
  <si>
    <t>1109</t>
  </si>
  <si>
    <t>2851</t>
  </si>
  <si>
    <t>2335</t>
  </si>
  <si>
    <t>1207</t>
  </si>
  <si>
    <t>PUFF</t>
  </si>
  <si>
    <t>RACK</t>
  </si>
  <si>
    <t>1867</t>
  </si>
  <si>
    <t>252108</t>
  </si>
  <si>
    <t>253109</t>
  </si>
  <si>
    <t>2524</t>
  </si>
  <si>
    <t>2293</t>
  </si>
  <si>
    <t>2245</t>
  </si>
  <si>
    <t>1199</t>
  </si>
  <si>
    <t>560111</t>
  </si>
  <si>
    <t>MESA DE JANTAR</t>
  </si>
  <si>
    <t>B002BR</t>
  </si>
  <si>
    <t>B015PR (PRETO)</t>
  </si>
  <si>
    <t>882175</t>
  </si>
  <si>
    <t>33501100</t>
  </si>
  <si>
    <t>MC 2020 TAMPO INCOLOR/BASE MC 2020 TAMPO INCOLOR</t>
  </si>
  <si>
    <t>3650483</t>
  </si>
  <si>
    <t>CADEIRA DE JANTAR</t>
  </si>
  <si>
    <t>804809880000000</t>
  </si>
  <si>
    <t>920330110000000</t>
  </si>
  <si>
    <t>30200840</t>
  </si>
  <si>
    <t>30200810</t>
  </si>
  <si>
    <t>ESTOFADOS</t>
  </si>
  <si>
    <t>SOFÁ</t>
  </si>
  <si>
    <t>EVEREST 3 E 2 LUGARES POLIPROPILENO CINZA</t>
  </si>
  <si>
    <t>RECLINÁVEL E ASSENTO RETRÁTIL STRAUSS SUED PRETO</t>
  </si>
  <si>
    <t>DIVANI</t>
  </si>
  <si>
    <t>VILARREAL 3 E 2 LUGARES CORANO CAFÉ</t>
  </si>
  <si>
    <t>LINO FORTE</t>
  </si>
  <si>
    <t>CANTO 4 LUGARES LAS VEGAS CHENILLE PRETO</t>
  </si>
  <si>
    <t>GAZIN</t>
  </si>
  <si>
    <t>RECLINÁVEL E ASSENTO RETRÁTIL MICHELANGELO SUEDE PRATA</t>
  </si>
  <si>
    <t>CANTO 5 LUGARES VIENA CHENILLE MARROM CAFÉ</t>
  </si>
  <si>
    <t> 3 LUGARES SICK SARJA AZUL TURQUESA</t>
  </si>
  <si>
    <t>DALLAS 3 E 2 LUGARES SUEDE MARROM</t>
  </si>
  <si>
    <t>SOFÁ EVEREST 3 E 2 LUGARES POLIPROPILENO BEGE </t>
  </si>
  <si>
    <t> 3 LUGARES PALATINO SUEDE VERMELHO</t>
  </si>
  <si>
    <t>POLTRONA</t>
  </si>
  <si>
    <t>BARCELONA COURÍSSIMO AMARELA</t>
  </si>
  <si>
    <t>RIVATTI</t>
  </si>
  <si>
    <t>POLTRONA ROMA CORINO PRETO</t>
  </si>
  <si>
    <t>EGG RELAX VELUTE GELO</t>
  </si>
  <si>
    <t>RECLINÁVEL DETROIT ZERO WALL CORINO PRETO</t>
  </si>
  <si>
    <t>PELMEX</t>
  </si>
  <si>
    <t>TARSILA POLIURETANO PRETA</t>
  </si>
  <si>
    <t>HEITOR MADEIRA AMARELO</t>
  </si>
  <si>
    <t>ANNE POLIURETANO MARROM</t>
  </si>
  <si>
    <t>SUMMERSET TECIDO PATCHWORK COLORIDA</t>
  </si>
  <si>
    <t>LINKS</t>
  </si>
  <si>
    <t>RECLINÁVEL DENVER CORINO BRANCO</t>
  </si>
  <si>
    <t>FIXA VICTÓRIA TECIDO JORNAL</t>
  </si>
  <si>
    <t>JARDIM BALANCE</t>
  </si>
  <si>
    <t>MAX TABACO</t>
  </si>
  <si>
    <t>SIANG</t>
  </si>
  <si>
    <t>MILENIO MÓVEIS</t>
  </si>
  <si>
    <t>FERRARA</t>
  </si>
  <si>
    <t>VERONA</t>
  </si>
  <si>
    <t>BRAGA</t>
  </si>
  <si>
    <t>SUMATRA PLÁSTICO</t>
  </si>
  <si>
    <t>MONA</t>
  </si>
  <si>
    <t>OLDWAY</t>
  </si>
  <si>
    <t>BUTZKE</t>
  </si>
  <si>
    <t>LINHA BEBÊ</t>
  </si>
  <si>
    <t>BERÇO MULTIUSO</t>
  </si>
  <si>
    <t>D'ITÁLIA</t>
  </si>
  <si>
    <t>BERÇO MAÇA DO AMOR</t>
  </si>
  <si>
    <t>132424</t>
  </si>
  <si>
    <t>HENN</t>
  </si>
  <si>
    <t>BERÇO 0515</t>
  </si>
  <si>
    <t>515010105</t>
  </si>
  <si>
    <t>MULTIMÓVEIS</t>
  </si>
  <si>
    <t>BERÇO IF440</t>
  </si>
  <si>
    <t>69609</t>
  </si>
  <si>
    <t> KAPPESBERG</t>
  </si>
  <si>
    <t xml:space="preserve">BERÇO AMORE </t>
  </si>
  <si>
    <t>186159</t>
  </si>
  <si>
    <t>BURIGOTTO</t>
  </si>
  <si>
    <t>BERÇO DIM DOM</t>
  </si>
  <si>
    <t>38102</t>
  </si>
  <si>
    <t>CARRINHO MAGNI CARIN</t>
  </si>
  <si>
    <t>480001</t>
  </si>
  <si>
    <t>TUTTI BABY</t>
  </si>
  <si>
    <t>CARRINHO MILANO</t>
  </si>
  <si>
    <t>GALZERANO</t>
  </si>
  <si>
    <t>CARRINHO MARANELLO</t>
  </si>
  <si>
    <t>15232</t>
  </si>
  <si>
    <t>CARRINHO PAGASUS</t>
  </si>
  <si>
    <t>7455</t>
  </si>
  <si>
    <t>ROUPEIRO PRICESAS</t>
  </si>
  <si>
    <t>153524</t>
  </si>
  <si>
    <t>PURA MAGIA</t>
  </si>
  <si>
    <t>ROUPEIRO BARBIE</t>
  </si>
  <si>
    <t>153602</t>
  </si>
  <si>
    <t>ROUPEIRO CARROS</t>
  </si>
  <si>
    <t>153711</t>
  </si>
  <si>
    <t>ROUPEIRO BEN10</t>
  </si>
  <si>
    <t>153779</t>
  </si>
  <si>
    <t>CÔMODA PROVENÇAL</t>
  </si>
  <si>
    <t>153379</t>
  </si>
  <si>
    <t>CÔMODA TUTTI FRUTTI</t>
  </si>
  <si>
    <t>167979</t>
  </si>
  <si>
    <t>CÔMODA MEU FOFINHO</t>
  </si>
  <si>
    <t>152489</t>
  </si>
  <si>
    <t>ARTINMÓVEIS</t>
  </si>
  <si>
    <t>CÔMODA TROCADOR</t>
  </si>
  <si>
    <t>137737</t>
  </si>
  <si>
    <t>CIADOMÓVEL</t>
  </si>
  <si>
    <t>CADEIRA ALTA STANDART</t>
  </si>
  <si>
    <t>116475</t>
  </si>
  <si>
    <t>CADEIRA ALLTA GOLD</t>
  </si>
  <si>
    <t>11392</t>
  </si>
  <si>
    <t>CADEIRA ALTA URSINHOS</t>
  </si>
  <si>
    <t>CADEIRA ALTA COOKIE</t>
  </si>
  <si>
    <t>206752</t>
  </si>
  <si>
    <t>BANHEIRA TIGRINHA</t>
  </si>
  <si>
    <t>15470</t>
  </si>
  <si>
    <t>BANHEIRA MILLENIA</t>
  </si>
  <si>
    <t>18874</t>
  </si>
  <si>
    <t>BANHEIRA OVELINHA</t>
  </si>
  <si>
    <t>8040</t>
  </si>
  <si>
    <t>BANHEIRA SLIM</t>
  </si>
  <si>
    <t>175077</t>
  </si>
  <si>
    <t>LENOX</t>
  </si>
  <si>
    <t>CADEIRA P/ AUTO FERRARI</t>
  </si>
  <si>
    <t>249271</t>
  </si>
  <si>
    <t xml:space="preserve">CADEIRA P/ AUTO PRINCESAS </t>
  </si>
  <si>
    <t>2095203</t>
  </si>
  <si>
    <t>DISNEY</t>
  </si>
  <si>
    <t>CADEIRA P/ AUTO BACK</t>
  </si>
  <si>
    <t>24796</t>
  </si>
  <si>
    <t>COSCO</t>
  </si>
  <si>
    <t>CADEIRA P/ AUTO BEFIX</t>
  </si>
  <si>
    <t>259681</t>
  </si>
  <si>
    <t>NANIA</t>
  </si>
  <si>
    <t>LEAD TIME (DIAS)</t>
  </si>
  <si>
    <t>EMÍN (UNID)</t>
  </si>
  <si>
    <t>VOLUME ITEM (m3)</t>
  </si>
  <si>
    <t>PONTO DE REP.(SUGERIDO)</t>
  </si>
  <si>
    <t>ECICLO (UNID)</t>
  </si>
  <si>
    <t>QTD MENSAL DE VENDA</t>
  </si>
  <si>
    <t>PROBLEMA</t>
  </si>
  <si>
    <t>SOLUÇÃO</t>
  </si>
  <si>
    <t>Nome da unidade logistica</t>
  </si>
  <si>
    <t>Acabamentos</t>
  </si>
  <si>
    <t>Acessorios p banheiro</t>
  </si>
  <si>
    <t>Todos</t>
  </si>
  <si>
    <t>Acessorios p/ banheiro</t>
  </si>
  <si>
    <t>Automotivo</t>
  </si>
  <si>
    <t>Passeio</t>
  </si>
  <si>
    <t>Preço do produto muito acima do padrão</t>
  </si>
  <si>
    <t>Ferragem</t>
  </si>
  <si>
    <t>Material Hidráulico</t>
  </si>
  <si>
    <t>Sifão(M9), Registro Comando GYRO,Vávula para lavatório(M70)</t>
  </si>
  <si>
    <t>Alterar o preço unitário para um mais adequado ao mercado</t>
  </si>
  <si>
    <t>Alterar a unidade logística para "CAIXA"</t>
  </si>
  <si>
    <t>Alterar a unidade logística para "Peça"</t>
  </si>
  <si>
    <t>Ferramentas</t>
  </si>
  <si>
    <t>saboneteira</t>
  </si>
  <si>
    <t>perfil peso parede  marfin</t>
  </si>
  <si>
    <t>Pisos</t>
  </si>
  <si>
    <t>Preços muito altos</t>
  </si>
  <si>
    <t>Tintas</t>
  </si>
  <si>
    <t>Tinta acrilica</t>
  </si>
  <si>
    <t>Comprimento não condiz com o produto real</t>
  </si>
  <si>
    <t>Faltou referencia</t>
  </si>
  <si>
    <t>Colocar referencia</t>
  </si>
  <si>
    <t>Alterar as medidas</t>
  </si>
  <si>
    <t>Diminuir os preços</t>
  </si>
  <si>
    <t xml:space="preserve">Automotivo </t>
  </si>
  <si>
    <t>Eletrodomestico</t>
  </si>
  <si>
    <t>Forno e Fogão</t>
  </si>
  <si>
    <t>Mudar de caixa p unidade</t>
  </si>
  <si>
    <t>Preço muito baixo</t>
  </si>
  <si>
    <t>Eletronicos</t>
  </si>
  <si>
    <t>Informatica</t>
  </si>
  <si>
    <t>Teclado</t>
  </si>
  <si>
    <t>Aumentar valor</t>
  </si>
  <si>
    <t>Mouse</t>
  </si>
  <si>
    <t>VALOR MENSAL DE VENDA</t>
  </si>
  <si>
    <t xml:space="preserve">A </t>
  </si>
  <si>
    <t>B</t>
  </si>
  <si>
    <t>C</t>
  </si>
  <si>
    <t>PERC    %</t>
  </si>
  <si>
    <t>PERC ACUM.</t>
  </si>
  <si>
    <t xml:space="preserve">CLASSIFICAÇÃO </t>
  </si>
  <si>
    <t>A</t>
  </si>
  <si>
    <t>Total Geral</t>
  </si>
  <si>
    <t>Rótulos de Linha</t>
  </si>
  <si>
    <t>Soma de VALOR MENSAL DE VENDA</t>
  </si>
  <si>
    <t>Soma de VOLUME MENSAL DE VENDA(cm3)</t>
  </si>
  <si>
    <t>(Tudo)</t>
  </si>
  <si>
    <t>FORNECEDORES</t>
  </si>
  <si>
    <t>PLANO DE CONTINGÊNCIA</t>
  </si>
  <si>
    <t>Em caso de falta de abastecimento dos produtos (atraso)</t>
  </si>
  <si>
    <t>Ter contato com uma Segunda empresa que possa fornecer a mesma linha de produto.</t>
  </si>
  <si>
    <t>Em caso de mercadoria Violada/Fora dos padrões/Dificultando a descarga</t>
  </si>
  <si>
    <t>Realizar uma Recusa de mercadoria/serviço referente as condições da carga, se for o caso, recusar o descarregamento se o mesmo comprometer a integridade do colaborador e em segundo plano da mercadoria.</t>
  </si>
  <si>
    <t>Caso haja alterações na mercadoria, utilizar o contato de uma segunda empresa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</si>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</sst>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00"/>
    <numFmt numFmtId="166" formatCode="0.000%"/>
    <numFmt numFmtId="167" formatCode="0.0000%"/>
    <numFmt numFmtId="168" formatCode="0.00000000%"/>
  </numFmts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NumberFormat="1"/>
    <xf numFmtId="0" fontId="2" fillId="3" borderId="1" xfId="0" applyFont="1" applyFill="1" applyBorder="1"/>
    <xf numFmtId="44" fontId="0" fillId="0" borderId="0" xfId="1" applyFont="1"/>
    <xf numFmtId="0" fontId="0" fillId="2" borderId="0" xfId="0" applyNumberFormat="1" applyFill="1"/>
    <xf numFmtId="164" fontId="0" fillId="0" borderId="0" xfId="1" applyNumberFormat="1" applyFont="1"/>
    <xf numFmtId="165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horizontal="left"/>
    </xf>
    <xf numFmtId="164" fontId="0" fillId="2" borderId="0" xfId="0" applyNumberFormat="1" applyFill="1"/>
    <xf numFmtId="164" fontId="0" fillId="0" borderId="0" xfId="0" applyNumberFormat="1"/>
    <xf numFmtId="164" fontId="2" fillId="5" borderId="0" xfId="0" applyNumberFormat="1" applyFont="1" applyFill="1"/>
    <xf numFmtId="9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6" fontId="0" fillId="0" borderId="0" xfId="0" applyNumberFormat="1"/>
    <xf numFmtId="167" fontId="0" fillId="0" borderId="0" xfId="0" applyNumberFormat="1"/>
    <xf numFmtId="168" fontId="0" fillId="2" borderId="0" xfId="0" applyNumberFormat="1" applyFill="1"/>
    <xf numFmtId="168" fontId="0" fillId="0" borderId="0" xfId="2" applyNumberFormat="1" applyFont="1"/>
    <xf numFmtId="168" fontId="0" fillId="0" borderId="0" xfId="0" applyNumberFormat="1"/>
    <xf numFmtId="166" fontId="0" fillId="6" borderId="0" xfId="2" applyNumberFormat="1" applyFont="1" applyFill="1"/>
    <xf numFmtId="0" fontId="0" fillId="6" borderId="0" xfId="0" applyFill="1"/>
    <xf numFmtId="166" fontId="0" fillId="4" borderId="0" xfId="2" applyNumberFormat="1" applyFont="1" applyFill="1"/>
    <xf numFmtId="0" fontId="0" fillId="4" borderId="0" xfId="0" applyFill="1"/>
    <xf numFmtId="166" fontId="0" fillId="7" borderId="0" xfId="2" applyNumberFormat="1" applyFont="1" applyFill="1"/>
    <xf numFmtId="0" fontId="0" fillId="7" borderId="0" xfId="0" applyFill="1"/>
    <xf numFmtId="0" fontId="0" fillId="0" borderId="0" xfId="0" pivotButton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4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[_banco de dados completo Geral corrigido 02-09-14.xlsx]Plan3!Tabela dinâmica2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Plan3!$B$6</c:f>
              <c:strCache>
                <c:ptCount val="1"/>
                <c:pt idx="0">
                  <c:v>Soma de VOLUME MENSAL DE VENDA(cm3)</c:v>
                </c:pt>
              </c:strCache>
            </c:strRef>
          </c:tx>
          <c:invertIfNegative val="0"/>
          <c:cat>
            <c:strRef>
              <c:f>Plan3!$A$7:$A$442</c:f>
              <c:strCache>
                <c:ptCount val="435"/>
                <c:pt idx="1">
                  <c:v> CRYSTAL GLASS</c:v>
                </c:pt>
                <c:pt idx="2">
                  <c:v> KAPPESBERG</c:v>
                </c:pt>
                <c:pt idx="3">
                  <c:v>ABOUT HOME</c:v>
                </c:pt>
                <c:pt idx="4">
                  <c:v>ACHULZ</c:v>
                </c:pt>
                <c:pt idx="5">
                  <c:v>AÇODESIGN</c:v>
                </c:pt>
                <c:pt idx="6">
                  <c:v>AÇOTERRA</c:v>
                </c:pt>
                <c:pt idx="7">
                  <c:v>ADANS</c:v>
                </c:pt>
                <c:pt idx="8">
                  <c:v>ADERE</c:v>
                </c:pt>
                <c:pt idx="9">
                  <c:v>ALCATELL</c:v>
                </c:pt>
                <c:pt idx="10">
                  <c:v>ALIANÇA</c:v>
                </c:pt>
                <c:pt idx="11">
                  <c:v>ALIEXPRESS</c:v>
                </c:pt>
                <c:pt idx="12">
                  <c:v>AMANCO</c:v>
                </c:pt>
                <c:pt idx="13">
                  <c:v>AMERICANAS </c:v>
                </c:pt>
                <c:pt idx="14">
                  <c:v>AMERICANFLEX</c:v>
                </c:pt>
                <c:pt idx="15">
                  <c:v>AOC</c:v>
                </c:pt>
                <c:pt idx="16">
                  <c:v>APPLE</c:v>
                </c:pt>
                <c:pt idx="17">
                  <c:v>AQUALIMP</c:v>
                </c:pt>
                <c:pt idx="18">
                  <c:v>AQUAPLUV</c:v>
                </c:pt>
                <c:pt idx="19">
                  <c:v>AQUÁRIO</c:v>
                </c:pt>
                <c:pt idx="20">
                  <c:v>ARKE</c:v>
                </c:pt>
                <c:pt idx="21">
                  <c:v>ARNO</c:v>
                </c:pt>
                <c:pt idx="22">
                  <c:v>AROUCA</c:v>
                </c:pt>
                <c:pt idx="23">
                  <c:v>ART MOSAICOS </c:v>
                </c:pt>
                <c:pt idx="24">
                  <c:v>ARTELY</c:v>
                </c:pt>
                <c:pt idx="25">
                  <c:v>ARTICULÁVEL</c:v>
                </c:pt>
                <c:pt idx="26">
                  <c:v>ARTINMÓVEIS</c:v>
                </c:pt>
                <c:pt idx="27">
                  <c:v>ASPEN</c:v>
                </c:pt>
                <c:pt idx="28">
                  <c:v>ASTRA</c:v>
                </c:pt>
                <c:pt idx="29">
                  <c:v>ASUS</c:v>
                </c:pt>
                <c:pt idx="30">
                  <c:v>B&amp;W</c:v>
                </c:pt>
                <c:pt idx="31">
                  <c:v>BAZAR HORIZONTE</c:v>
                </c:pt>
                <c:pt idx="32">
                  <c:v>BETILI</c:v>
                </c:pt>
                <c:pt idx="33">
                  <c:v>BETTANIN</c:v>
                </c:pt>
                <c:pt idx="34">
                  <c:v>BIANCO</c:v>
                </c:pt>
                <c:pt idx="35">
                  <c:v>BLACK &amp; DECKER </c:v>
                </c:pt>
                <c:pt idx="36">
                  <c:v>BLACK E DECKER</c:v>
                </c:pt>
                <c:pt idx="37">
                  <c:v>BLACK E DECKER</c:v>
                </c:pt>
                <c:pt idx="38">
                  <c:v>BLACK&amp;DECKER</c:v>
                </c:pt>
                <c:pt idx="39">
                  <c:v>BOCH</c:v>
                </c:pt>
                <c:pt idx="40">
                  <c:v>BOM CORTE</c:v>
                </c:pt>
                <c:pt idx="41">
                  <c:v>BOM JARDIM</c:v>
                </c:pt>
                <c:pt idx="42">
                  <c:v>BOSCH</c:v>
                </c:pt>
                <c:pt idx="43">
                  <c:v>BR MOTORS</c:v>
                </c:pt>
                <c:pt idx="44">
                  <c:v>BRANCO</c:v>
                </c:pt>
                <c:pt idx="45">
                  <c:v>BRASGROUP</c:v>
                </c:pt>
                <c:pt idx="46">
                  <c:v>BRASNORTE</c:v>
                </c:pt>
                <c:pt idx="47">
                  <c:v>BRASTEMP</c:v>
                </c:pt>
                <c:pt idx="48">
                  <c:v>BRASUTIL</c:v>
                </c:pt>
                <c:pt idx="49">
                  <c:v>BRAVO</c:v>
                </c:pt>
                <c:pt idx="50">
                  <c:v>BRIDGESTONE</c:v>
                </c:pt>
                <c:pt idx="51">
                  <c:v>BRIGHT</c:v>
                </c:pt>
                <c:pt idx="52">
                  <c:v>BRINOX</c:v>
                </c:pt>
                <c:pt idx="53">
                  <c:v>BRITANIA</c:v>
                </c:pt>
                <c:pt idx="54">
                  <c:v>BRITÂNIA</c:v>
                </c:pt>
                <c:pt idx="55">
                  <c:v>BRV</c:v>
                </c:pt>
                <c:pt idx="56">
                  <c:v>BUFFALO</c:v>
                </c:pt>
                <c:pt idx="57">
                  <c:v>BULL TERRIER</c:v>
                </c:pt>
                <c:pt idx="58">
                  <c:v>BURIGOTTO</c:v>
                </c:pt>
                <c:pt idx="59">
                  <c:v>BURNI</c:v>
                </c:pt>
                <c:pt idx="60">
                  <c:v>BUTZKE</c:v>
                </c:pt>
                <c:pt idx="61">
                  <c:v>C E C CASA E CONSTRUÇÃO</c:v>
                </c:pt>
                <c:pt idx="62">
                  <c:v>C&amp;C</c:v>
                </c:pt>
                <c:pt idx="63">
                  <c:v>CABREUVA</c:v>
                </c:pt>
                <c:pt idx="64">
                  <c:v>CADENCE</c:v>
                </c:pt>
                <c:pt idx="65">
                  <c:v>CALHA FORTE</c:v>
                </c:pt>
                <c:pt idx="66">
                  <c:v>CAMPO DE OFERTAS </c:v>
                </c:pt>
                <c:pt idx="67">
                  <c:v>CAPRI</c:v>
                </c:pt>
                <c:pt idx="68">
                  <c:v>CARAMBELLA</c:v>
                </c:pt>
                <c:pt idx="69">
                  <c:v>CARDAL</c:v>
                </c:pt>
                <c:pt idx="70">
                  <c:v>CARVALHO</c:v>
                </c:pt>
                <c:pt idx="71">
                  <c:v>CASA DAS FERRAMENTAS </c:v>
                </c:pt>
                <c:pt idx="72">
                  <c:v>CASA DO JARDIM</c:v>
                </c:pt>
                <c:pt idx="73">
                  <c:v>CASA DO SERRALHEIRO</c:v>
                </c:pt>
                <c:pt idx="74">
                  <c:v>CASAS BAHIA</c:v>
                </c:pt>
                <c:pt idx="75">
                  <c:v>CASASHOW</c:v>
                </c:pt>
                <c:pt idx="76">
                  <c:v>CASATEMA</c:v>
                </c:pt>
                <c:pt idx="77">
                  <c:v>CASTOR </c:v>
                </c:pt>
                <c:pt idx="78">
                  <c:v>CASTROL</c:v>
                </c:pt>
                <c:pt idx="79">
                  <c:v>CCE</c:v>
                </c:pt>
                <c:pt idx="80">
                  <c:v>CECAFI</c:v>
                </c:pt>
                <c:pt idx="81">
                  <c:v>CECRISA</c:v>
                </c:pt>
                <c:pt idx="82">
                  <c:v>CELITE</c:v>
                </c:pt>
                <c:pt idx="83">
                  <c:v>CENSI</c:v>
                </c:pt>
                <c:pt idx="84">
                  <c:v>CEUSA</c:v>
                </c:pt>
                <c:pt idx="85">
                  <c:v>CIADOMÓVEL</c:v>
                </c:pt>
                <c:pt idx="86">
                  <c:v>CIBERPLAST ELO</c:v>
                </c:pt>
                <c:pt idx="87">
                  <c:v>CIGAME</c:v>
                </c:pt>
                <c:pt idx="88">
                  <c:v>CLABER</c:v>
                </c:pt>
                <c:pt idx="89">
                  <c:v>CLASIC HOME</c:v>
                </c:pt>
                <c:pt idx="90">
                  <c:v>CLASSIC HOME</c:v>
                </c:pt>
                <c:pt idx="91">
                  <c:v>CLIPPER</c:v>
                </c:pt>
                <c:pt idx="92">
                  <c:v>CMS</c:v>
                </c:pt>
                <c:pt idx="93">
                  <c:v>COBRECOM</c:v>
                </c:pt>
                <c:pt idx="94">
                  <c:v>COFER</c:v>
                </c:pt>
                <c:pt idx="95">
                  <c:v>COLORMIX</c:v>
                </c:pt>
                <c:pt idx="96">
                  <c:v>COLORTIL</c:v>
                </c:pt>
                <c:pt idx="97">
                  <c:v>COMFEE</c:v>
                </c:pt>
                <c:pt idx="98">
                  <c:v>CONFORT</c:v>
                </c:pt>
                <c:pt idx="99">
                  <c:v>CONSUL</c:v>
                </c:pt>
                <c:pt idx="100">
                  <c:v>CONTINENTAL</c:v>
                </c:pt>
                <c:pt idx="101">
                  <c:v>CORAL</c:v>
                </c:pt>
                <c:pt idx="102">
                  <c:v>CORONA</c:v>
                </c:pt>
                <c:pt idx="103">
                  <c:v>COSCO</c:v>
                </c:pt>
                <c:pt idx="104">
                  <c:v>COSTA NAVARRO</c:v>
                </c:pt>
                <c:pt idx="105">
                  <c:v>COTTAGE</c:v>
                </c:pt>
                <c:pt idx="106">
                  <c:v>COZIMAX</c:v>
                </c:pt>
                <c:pt idx="107">
                  <c:v>CRISTAL GLASS</c:v>
                </c:pt>
                <c:pt idx="108">
                  <c:v>CROMADO</c:v>
                </c:pt>
                <c:pt idx="109">
                  <c:v>CROMOTERÁPIA</c:v>
                </c:pt>
                <c:pt idx="110">
                  <c:v>CROMUS</c:v>
                </c:pt>
                <c:pt idx="111">
                  <c:v>CRUZADO</c:v>
                </c:pt>
                <c:pt idx="112">
                  <c:v>DAF</c:v>
                </c:pt>
                <c:pt idx="113">
                  <c:v>DAKAR</c:v>
                </c:pt>
                <c:pt idx="114">
                  <c:v>DALLA COSTA</c:v>
                </c:pt>
                <c:pt idx="115">
                  <c:v>DECA</c:v>
                </c:pt>
                <c:pt idx="116">
                  <c:v>DECOR ASSENTOS</c:v>
                </c:pt>
                <c:pt idx="117">
                  <c:v>DECORELLE</c:v>
                </c:pt>
                <c:pt idx="118">
                  <c:v>DELL</c:v>
                </c:pt>
                <c:pt idx="119">
                  <c:v>DEWALT</c:v>
                </c:pt>
                <c:pt idx="120">
                  <c:v>DISNEY</c:v>
                </c:pt>
                <c:pt idx="121">
                  <c:v>D'ITÁLIA</c:v>
                </c:pt>
                <c:pt idx="122">
                  <c:v>DIVANI</c:v>
                </c:pt>
                <c:pt idx="123">
                  <c:v>DOCOL</c:v>
                </c:pt>
                <c:pt idx="124">
                  <c:v>DOURADO</c:v>
                </c:pt>
                <c:pt idx="125">
                  <c:v>DTOOLS</c:v>
                </c:pt>
                <c:pt idx="126">
                  <c:v>DUPLEX</c:v>
                </c:pt>
                <c:pt idx="127">
                  <c:v>DUTRA</c:v>
                </c:pt>
                <c:pt idx="128">
                  <c:v>ECCO</c:v>
                </c:pt>
                <c:pt idx="129">
                  <c:v>EINHELL</c:v>
                </c:pt>
                <c:pt idx="130">
                  <c:v>ELECTROLUX</c:v>
                </c:pt>
                <c:pt idx="131">
                  <c:v>ELECTROVIDRO</c:v>
                </c:pt>
                <c:pt idx="132">
                  <c:v>ELETRO FORT</c:v>
                </c:pt>
                <c:pt idx="133">
                  <c:v>ELETROLUX</c:v>
                </c:pt>
                <c:pt idx="134">
                  <c:v>ELETROPLAS</c:v>
                </c:pt>
                <c:pt idx="135">
                  <c:v>ELIANE</c:v>
                </c:pt>
                <c:pt idx="136">
                  <c:v>ELLA</c:v>
                </c:pt>
                <c:pt idx="137">
                  <c:v>EMBRAMACO</c:v>
                </c:pt>
                <c:pt idx="138">
                  <c:v>EPSON</c:v>
                </c:pt>
                <c:pt idx="139">
                  <c:v>ESQUADRIAS MOLOSSI</c:v>
                </c:pt>
                <c:pt idx="140">
                  <c:v>ESTEVES</c:v>
                </c:pt>
                <c:pt idx="141">
                  <c:v>ETERNIR</c:v>
                </c:pt>
                <c:pt idx="142">
                  <c:v>EUCASOFT</c:v>
                </c:pt>
                <c:pt idx="143">
                  <c:v>EUCATEX</c:v>
                </c:pt>
                <c:pt idx="144">
                  <c:v>EXPAMBOX</c:v>
                </c:pt>
                <c:pt idx="145">
                  <c:v>FABRIMAR</c:v>
                </c:pt>
                <c:pt idx="146">
                  <c:v>FABRIPAL</c:v>
                </c:pt>
                <c:pt idx="147">
                  <c:v>FAMASTIL</c:v>
                </c:pt>
                <c:pt idx="148">
                  <c:v>FAMASTIL TAURUS</c:v>
                </c:pt>
                <c:pt idx="149">
                  <c:v>FAME</c:v>
                </c:pt>
                <c:pt idx="150">
                  <c:v>FARMIASTIL</c:v>
                </c:pt>
                <c:pt idx="151">
                  <c:v>FATI FERRAMENTAS</c:v>
                </c:pt>
                <c:pt idx="152">
                  <c:v>FEBRAPA</c:v>
                </c:pt>
                <c:pt idx="153">
                  <c:v>FELAP</c:v>
                </c:pt>
                <c:pt idx="154">
                  <c:v>FÊNIX</c:v>
                </c:pt>
                <c:pt idx="155">
                  <c:v>FERAGEM SÃO JOSÉ</c:v>
                </c:pt>
                <c:pt idx="156">
                  <c:v>FERLUVAS</c:v>
                </c:pt>
                <c:pt idx="157">
                  <c:v>FERRAGEM SÃO JOSÉ</c:v>
                </c:pt>
                <c:pt idx="158">
                  <c:v>FERRARI</c:v>
                </c:pt>
                <c:pt idx="159">
                  <c:v>FIBRAMAR</c:v>
                </c:pt>
                <c:pt idx="160">
                  <c:v>FIBRAPISO</c:v>
                </c:pt>
                <c:pt idx="161">
                  <c:v>FIBRAPISO NOGUEIRA</c:v>
                </c:pt>
                <c:pt idx="162">
                  <c:v>FIBRAPISO </c:v>
                </c:pt>
                <c:pt idx="163">
                  <c:v>FIBRAPISO NOGUEIRA</c:v>
                </c:pt>
                <c:pt idx="164">
                  <c:v>FICSHER</c:v>
                </c:pt>
                <c:pt idx="165">
                  <c:v>FIORANO</c:v>
                </c:pt>
                <c:pt idx="166">
                  <c:v>FIRESTONE</c:v>
                </c:pt>
                <c:pt idx="167">
                  <c:v>FORCE LINE</c:v>
                </c:pt>
                <c:pt idx="168">
                  <c:v>FORD</c:v>
                </c:pt>
                <c:pt idx="169">
                  <c:v>FOREST GARDEN</c:v>
                </c:pt>
                <c:pt idx="170">
                  <c:v>FORMIGRES</c:v>
                </c:pt>
                <c:pt idx="171">
                  <c:v>FORTALEZA</c:v>
                </c:pt>
                <c:pt idx="172">
                  <c:v>FORTE DEI MARMI</c:v>
                </c:pt>
                <c:pt idx="173">
                  <c:v>FORTLEV</c:v>
                </c:pt>
                <c:pt idx="174">
                  <c:v>FORUSI</c:v>
                </c:pt>
                <c:pt idx="175">
                  <c:v>FRANKE</c:v>
                </c:pt>
                <c:pt idx="176">
                  <c:v>FREEWAY</c:v>
                </c:pt>
                <c:pt idx="177">
                  <c:v>FRIBRAMAR</c:v>
                </c:pt>
                <c:pt idx="178">
                  <c:v>FUCK</c:v>
                </c:pt>
                <c:pt idx="179">
                  <c:v>FUJIFILM</c:v>
                </c:pt>
                <c:pt idx="180">
                  <c:v>FUROSI</c:v>
                </c:pt>
                <c:pt idx="181">
                  <c:v>FUSOPAR</c:v>
                </c:pt>
                <c:pt idx="182">
                  <c:v>GALZERANO</c:v>
                </c:pt>
                <c:pt idx="183">
                  <c:v>GAMMA</c:v>
                </c:pt>
                <c:pt idx="184">
                  <c:v>GAMMASULAMERICANA</c:v>
                </c:pt>
                <c:pt idx="185">
                  <c:v>GARMIM</c:v>
                </c:pt>
                <c:pt idx="186">
                  <c:v>GARTHEN</c:v>
                </c:pt>
                <c:pt idx="187">
                  <c:v>GAZIN</c:v>
                </c:pt>
                <c:pt idx="188">
                  <c:v>GERDAU</c:v>
                </c:pt>
                <c:pt idx="189">
                  <c:v>GREEN</c:v>
                </c:pt>
                <c:pt idx="190">
                  <c:v>GRINGER</c:v>
                </c:pt>
                <c:pt idx="191">
                  <c:v>GTRES</c:v>
                </c:pt>
                <c:pt idx="192">
                  <c:v>HAVANA</c:v>
                </c:pt>
                <c:pt idx="193">
                  <c:v>HELIX</c:v>
                </c:pt>
                <c:pt idx="194">
                  <c:v>HELLEN</c:v>
                </c:pt>
                <c:pt idx="195">
                  <c:v>HENN</c:v>
                </c:pt>
                <c:pt idx="196">
                  <c:v>HERC</c:v>
                </c:pt>
                <c:pt idx="197">
                  <c:v>HERO3</c:v>
                </c:pt>
                <c:pt idx="198">
                  <c:v>HIDROGERAIS</c:v>
                </c:pt>
                <c:pt idx="199">
                  <c:v>HIGRA</c:v>
                </c:pt>
                <c:pt idx="200">
                  <c:v>HIKARI</c:v>
                </c:pt>
                <c:pt idx="201">
                  <c:v>HITACHI</c:v>
                </c:pt>
                <c:pt idx="202">
                  <c:v>HONDA</c:v>
                </c:pt>
                <c:pt idx="203">
                  <c:v>HOOBY</c:v>
                </c:pt>
                <c:pt idx="204">
                  <c:v>HORBACH</c:v>
                </c:pt>
                <c:pt idx="205">
                  <c:v>HOUSTON</c:v>
                </c:pt>
                <c:pt idx="206">
                  <c:v>HP</c:v>
                </c:pt>
                <c:pt idx="207">
                  <c:v>HUMMER</c:v>
                </c:pt>
                <c:pt idx="208">
                  <c:v>HUSQVARNA</c:v>
                </c:pt>
                <c:pt idx="209">
                  <c:v>ICASA</c:v>
                </c:pt>
                <c:pt idx="210">
                  <c:v>IDEALLE</c:v>
                </c:pt>
                <c:pt idx="211">
                  <c:v>IMAB</c:v>
                </c:pt>
                <c:pt idx="212">
                  <c:v>INCA</c:v>
                </c:pt>
                <c:pt idx="213">
                  <c:v>INCEFRA</c:v>
                </c:pt>
                <c:pt idx="214">
                  <c:v>INCEPA</c:v>
                </c:pt>
                <c:pt idx="215">
                  <c:v>INCEPA </c:v>
                </c:pt>
                <c:pt idx="216">
                  <c:v>INSUL</c:v>
                </c:pt>
                <c:pt idx="217">
                  <c:v>INTELBRAS</c:v>
                </c:pt>
                <c:pt idx="218">
                  <c:v>INTER LINK</c:v>
                </c:pt>
                <c:pt idx="219">
                  <c:v>INTERNA</c:v>
                </c:pt>
                <c:pt idx="220">
                  <c:v>IPABRAC</c:v>
                </c:pt>
                <c:pt idx="221">
                  <c:v>IRIEL</c:v>
                </c:pt>
                <c:pt idx="222">
                  <c:v>IRMÃO ABAGE</c:v>
                </c:pt>
                <c:pt idx="223">
                  <c:v>IRWIN</c:v>
                </c:pt>
                <c:pt idx="224">
                  <c:v>ITAGRES</c:v>
                </c:pt>
                <c:pt idx="225">
                  <c:v>ITAMBÉ</c:v>
                </c:pt>
                <c:pt idx="226">
                  <c:v>ITARO</c:v>
                </c:pt>
                <c:pt idx="227">
                  <c:v>JACKWAL</c:v>
                </c:pt>
                <c:pt idx="228">
                  <c:v>JAGUAR</c:v>
                </c:pt>
                <c:pt idx="229">
                  <c:v>JATOBÁ</c:v>
                </c:pt>
                <c:pt idx="230">
                  <c:v>JVC</c:v>
                </c:pt>
                <c:pt idx="231">
                  <c:v>KALIPSO</c:v>
                </c:pt>
                <c:pt idx="232">
                  <c:v>KAPPESBERG</c:v>
                </c:pt>
                <c:pt idx="233">
                  <c:v>KARCHER</c:v>
                </c:pt>
                <c:pt idx="234">
                  <c:v>KAWASHIMA</c:v>
                </c:pt>
                <c:pt idx="235">
                  <c:v>KEO</c:v>
                </c:pt>
                <c:pt idx="236">
                  <c:v>KETER</c:v>
                </c:pt>
                <c:pt idx="237">
                  <c:v>KING TONY</c:v>
                </c:pt>
                <c:pt idx="238">
                  <c:v>KOMECO</c:v>
                </c:pt>
                <c:pt idx="239">
                  <c:v>KRONA</c:v>
                </c:pt>
                <c:pt idx="240">
                  <c:v>LAVRALE</c:v>
                </c:pt>
                <c:pt idx="241">
                  <c:v>LEADERSHIP</c:v>
                </c:pt>
                <c:pt idx="242">
                  <c:v>LENOX</c:v>
                </c:pt>
                <c:pt idx="243">
                  <c:v>LEROY MERLIN</c:v>
                </c:pt>
                <c:pt idx="244">
                  <c:v>LG</c:v>
                </c:pt>
                <c:pt idx="245">
                  <c:v>LIBELL</c:v>
                </c:pt>
                <c:pt idx="246">
                  <c:v>LINEART</c:v>
                </c:pt>
                <c:pt idx="247">
                  <c:v>LINKS</c:v>
                </c:pt>
                <c:pt idx="248">
                  <c:v>LINO FORTE</c:v>
                </c:pt>
                <c:pt idx="249">
                  <c:v>LOGASA</c:v>
                </c:pt>
                <c:pt idx="250">
                  <c:v>LOJA DO MECANICO </c:v>
                </c:pt>
                <c:pt idx="251">
                  <c:v>LORENZETTI</c:v>
                </c:pt>
                <c:pt idx="252">
                  <c:v>LUBRAX</c:v>
                </c:pt>
                <c:pt idx="253">
                  <c:v>LUME</c:v>
                </c:pt>
                <c:pt idx="254">
                  <c:v>MADETEC</c:v>
                </c:pt>
                <c:pt idx="255">
                  <c:v>MAGAZINE</c:v>
                </c:pt>
                <c:pt idx="256">
                  <c:v>MAGAZINE E LUIZA</c:v>
                </c:pt>
                <c:pt idx="257">
                  <c:v>MAGAZINE LUIZA</c:v>
                </c:pt>
                <c:pt idx="258">
                  <c:v>MAJOPAR</c:v>
                </c:pt>
                <c:pt idx="259">
                  <c:v>MAKITA</c:v>
                </c:pt>
                <c:pt idx="260">
                  <c:v>MAKSIWA</c:v>
                </c:pt>
                <c:pt idx="261">
                  <c:v>MANNES</c:v>
                </c:pt>
                <c:pt idx="262">
                  <c:v>MARCKERIC</c:v>
                </c:pt>
                <c:pt idx="263">
                  <c:v>MARISTELA</c:v>
                </c:pt>
                <c:pt idx="264">
                  <c:v>MARTINS </c:v>
                </c:pt>
                <c:pt idx="265">
                  <c:v>MAX CABOS</c:v>
                </c:pt>
                <c:pt idx="266">
                  <c:v>MAXIM AR</c:v>
                </c:pt>
                <c:pt idx="267">
                  <c:v>MAXPRINT</c:v>
                </c:pt>
                <c:pt idx="268">
                  <c:v>MEBER</c:v>
                </c:pt>
                <c:pt idx="269">
                  <c:v>MEGA FORTH</c:v>
                </c:pt>
                <c:pt idx="270">
                  <c:v>MENEGOTTI</c:v>
                </c:pt>
                <c:pt idx="271">
                  <c:v>METABO</c:v>
                </c:pt>
                <c:pt idx="272">
                  <c:v>METALMATRIX</c:v>
                </c:pt>
                <c:pt idx="273">
                  <c:v>METALMAX</c:v>
                </c:pt>
                <c:pt idx="274">
                  <c:v>METASUL</c:v>
                </c:pt>
                <c:pt idx="275">
                  <c:v>METHA</c:v>
                </c:pt>
                <c:pt idx="276">
                  <c:v>MF RURAL</c:v>
                </c:pt>
                <c:pt idx="277">
                  <c:v>MICHELIN</c:v>
                </c:pt>
                <c:pt idx="278">
                  <c:v>MICROSOFT</c:v>
                </c:pt>
                <c:pt idx="279">
                  <c:v>MILENIO MÓVEIS</c:v>
                </c:pt>
                <c:pt idx="280">
                  <c:v>MMM MEU MÓVEL DE MADEIRA</c:v>
                </c:pt>
                <c:pt idx="281">
                  <c:v>MOBIL</c:v>
                </c:pt>
                <c:pt idx="282">
                  <c:v>MONDIAL</c:v>
                </c:pt>
                <c:pt idx="283">
                  <c:v>MOR</c:v>
                </c:pt>
                <c:pt idx="284">
                  <c:v>MOR </c:v>
                </c:pt>
                <c:pt idx="285">
                  <c:v>MOREDO</c:v>
                </c:pt>
                <c:pt idx="286">
                  <c:v>MORLAN</c:v>
                </c:pt>
                <c:pt idx="287">
                  <c:v>MOTA</c:v>
                </c:pt>
                <c:pt idx="288">
                  <c:v>MOTOMIL</c:v>
                </c:pt>
                <c:pt idx="289">
                  <c:v>MOTOROLA</c:v>
                </c:pt>
                <c:pt idx="290">
                  <c:v>MOURA</c:v>
                </c:pt>
                <c:pt idx="291">
                  <c:v>MÓVEIS K1</c:v>
                </c:pt>
                <c:pt idx="292">
                  <c:v>MUELLER</c:v>
                </c:pt>
                <c:pt idx="293">
                  <c:v>MULTILASER</c:v>
                </c:pt>
                <c:pt idx="294">
                  <c:v>MULTIMOVEIS</c:v>
                </c:pt>
                <c:pt idx="295">
                  <c:v>MULTIMÓVEIS</c:v>
                </c:pt>
                <c:pt idx="296">
                  <c:v>MULTIUSO</c:v>
                </c:pt>
                <c:pt idx="297">
                  <c:v>MULTIVISÃO</c:v>
                </c:pt>
                <c:pt idx="298">
                  <c:v>NAGANO</c:v>
                </c:pt>
                <c:pt idx="299">
                  <c:v>NANIA</c:v>
                </c:pt>
                <c:pt idx="300">
                  <c:v>NAUTICA</c:v>
                </c:pt>
                <c:pt idx="301">
                  <c:v>NAUTIKA</c:v>
                </c:pt>
                <c:pt idx="302">
                  <c:v>NEWUP</c:v>
                </c:pt>
                <c:pt idx="303">
                  <c:v>NIKON</c:v>
                </c:pt>
                <c:pt idx="304">
                  <c:v>NKS</c:v>
                </c:pt>
                <c:pt idx="305">
                  <c:v>NOKIA</c:v>
                </c:pt>
                <c:pt idx="306">
                  <c:v>NOVA</c:v>
                </c:pt>
                <c:pt idx="307">
                  <c:v>ODEM</c:v>
                </c:pt>
                <c:pt idx="308">
                  <c:v>ORB</c:v>
                </c:pt>
                <c:pt idx="309">
                  <c:v>OREGON</c:v>
                </c:pt>
                <c:pt idx="310">
                  <c:v>ORTOBOM</c:v>
                </c:pt>
                <c:pt idx="311">
                  <c:v>OSRAM</c:v>
                </c:pt>
                <c:pt idx="312">
                  <c:v>OUTLET CRYSTAL GREY</c:v>
                </c:pt>
                <c:pt idx="313">
                  <c:v>PADRE BENTO</c:v>
                </c:pt>
                <c:pt idx="314">
                  <c:v>PANASONIC</c:v>
                </c:pt>
                <c:pt idx="315">
                  <c:v>PANE </c:v>
                </c:pt>
                <c:pt idx="316">
                  <c:v>PAPAIZ</c:v>
                </c:pt>
                <c:pt idx="317">
                  <c:v>PARABONI</c:v>
                </c:pt>
                <c:pt idx="318">
                  <c:v>PAROPAS</c:v>
                </c:pt>
                <c:pt idx="319">
                  <c:v>PASTILHART</c:v>
                </c:pt>
                <c:pt idx="320">
                  <c:v>PELMEX</c:v>
                </c:pt>
                <c:pt idx="321">
                  <c:v>PERAME</c:v>
                </c:pt>
                <c:pt idx="322">
                  <c:v>PHILCO</c:v>
                </c:pt>
                <c:pt idx="323">
                  <c:v>PHILIPS</c:v>
                </c:pt>
                <c:pt idx="324">
                  <c:v>PIRELLI</c:v>
                </c:pt>
                <c:pt idx="325">
                  <c:v>PLASBIL</c:v>
                </c:pt>
                <c:pt idx="326">
                  <c:v>PLASBIL REVESTIMENTOS</c:v>
                </c:pt>
                <c:pt idx="327">
                  <c:v>PLASTIFIBRA</c:v>
                </c:pt>
                <c:pt idx="328">
                  <c:v>PLENA</c:v>
                </c:pt>
                <c:pt idx="329">
                  <c:v>POLITORNO</c:v>
                </c:pt>
                <c:pt idx="330">
                  <c:v>POLITORNO MÓVEIS</c:v>
                </c:pt>
                <c:pt idx="331">
                  <c:v>PONTO LAVABO</c:v>
                </c:pt>
                <c:pt idx="332">
                  <c:v>PORTINARI</c:v>
                </c:pt>
                <c:pt idx="333">
                  <c:v>PORTO FERREIRA</c:v>
                </c:pt>
                <c:pt idx="334">
                  <c:v>PORTOBELLO</c:v>
                </c:pt>
                <c:pt idx="335">
                  <c:v>PORTOBELLO </c:v>
                </c:pt>
                <c:pt idx="336">
                  <c:v>POWER MAX</c:v>
                </c:pt>
                <c:pt idx="337">
                  <c:v>PROGÁS</c:v>
                </c:pt>
                <c:pt idx="338">
                  <c:v>PULVITEC</c:v>
                </c:pt>
                <c:pt idx="339">
                  <c:v>PURA MAGIA</c:v>
                </c:pt>
                <c:pt idx="340">
                  <c:v>QUADRI LTDA</c:v>
                </c:pt>
                <c:pt idx="341">
                  <c:v>QUARTZOLIT</c:v>
                </c:pt>
                <c:pt idx="342">
                  <c:v>R CASAGRANDE</c:v>
                </c:pt>
                <c:pt idx="343">
                  <c:v>RAMO CONEXÕES</c:v>
                </c:pt>
                <c:pt idx="344">
                  <c:v>RB BENEFICIAMENTOS</c:v>
                </c:pt>
                <c:pt idx="345">
                  <c:v>REAL</c:v>
                </c:pt>
                <c:pt idx="346">
                  <c:v>REDEBRAS</c:v>
                </c:pt>
                <c:pt idx="347">
                  <c:v>RENNA</c:v>
                </c:pt>
                <c:pt idx="348">
                  <c:v>RENNER</c:v>
                </c:pt>
                <c:pt idx="349">
                  <c:v>REVES L'ART</c:v>
                </c:pt>
                <c:pt idx="350">
                  <c:v>REVEST L'ART</c:v>
                </c:pt>
                <c:pt idx="351">
                  <c:v>RISKETA</c:v>
                </c:pt>
                <c:pt idx="352">
                  <c:v>RIVATTI</c:v>
                </c:pt>
                <c:pt idx="353">
                  <c:v>ROBUST</c:v>
                </c:pt>
                <c:pt idx="354">
                  <c:v>ROCA</c:v>
                </c:pt>
                <c:pt idx="355">
                  <c:v>ROMAR</c:v>
                </c:pt>
                <c:pt idx="356">
                  <c:v>RONDOSUL</c:v>
                </c:pt>
                <c:pt idx="357">
                  <c:v>ROWA</c:v>
                </c:pt>
                <c:pt idx="358">
                  <c:v>SALETE</c:v>
                </c:pt>
                <c:pt idx="359">
                  <c:v>SAMSUNG</c:v>
                </c:pt>
                <c:pt idx="360">
                  <c:v>SANDISK</c:v>
                </c:pt>
                <c:pt idx="361">
                  <c:v>SANREMO </c:v>
                </c:pt>
                <c:pt idx="362">
                  <c:v>SANSUNG</c:v>
                </c:pt>
                <c:pt idx="363">
                  <c:v>SANTA LUZIA</c:v>
                </c:pt>
                <c:pt idx="364">
                  <c:v>SANTOS ANDIRÁ</c:v>
                </c:pt>
                <c:pt idx="365">
                  <c:v>SASAZAKI</c:v>
                </c:pt>
                <c:pt idx="366">
                  <c:v>SAYERLACK</c:v>
                </c:pt>
                <c:pt idx="367">
                  <c:v>SCALLINE</c:v>
                </c:pt>
                <c:pt idx="368">
                  <c:v>SCHULZ</c:v>
                </c:pt>
                <c:pt idx="369">
                  <c:v>SEMPRE COLA</c:v>
                </c:pt>
                <c:pt idx="370">
                  <c:v>SHERWIN WILLIAMS </c:v>
                </c:pt>
                <c:pt idx="371">
                  <c:v>SHOPTIME </c:v>
                </c:pt>
                <c:pt idx="372">
                  <c:v>SICAD</c:v>
                </c:pt>
                <c:pt idx="373">
                  <c:v>SIMON</c:v>
                </c:pt>
                <c:pt idx="374">
                  <c:v>SINGER</c:v>
                </c:pt>
                <c:pt idx="375">
                  <c:v>SINTEX</c:v>
                </c:pt>
                <c:pt idx="376">
                  <c:v>SKIL</c:v>
                </c:pt>
                <c:pt idx="377">
                  <c:v>SKY</c:v>
                </c:pt>
                <c:pt idx="378">
                  <c:v>SMS</c:v>
                </c:pt>
                <c:pt idx="379">
                  <c:v>SODRAMAR</c:v>
                </c:pt>
                <c:pt idx="380">
                  <c:v>SOLARIS</c:v>
                </c:pt>
                <c:pt idx="381">
                  <c:v>SONY</c:v>
                </c:pt>
                <c:pt idx="382">
                  <c:v>SOPRANO</c:v>
                </c:pt>
                <c:pt idx="383">
                  <c:v>SOUTH</c:v>
                </c:pt>
                <c:pt idx="384">
                  <c:v>SPARLACK</c:v>
                </c:pt>
                <c:pt idx="385">
                  <c:v>SPRINGER</c:v>
                </c:pt>
                <c:pt idx="386">
                  <c:v>STAM</c:v>
                </c:pt>
                <c:pt idx="387">
                  <c:v>STAMACO</c:v>
                </c:pt>
                <c:pt idx="388">
                  <c:v>STANLEY</c:v>
                </c:pt>
                <c:pt idx="389">
                  <c:v>STAPLES</c:v>
                </c:pt>
                <c:pt idx="390">
                  <c:v>STAR</c:v>
                </c:pt>
                <c:pt idx="391">
                  <c:v>STAY PUFF</c:v>
                </c:pt>
                <c:pt idx="392">
                  <c:v>STIHL</c:v>
                </c:pt>
                <c:pt idx="393">
                  <c:v>STIL</c:v>
                </c:pt>
                <c:pt idx="394">
                  <c:v>SUA CASA SHOP</c:v>
                </c:pt>
                <c:pt idx="395">
                  <c:v>SUCUPIRA</c:v>
                </c:pt>
                <c:pt idx="396">
                  <c:v>SUPER TECH</c:v>
                </c:pt>
                <c:pt idx="397">
                  <c:v>SUVINIL</c:v>
                </c:pt>
                <c:pt idx="398">
                  <c:v>TAIFF</c:v>
                </c:pt>
                <c:pt idx="399">
                  <c:v>TAQI</c:v>
                </c:pt>
                <c:pt idx="400">
                  <c:v>TARKETT</c:v>
                </c:pt>
                <c:pt idx="401">
                  <c:v>TECNOMA</c:v>
                </c:pt>
                <c:pt idx="402">
                  <c:v>TECTOY</c:v>
                </c:pt>
                <c:pt idx="403">
                  <c:v>TEKNA</c:v>
                </c:pt>
                <c:pt idx="404">
                  <c:v>TELHABRAS</c:v>
                </c:pt>
                <c:pt idx="405">
                  <c:v>TEXACO</c:v>
                </c:pt>
                <c:pt idx="406">
                  <c:v>TIGRE</c:v>
                </c:pt>
                <c:pt idx="407">
                  <c:v>TINTAS UNIVERSO</c:v>
                </c:pt>
                <c:pt idx="408">
                  <c:v>TOK E STOK</c:v>
                </c:pt>
                <c:pt idx="409">
                  <c:v>TOP MOVEIS</c:v>
                </c:pt>
                <c:pt idx="410">
                  <c:v>TORALF</c:v>
                </c:pt>
                <c:pt idx="411">
                  <c:v>TOYAMA</c:v>
                </c:pt>
                <c:pt idx="412">
                  <c:v>TRAMONTINA</c:v>
                </c:pt>
                <c:pt idx="413">
                  <c:v>TRAPP</c:v>
                </c:pt>
                <c:pt idx="414">
                  <c:v>TRON</c:v>
                </c:pt>
                <c:pt idx="415">
                  <c:v>TRÓPICO</c:v>
                </c:pt>
                <c:pt idx="416">
                  <c:v>TUDOELETRICA</c:v>
                </c:pt>
                <c:pt idx="417">
                  <c:v>TUDONOVO</c:v>
                </c:pt>
                <c:pt idx="418">
                  <c:v>TUPI</c:v>
                </c:pt>
                <c:pt idx="419">
                  <c:v>TUTTI BABY</c:v>
                </c:pt>
                <c:pt idx="420">
                  <c:v>UMAFLEX</c:v>
                </c:pt>
                <c:pt idx="421">
                  <c:v>UNIVERSAL</c:v>
                </c:pt>
                <c:pt idx="422">
                  <c:v>V8 BRASIL</c:v>
                </c:pt>
                <c:pt idx="423">
                  <c:v>VIA INOX</c:v>
                </c:pt>
                <c:pt idx="424">
                  <c:v>VIDRO REAL</c:v>
                </c:pt>
                <c:pt idx="425">
                  <c:v>VITRINE</c:v>
                </c:pt>
                <c:pt idx="426">
                  <c:v>VONDER</c:v>
                </c:pt>
                <c:pt idx="427">
                  <c:v>VONDER </c:v>
                </c:pt>
                <c:pt idx="428">
                  <c:v>VOTORANTIM</c:v>
                </c:pt>
                <c:pt idx="429">
                  <c:v>VTECH</c:v>
                </c:pt>
                <c:pt idx="430">
                  <c:v>WALMART</c:v>
                </c:pt>
                <c:pt idx="431">
                  <c:v>WALMART </c:v>
                </c:pt>
                <c:pt idx="432">
                  <c:v>WOOD STOK</c:v>
                </c:pt>
                <c:pt idx="433">
                  <c:v>WORK PRO</c:v>
                </c:pt>
                <c:pt idx="434">
                  <c:v>ZANZINI MÓVEIS</c:v>
                </c:pt>
              </c:strCache>
            </c:strRef>
          </c:cat>
          <c:val>
            <c:numRef>
              <c:f>Plan3!$B$7:$B$442</c:f>
              <c:numCache>
                <c:formatCode>General</c:formatCode>
                <c:ptCount val="435"/>
                <c:pt idx="0">
                  <c:v>2797200</c:v>
                </c:pt>
                <c:pt idx="1">
                  <c:v>1.6200000000000003E-2</c:v>
                </c:pt>
                <c:pt idx="2">
                  <c:v>5.3031839999999999</c:v>
                </c:pt>
                <c:pt idx="3">
                  <c:v>0.34799999999999998</c:v>
                </c:pt>
                <c:pt idx="4">
                  <c:v>0.11</c:v>
                </c:pt>
                <c:pt idx="5">
                  <c:v>37.260000000000005</c:v>
                </c:pt>
                <c:pt idx="6">
                  <c:v>0.13707275000000002</c:v>
                </c:pt>
                <c:pt idx="7">
                  <c:v>9.6000000000000002E-2</c:v>
                </c:pt>
                <c:pt idx="8">
                  <c:v>4.4999999999999998E-2</c:v>
                </c:pt>
                <c:pt idx="9">
                  <c:v>3.7341720000000002E-2</c:v>
                </c:pt>
                <c:pt idx="10">
                  <c:v>7.4250000000000007</c:v>
                </c:pt>
                <c:pt idx="11">
                  <c:v>1.1520000000000001E-2</c:v>
                </c:pt>
                <c:pt idx="12">
                  <c:v>3.2965</c:v>
                </c:pt>
                <c:pt idx="13">
                  <c:v>2.9144000000000001</c:v>
                </c:pt>
                <c:pt idx="14">
                  <c:v>60.708960000000005</c:v>
                </c:pt>
                <c:pt idx="15">
                  <c:v>3.78732428</c:v>
                </c:pt>
                <c:pt idx="16">
                  <c:v>3.5968680000000003E-2</c:v>
                </c:pt>
                <c:pt idx="17">
                  <c:v>2828.64</c:v>
                </c:pt>
                <c:pt idx="18">
                  <c:v>13</c:v>
                </c:pt>
                <c:pt idx="19">
                  <c:v>9.7306920000000005E-2</c:v>
                </c:pt>
                <c:pt idx="20">
                  <c:v>0.39798</c:v>
                </c:pt>
                <c:pt idx="21">
                  <c:v>131.36415889999998</c:v>
                </c:pt>
                <c:pt idx="22">
                  <c:v>7.4250000000000007</c:v>
                </c:pt>
                <c:pt idx="23">
                  <c:v>0.53927999999999998</c:v>
                </c:pt>
                <c:pt idx="24">
                  <c:v>219.16077674999994</c:v>
                </c:pt>
                <c:pt idx="25">
                  <c:v>7.4999999999999997E-2</c:v>
                </c:pt>
                <c:pt idx="26">
                  <c:v>8.594061</c:v>
                </c:pt>
                <c:pt idx="27">
                  <c:v>0.4788</c:v>
                </c:pt>
                <c:pt idx="28">
                  <c:v>26.91620752</c:v>
                </c:pt>
                <c:pt idx="29">
                  <c:v>0.31198895999999998</c:v>
                </c:pt>
                <c:pt idx="30">
                  <c:v>5.4000000000000003E-3</c:v>
                </c:pt>
                <c:pt idx="31">
                  <c:v>2E-3</c:v>
                </c:pt>
                <c:pt idx="32">
                  <c:v>2.497824</c:v>
                </c:pt>
                <c:pt idx="33">
                  <c:v>8.4100000000000008E-3</c:v>
                </c:pt>
                <c:pt idx="34">
                  <c:v>0.15</c:v>
                </c:pt>
                <c:pt idx="35">
                  <c:v>24.9954</c:v>
                </c:pt>
                <c:pt idx="36">
                  <c:v>70.823750000000004</c:v>
                </c:pt>
                <c:pt idx="37">
                  <c:v>0.6</c:v>
                </c:pt>
                <c:pt idx="38">
                  <c:v>15.552000000000001</c:v>
                </c:pt>
                <c:pt idx="39">
                  <c:v>5.2479999999999999E-2</c:v>
                </c:pt>
                <c:pt idx="40">
                  <c:v>0.16</c:v>
                </c:pt>
                <c:pt idx="41">
                  <c:v>3.6160351200000003</c:v>
                </c:pt>
                <c:pt idx="42">
                  <c:v>16.068537199999998</c:v>
                </c:pt>
                <c:pt idx="43">
                  <c:v>14.4072</c:v>
                </c:pt>
                <c:pt idx="44">
                  <c:v>109.091475</c:v>
                </c:pt>
                <c:pt idx="45">
                  <c:v>0.25535999999999998</c:v>
                </c:pt>
                <c:pt idx="46">
                  <c:v>16.32</c:v>
                </c:pt>
                <c:pt idx="47">
                  <c:v>529.01987800000006</c:v>
                </c:pt>
                <c:pt idx="48">
                  <c:v>36.903600000000004</c:v>
                </c:pt>
                <c:pt idx="49">
                  <c:v>217.44268</c:v>
                </c:pt>
                <c:pt idx="50">
                  <c:v>6.3881999999999994</c:v>
                </c:pt>
                <c:pt idx="51">
                  <c:v>5813.4375</c:v>
                </c:pt>
                <c:pt idx="52">
                  <c:v>9.9600000000000009</c:v>
                </c:pt>
                <c:pt idx="53">
                  <c:v>72.753257500000004</c:v>
                </c:pt>
                <c:pt idx="54">
                  <c:v>67.900000000000006</c:v>
                </c:pt>
                <c:pt idx="55">
                  <c:v>44.395644100000005</c:v>
                </c:pt>
                <c:pt idx="56">
                  <c:v>34.299999999999997</c:v>
                </c:pt>
                <c:pt idx="57">
                  <c:v>1.44</c:v>
                </c:pt>
                <c:pt idx="58">
                  <c:v>10.528079999999999</c:v>
                </c:pt>
                <c:pt idx="59">
                  <c:v>78.400000000000006</c:v>
                </c:pt>
                <c:pt idx="60">
                  <c:v>1.9758297599999999</c:v>
                </c:pt>
                <c:pt idx="61">
                  <c:v>45</c:v>
                </c:pt>
                <c:pt idx="62">
                  <c:v>10.225000000000001</c:v>
                </c:pt>
                <c:pt idx="63">
                  <c:v>0.40287600000000001</c:v>
                </c:pt>
                <c:pt idx="64">
                  <c:v>43.761266560000003</c:v>
                </c:pt>
                <c:pt idx="65">
                  <c:v>13</c:v>
                </c:pt>
                <c:pt idx="66">
                  <c:v>15.839999999999998</c:v>
                </c:pt>
                <c:pt idx="67">
                  <c:v>48.512304</c:v>
                </c:pt>
                <c:pt idx="68">
                  <c:v>2.6250000000000004</c:v>
                </c:pt>
                <c:pt idx="69">
                  <c:v>3.2767500000000003</c:v>
                </c:pt>
                <c:pt idx="70">
                  <c:v>0.3943488</c:v>
                </c:pt>
                <c:pt idx="71">
                  <c:v>34.4375</c:v>
                </c:pt>
                <c:pt idx="72">
                  <c:v>3.5999999999999999E-3</c:v>
                </c:pt>
                <c:pt idx="73">
                  <c:v>18.48</c:v>
                </c:pt>
                <c:pt idx="74">
                  <c:v>33.082700700000004</c:v>
                </c:pt>
                <c:pt idx="75">
                  <c:v>1.6887000000000001</c:v>
                </c:pt>
                <c:pt idx="76">
                  <c:v>57.433889999999998</c:v>
                </c:pt>
                <c:pt idx="77">
                  <c:v>246.46799999999996</c:v>
                </c:pt>
                <c:pt idx="78">
                  <c:v>30.24</c:v>
                </c:pt>
                <c:pt idx="79">
                  <c:v>4.7374200000000005E-2</c:v>
                </c:pt>
                <c:pt idx="80">
                  <c:v>9.8010000000000002</c:v>
                </c:pt>
                <c:pt idx="81">
                  <c:v>23.378999999999998</c:v>
                </c:pt>
                <c:pt idx="82">
                  <c:v>53.962500000000006</c:v>
                </c:pt>
                <c:pt idx="83">
                  <c:v>0.52110000000000001</c:v>
                </c:pt>
                <c:pt idx="84">
                  <c:v>0.74419199999999996</c:v>
                </c:pt>
                <c:pt idx="85">
                  <c:v>7.0200000000000005</c:v>
                </c:pt>
                <c:pt idx="86">
                  <c:v>2.8799999999999999E-2</c:v>
                </c:pt>
                <c:pt idx="87">
                  <c:v>3.2533981199999992E-2</c:v>
                </c:pt>
                <c:pt idx="88">
                  <c:v>0.04</c:v>
                </c:pt>
                <c:pt idx="89">
                  <c:v>34.064160000000001</c:v>
                </c:pt>
                <c:pt idx="90">
                  <c:v>0.67230000000000001</c:v>
                </c:pt>
                <c:pt idx="91">
                  <c:v>0.84</c:v>
                </c:pt>
                <c:pt idx="92">
                  <c:v>455</c:v>
                </c:pt>
                <c:pt idx="93">
                  <c:v>7.4775875000000003</c:v>
                </c:pt>
                <c:pt idx="94">
                  <c:v>0.504</c:v>
                </c:pt>
                <c:pt idx="95">
                  <c:v>0.13995432499999999</c:v>
                </c:pt>
                <c:pt idx="96">
                  <c:v>1.6200000000000003E-2</c:v>
                </c:pt>
                <c:pt idx="97">
                  <c:v>145.6</c:v>
                </c:pt>
                <c:pt idx="98">
                  <c:v>20.269439999999999</c:v>
                </c:pt>
                <c:pt idx="99">
                  <c:v>378.03156624999997</c:v>
                </c:pt>
                <c:pt idx="100">
                  <c:v>38.324355000000004</c:v>
                </c:pt>
                <c:pt idx="101">
                  <c:v>372.75560000000007</c:v>
                </c:pt>
                <c:pt idx="102">
                  <c:v>2.1337500000000005</c:v>
                </c:pt>
                <c:pt idx="103">
                  <c:v>2.4281099999999998</c:v>
                </c:pt>
                <c:pt idx="104">
                  <c:v>0.2</c:v>
                </c:pt>
                <c:pt idx="105">
                  <c:v>0.14399999999999999</c:v>
                </c:pt>
                <c:pt idx="106">
                  <c:v>0.90749374999999999</c:v>
                </c:pt>
                <c:pt idx="107">
                  <c:v>8.6821875000000007E-2</c:v>
                </c:pt>
                <c:pt idx="108">
                  <c:v>0.12</c:v>
                </c:pt>
                <c:pt idx="109">
                  <c:v>7.4999999999999997E-2</c:v>
                </c:pt>
                <c:pt idx="110">
                  <c:v>2.8223580000000005E-2</c:v>
                </c:pt>
                <c:pt idx="111">
                  <c:v>21.103016</c:v>
                </c:pt>
                <c:pt idx="112">
                  <c:v>2.36436</c:v>
                </c:pt>
                <c:pt idx="113">
                  <c:v>0.74175999999999997</c:v>
                </c:pt>
                <c:pt idx="114">
                  <c:v>14.552999999999999</c:v>
                </c:pt>
                <c:pt idx="115">
                  <c:v>84.843602920000009</c:v>
                </c:pt>
                <c:pt idx="116">
                  <c:v>11</c:v>
                </c:pt>
                <c:pt idx="117">
                  <c:v>16.038</c:v>
                </c:pt>
                <c:pt idx="118">
                  <c:v>7.8090123999999994</c:v>
                </c:pt>
                <c:pt idx="119">
                  <c:v>6.4502600000000001</c:v>
                </c:pt>
                <c:pt idx="120">
                  <c:v>1.3932</c:v>
                </c:pt>
                <c:pt idx="121">
                  <c:v>15.204149999999998</c:v>
                </c:pt>
                <c:pt idx="122">
                  <c:v>201.26909000000001</c:v>
                </c:pt>
                <c:pt idx="123">
                  <c:v>1.2452249999999998</c:v>
                </c:pt>
                <c:pt idx="124">
                  <c:v>7.84</c:v>
                </c:pt>
                <c:pt idx="125">
                  <c:v>5.34375</c:v>
                </c:pt>
                <c:pt idx="126">
                  <c:v>0.96</c:v>
                </c:pt>
                <c:pt idx="127">
                  <c:v>4.4999999999999998E-2</c:v>
                </c:pt>
                <c:pt idx="128">
                  <c:v>3.1320000000000001</c:v>
                </c:pt>
                <c:pt idx="129">
                  <c:v>33.603000000000002</c:v>
                </c:pt>
                <c:pt idx="130">
                  <c:v>1476.5197605360004</c:v>
                </c:pt>
                <c:pt idx="131">
                  <c:v>2.3104</c:v>
                </c:pt>
                <c:pt idx="132">
                  <c:v>68.399999999999991</c:v>
                </c:pt>
                <c:pt idx="133">
                  <c:v>70.870800000000003</c:v>
                </c:pt>
                <c:pt idx="134">
                  <c:v>34.299999999999997</c:v>
                </c:pt>
                <c:pt idx="135">
                  <c:v>89.198999999999998</c:v>
                </c:pt>
                <c:pt idx="136">
                  <c:v>1.9728000000000001</c:v>
                </c:pt>
                <c:pt idx="137">
                  <c:v>1.2149999999999999E-2</c:v>
                </c:pt>
                <c:pt idx="138">
                  <c:v>2.9176284000000003</c:v>
                </c:pt>
                <c:pt idx="139">
                  <c:v>47.519999999999996</c:v>
                </c:pt>
                <c:pt idx="140">
                  <c:v>6.9908299999999999</c:v>
                </c:pt>
                <c:pt idx="141">
                  <c:v>1.1520000000000001E-2</c:v>
                </c:pt>
                <c:pt idx="142">
                  <c:v>0.53200000000000003</c:v>
                </c:pt>
                <c:pt idx="143">
                  <c:v>23.3419028</c:v>
                </c:pt>
                <c:pt idx="144">
                  <c:v>0.12</c:v>
                </c:pt>
                <c:pt idx="145">
                  <c:v>5.7359</c:v>
                </c:pt>
                <c:pt idx="146">
                  <c:v>6.7200000000000006</c:v>
                </c:pt>
                <c:pt idx="147">
                  <c:v>47.225360000000002</c:v>
                </c:pt>
                <c:pt idx="148">
                  <c:v>3611.2640000000001</c:v>
                </c:pt>
                <c:pt idx="149">
                  <c:v>4.7324999999999999</c:v>
                </c:pt>
                <c:pt idx="150">
                  <c:v>510.3</c:v>
                </c:pt>
                <c:pt idx="151">
                  <c:v>26.861900000000006</c:v>
                </c:pt>
                <c:pt idx="152">
                  <c:v>10.574999999999999</c:v>
                </c:pt>
                <c:pt idx="153">
                  <c:v>1.2010600000000002</c:v>
                </c:pt>
                <c:pt idx="154">
                  <c:v>1.65012</c:v>
                </c:pt>
                <c:pt idx="155">
                  <c:v>1.1885400000000001E-3</c:v>
                </c:pt>
                <c:pt idx="156">
                  <c:v>12.46875</c:v>
                </c:pt>
                <c:pt idx="157">
                  <c:v>2.3770800000000002E-3</c:v>
                </c:pt>
                <c:pt idx="158">
                  <c:v>4.8186299999999997</c:v>
                </c:pt>
                <c:pt idx="159">
                  <c:v>0.22499999999999998</c:v>
                </c:pt>
                <c:pt idx="160">
                  <c:v>15.558872000000001</c:v>
                </c:pt>
                <c:pt idx="161">
                  <c:v>1.0944</c:v>
                </c:pt>
                <c:pt idx="162">
                  <c:v>1.9699200000000001</c:v>
                </c:pt>
                <c:pt idx="163">
                  <c:v>0.4788</c:v>
                </c:pt>
                <c:pt idx="164">
                  <c:v>30.76736</c:v>
                </c:pt>
                <c:pt idx="165">
                  <c:v>28.19652</c:v>
                </c:pt>
                <c:pt idx="166">
                  <c:v>5.0646399999999998</c:v>
                </c:pt>
                <c:pt idx="167">
                  <c:v>1103.4399000000001</c:v>
                </c:pt>
                <c:pt idx="168">
                  <c:v>3094.558</c:v>
                </c:pt>
                <c:pt idx="169">
                  <c:v>72</c:v>
                </c:pt>
                <c:pt idx="170">
                  <c:v>13.48875</c:v>
                </c:pt>
                <c:pt idx="171">
                  <c:v>312</c:v>
                </c:pt>
                <c:pt idx="172">
                  <c:v>8.0360000000000001E-2</c:v>
                </c:pt>
                <c:pt idx="173">
                  <c:v>1.7145600000000001</c:v>
                </c:pt>
                <c:pt idx="174">
                  <c:v>0.42749999999999999</c:v>
                </c:pt>
                <c:pt idx="175">
                  <c:v>7.7759999999999998</c:v>
                </c:pt>
                <c:pt idx="176">
                  <c:v>22.400000000000002</c:v>
                </c:pt>
                <c:pt idx="177">
                  <c:v>0.17375000000000002</c:v>
                </c:pt>
                <c:pt idx="178">
                  <c:v>4.2336</c:v>
                </c:pt>
                <c:pt idx="179">
                  <c:v>24.694739999999999</c:v>
                </c:pt>
                <c:pt idx="180">
                  <c:v>2.5450000000000004</c:v>
                </c:pt>
                <c:pt idx="181">
                  <c:v>13.018000000000001</c:v>
                </c:pt>
                <c:pt idx="182">
                  <c:v>50.056904999999993</c:v>
                </c:pt>
                <c:pt idx="183">
                  <c:v>19.626749999999998</c:v>
                </c:pt>
                <c:pt idx="184">
                  <c:v>14.981400000000001</c:v>
                </c:pt>
                <c:pt idx="185">
                  <c:v>0.1008</c:v>
                </c:pt>
                <c:pt idx="186">
                  <c:v>2.8410000000000002</c:v>
                </c:pt>
                <c:pt idx="187">
                  <c:v>97.512</c:v>
                </c:pt>
                <c:pt idx="188">
                  <c:v>523.65475539960005</c:v>
                </c:pt>
                <c:pt idx="189">
                  <c:v>2.664288</c:v>
                </c:pt>
                <c:pt idx="190">
                  <c:v>1392342.064275</c:v>
                </c:pt>
                <c:pt idx="191">
                  <c:v>3.7124999999999998E-2</c:v>
                </c:pt>
                <c:pt idx="192">
                  <c:v>13.313832000000001</c:v>
                </c:pt>
                <c:pt idx="193">
                  <c:v>30.24</c:v>
                </c:pt>
                <c:pt idx="194">
                  <c:v>314.39199999999994</c:v>
                </c:pt>
                <c:pt idx="195">
                  <c:v>7180.6552843749996</c:v>
                </c:pt>
                <c:pt idx="196">
                  <c:v>12.019563999999999</c:v>
                </c:pt>
                <c:pt idx="197">
                  <c:v>8.375</c:v>
                </c:pt>
                <c:pt idx="198">
                  <c:v>30</c:v>
                </c:pt>
                <c:pt idx="199">
                  <c:v>1.3920000000000001</c:v>
                </c:pt>
                <c:pt idx="200">
                  <c:v>16.38</c:v>
                </c:pt>
                <c:pt idx="201">
                  <c:v>7.9312499999999995</c:v>
                </c:pt>
                <c:pt idx="202">
                  <c:v>18.857250000000001</c:v>
                </c:pt>
                <c:pt idx="203">
                  <c:v>22.425359999999998</c:v>
                </c:pt>
                <c:pt idx="204">
                  <c:v>646.60200000000009</c:v>
                </c:pt>
                <c:pt idx="205">
                  <c:v>7.8461999999999996</c:v>
                </c:pt>
                <c:pt idx="206">
                  <c:v>18.691325839999998</c:v>
                </c:pt>
                <c:pt idx="207">
                  <c:v>21.167999999999999</c:v>
                </c:pt>
                <c:pt idx="208">
                  <c:v>434.55</c:v>
                </c:pt>
                <c:pt idx="209">
                  <c:v>14.155000000000001</c:v>
                </c:pt>
                <c:pt idx="210">
                  <c:v>13.79664</c:v>
                </c:pt>
                <c:pt idx="211">
                  <c:v>7.4250000000000007</c:v>
                </c:pt>
                <c:pt idx="212">
                  <c:v>1.65</c:v>
                </c:pt>
                <c:pt idx="213">
                  <c:v>84.13900000000001</c:v>
                </c:pt>
                <c:pt idx="214">
                  <c:v>23.578962500000003</c:v>
                </c:pt>
                <c:pt idx="215">
                  <c:v>1.9008000000000001E-2</c:v>
                </c:pt>
                <c:pt idx="216">
                  <c:v>70.039999999999992</c:v>
                </c:pt>
                <c:pt idx="217">
                  <c:v>1.7740568000000001</c:v>
                </c:pt>
                <c:pt idx="218">
                  <c:v>3.5971440000000001</c:v>
                </c:pt>
                <c:pt idx="219">
                  <c:v>5.8006500000000001</c:v>
                </c:pt>
                <c:pt idx="220">
                  <c:v>0.97200000000000031</c:v>
                </c:pt>
                <c:pt idx="221">
                  <c:v>3</c:v>
                </c:pt>
                <c:pt idx="222">
                  <c:v>1.0240000000000003E-2</c:v>
                </c:pt>
                <c:pt idx="223">
                  <c:v>5.3999999999999995</c:v>
                </c:pt>
                <c:pt idx="224">
                  <c:v>2.4299999999999997</c:v>
                </c:pt>
                <c:pt idx="225">
                  <c:v>78</c:v>
                </c:pt>
                <c:pt idx="226">
                  <c:v>30.24</c:v>
                </c:pt>
                <c:pt idx="227">
                  <c:v>0.25</c:v>
                </c:pt>
                <c:pt idx="228">
                  <c:v>6.3179999999999996</c:v>
                </c:pt>
                <c:pt idx="229">
                  <c:v>7.000000000000001E-4</c:v>
                </c:pt>
                <c:pt idx="230">
                  <c:v>18.654300000000003</c:v>
                </c:pt>
                <c:pt idx="231">
                  <c:v>0.21599999999999997</c:v>
                </c:pt>
                <c:pt idx="232">
                  <c:v>266.63556</c:v>
                </c:pt>
                <c:pt idx="233">
                  <c:v>13.5</c:v>
                </c:pt>
                <c:pt idx="234">
                  <c:v>50.49</c:v>
                </c:pt>
                <c:pt idx="235">
                  <c:v>3.4608E-3</c:v>
                </c:pt>
                <c:pt idx="236">
                  <c:v>19.615919999999999</c:v>
                </c:pt>
                <c:pt idx="237">
                  <c:v>50.616</c:v>
                </c:pt>
                <c:pt idx="238">
                  <c:v>5.12</c:v>
                </c:pt>
                <c:pt idx="239">
                  <c:v>1.2800000000000001E-2</c:v>
                </c:pt>
                <c:pt idx="240">
                  <c:v>217.17000000000002</c:v>
                </c:pt>
                <c:pt idx="241">
                  <c:v>14550.354000000001</c:v>
                </c:pt>
                <c:pt idx="242">
                  <c:v>5.4405000000000001</c:v>
                </c:pt>
                <c:pt idx="243">
                  <c:v>111.15073014000002</c:v>
                </c:pt>
                <c:pt idx="244">
                  <c:v>1.5526842175999997</c:v>
                </c:pt>
                <c:pt idx="245">
                  <c:v>106.66656</c:v>
                </c:pt>
                <c:pt idx="246">
                  <c:v>3.2400000000000005E-2</c:v>
                </c:pt>
                <c:pt idx="247">
                  <c:v>29.441279999999999</c:v>
                </c:pt>
                <c:pt idx="248">
                  <c:v>331.584</c:v>
                </c:pt>
                <c:pt idx="249">
                  <c:v>19.123199999999997</c:v>
                </c:pt>
                <c:pt idx="250">
                  <c:v>106.12</c:v>
                </c:pt>
                <c:pt idx="251">
                  <c:v>74.917895433600023</c:v>
                </c:pt>
                <c:pt idx="252">
                  <c:v>30.24</c:v>
                </c:pt>
                <c:pt idx="253">
                  <c:v>62.309500000000007</c:v>
                </c:pt>
                <c:pt idx="254">
                  <c:v>63.759174000000002</c:v>
                </c:pt>
                <c:pt idx="255">
                  <c:v>2.2481999999999998</c:v>
                </c:pt>
                <c:pt idx="256">
                  <c:v>0.96599999999999997</c:v>
                </c:pt>
                <c:pt idx="257">
                  <c:v>66.547030000000007</c:v>
                </c:pt>
                <c:pt idx="258">
                  <c:v>2.16</c:v>
                </c:pt>
                <c:pt idx="259">
                  <c:v>76.500355000000013</c:v>
                </c:pt>
                <c:pt idx="260">
                  <c:v>1.26464</c:v>
                </c:pt>
                <c:pt idx="261">
                  <c:v>60.708960000000005</c:v>
                </c:pt>
                <c:pt idx="262">
                  <c:v>1.85436</c:v>
                </c:pt>
                <c:pt idx="263">
                  <c:v>101.66903000000001</c:v>
                </c:pt>
                <c:pt idx="264">
                  <c:v>0.89672400000000008</c:v>
                </c:pt>
                <c:pt idx="265">
                  <c:v>14.595649999999999</c:v>
                </c:pt>
                <c:pt idx="266">
                  <c:v>28.08</c:v>
                </c:pt>
                <c:pt idx="267">
                  <c:v>169320.70976999999</c:v>
                </c:pt>
                <c:pt idx="268">
                  <c:v>0.24825000000000003</c:v>
                </c:pt>
                <c:pt idx="269">
                  <c:v>5025.9458999999997</c:v>
                </c:pt>
                <c:pt idx="270">
                  <c:v>13.1028</c:v>
                </c:pt>
                <c:pt idx="271">
                  <c:v>2.4187500000000001E-2</c:v>
                </c:pt>
                <c:pt idx="272">
                  <c:v>0.82499999999999996</c:v>
                </c:pt>
                <c:pt idx="273">
                  <c:v>87.552000000000007</c:v>
                </c:pt>
                <c:pt idx="274">
                  <c:v>4.5678920000000005E-2</c:v>
                </c:pt>
                <c:pt idx="275">
                  <c:v>6.2899200000000004</c:v>
                </c:pt>
                <c:pt idx="276">
                  <c:v>0.36480000000000001</c:v>
                </c:pt>
                <c:pt idx="277">
                  <c:v>10.799999999999999</c:v>
                </c:pt>
                <c:pt idx="278">
                  <c:v>5499.731952000001</c:v>
                </c:pt>
                <c:pt idx="279">
                  <c:v>58.399399999999993</c:v>
                </c:pt>
                <c:pt idx="280">
                  <c:v>10.5</c:v>
                </c:pt>
                <c:pt idx="281">
                  <c:v>30.24</c:v>
                </c:pt>
                <c:pt idx="282">
                  <c:v>168.58064000000002</c:v>
                </c:pt>
                <c:pt idx="283">
                  <c:v>515.86660080000001</c:v>
                </c:pt>
                <c:pt idx="284">
                  <c:v>1.450431</c:v>
                </c:pt>
                <c:pt idx="285">
                  <c:v>8.6099999999999996E-2</c:v>
                </c:pt>
                <c:pt idx="286">
                  <c:v>63.90079999999999</c:v>
                </c:pt>
                <c:pt idx="287">
                  <c:v>216</c:v>
                </c:pt>
                <c:pt idx="288">
                  <c:v>663.59061499999996</c:v>
                </c:pt>
                <c:pt idx="289">
                  <c:v>1.9948396799999999</c:v>
                </c:pt>
                <c:pt idx="290">
                  <c:v>1.35</c:v>
                </c:pt>
                <c:pt idx="291">
                  <c:v>1.9468799999999999</c:v>
                </c:pt>
                <c:pt idx="292">
                  <c:v>6.5620800000000008</c:v>
                </c:pt>
                <c:pt idx="293">
                  <c:v>20603.236101881601</c:v>
                </c:pt>
                <c:pt idx="294">
                  <c:v>19.089300000000001</c:v>
                </c:pt>
                <c:pt idx="295">
                  <c:v>8317.1913450000011</c:v>
                </c:pt>
                <c:pt idx="296">
                  <c:v>0.82499999999999996</c:v>
                </c:pt>
                <c:pt idx="297">
                  <c:v>30.288240000000002</c:v>
                </c:pt>
                <c:pt idx="298">
                  <c:v>34.299999999999997</c:v>
                </c:pt>
                <c:pt idx="299">
                  <c:v>2.5987499999999999</c:v>
                </c:pt>
                <c:pt idx="300">
                  <c:v>7.83675E-3</c:v>
                </c:pt>
                <c:pt idx="301">
                  <c:v>15.600000000000001</c:v>
                </c:pt>
                <c:pt idx="302">
                  <c:v>65.7072</c:v>
                </c:pt>
                <c:pt idx="303">
                  <c:v>9.5676000000000005</c:v>
                </c:pt>
                <c:pt idx="304">
                  <c:v>10.4</c:v>
                </c:pt>
                <c:pt idx="305">
                  <c:v>5.8080000000000006E-5</c:v>
                </c:pt>
                <c:pt idx="306">
                  <c:v>3.7799999999999994</c:v>
                </c:pt>
                <c:pt idx="307">
                  <c:v>13</c:v>
                </c:pt>
                <c:pt idx="308">
                  <c:v>179.54485600000001</c:v>
                </c:pt>
                <c:pt idx="309">
                  <c:v>0.18</c:v>
                </c:pt>
                <c:pt idx="310">
                  <c:v>270.85536000000002</c:v>
                </c:pt>
                <c:pt idx="311">
                  <c:v>4.3140000000000009</c:v>
                </c:pt>
                <c:pt idx="312">
                  <c:v>0.1368</c:v>
                </c:pt>
                <c:pt idx="313">
                  <c:v>1.8250500000000001</c:v>
                </c:pt>
                <c:pt idx="314">
                  <c:v>13.86</c:v>
                </c:pt>
                <c:pt idx="315">
                  <c:v>6.615E-2</c:v>
                </c:pt>
                <c:pt idx="316">
                  <c:v>3.9599999999999995</c:v>
                </c:pt>
                <c:pt idx="317">
                  <c:v>133.28</c:v>
                </c:pt>
                <c:pt idx="318">
                  <c:v>39.953760000000003</c:v>
                </c:pt>
                <c:pt idx="319">
                  <c:v>2.0250000000000001E-2</c:v>
                </c:pt>
                <c:pt idx="320">
                  <c:v>54.326700328800001</c:v>
                </c:pt>
                <c:pt idx="321">
                  <c:v>0.72</c:v>
                </c:pt>
                <c:pt idx="322">
                  <c:v>175.73500239999998</c:v>
                </c:pt>
                <c:pt idx="323">
                  <c:v>23.273699344000004</c:v>
                </c:pt>
                <c:pt idx="324">
                  <c:v>24.449879688000003</c:v>
                </c:pt>
                <c:pt idx="325">
                  <c:v>166.50000000000003</c:v>
                </c:pt>
                <c:pt idx="326">
                  <c:v>10.811400000000001</c:v>
                </c:pt>
                <c:pt idx="327">
                  <c:v>3.6479999999999997</c:v>
                </c:pt>
                <c:pt idx="328">
                  <c:v>10</c:v>
                </c:pt>
                <c:pt idx="329">
                  <c:v>49.438892656000007</c:v>
                </c:pt>
                <c:pt idx="330">
                  <c:v>18.225000000000001</c:v>
                </c:pt>
                <c:pt idx="331">
                  <c:v>36.6</c:v>
                </c:pt>
                <c:pt idx="332">
                  <c:v>6.93E-2</c:v>
                </c:pt>
                <c:pt idx="333">
                  <c:v>4.9982500000000006E-2</c:v>
                </c:pt>
                <c:pt idx="334">
                  <c:v>11.176920000000001</c:v>
                </c:pt>
                <c:pt idx="335">
                  <c:v>0.44424999999999998</c:v>
                </c:pt>
                <c:pt idx="336">
                  <c:v>4.4999999999999998E-2</c:v>
                </c:pt>
                <c:pt idx="337">
                  <c:v>0.58055999999999996</c:v>
                </c:pt>
                <c:pt idx="338">
                  <c:v>1.8749999999999999E-2</c:v>
                </c:pt>
                <c:pt idx="339">
                  <c:v>116.61015354</c:v>
                </c:pt>
                <c:pt idx="340">
                  <c:v>39.373125000000002</c:v>
                </c:pt>
                <c:pt idx="341">
                  <c:v>78</c:v>
                </c:pt>
                <c:pt idx="342">
                  <c:v>278.32994999999994</c:v>
                </c:pt>
                <c:pt idx="343">
                  <c:v>15</c:v>
                </c:pt>
                <c:pt idx="344">
                  <c:v>62.51400000000001</c:v>
                </c:pt>
                <c:pt idx="345">
                  <c:v>46.656000000000006</c:v>
                </c:pt>
                <c:pt idx="346">
                  <c:v>112.86000000000004</c:v>
                </c:pt>
                <c:pt idx="347">
                  <c:v>113.35010000000001</c:v>
                </c:pt>
                <c:pt idx="348">
                  <c:v>173.2912</c:v>
                </c:pt>
                <c:pt idx="349">
                  <c:v>2.0706576000000001</c:v>
                </c:pt>
                <c:pt idx="350">
                  <c:v>1.9060799999999998</c:v>
                </c:pt>
                <c:pt idx="351">
                  <c:v>5.64</c:v>
                </c:pt>
                <c:pt idx="352">
                  <c:v>109.44731999999999</c:v>
                </c:pt>
                <c:pt idx="353">
                  <c:v>37.513199999999998</c:v>
                </c:pt>
                <c:pt idx="354">
                  <c:v>30.915000000000003</c:v>
                </c:pt>
                <c:pt idx="355">
                  <c:v>0.50625000000000009</c:v>
                </c:pt>
                <c:pt idx="356">
                  <c:v>11.424000000000001</c:v>
                </c:pt>
                <c:pt idx="357">
                  <c:v>15</c:v>
                </c:pt>
                <c:pt idx="358">
                  <c:v>16.128</c:v>
                </c:pt>
                <c:pt idx="359">
                  <c:v>413.69406479999998</c:v>
                </c:pt>
                <c:pt idx="360">
                  <c:v>163.09</c:v>
                </c:pt>
                <c:pt idx="361">
                  <c:v>0.11703419000000001</c:v>
                </c:pt>
                <c:pt idx="362">
                  <c:v>5.0552681299999991</c:v>
                </c:pt>
                <c:pt idx="363">
                  <c:v>0.126</c:v>
                </c:pt>
                <c:pt idx="364">
                  <c:v>39.721499999999999</c:v>
                </c:pt>
                <c:pt idx="365">
                  <c:v>223.85999999999996</c:v>
                </c:pt>
                <c:pt idx="366">
                  <c:v>39.535200000000003</c:v>
                </c:pt>
                <c:pt idx="367">
                  <c:v>185.625</c:v>
                </c:pt>
                <c:pt idx="368">
                  <c:v>42.831600000000002</c:v>
                </c:pt>
                <c:pt idx="369">
                  <c:v>78</c:v>
                </c:pt>
                <c:pt idx="370">
                  <c:v>26.3568</c:v>
                </c:pt>
                <c:pt idx="371">
                  <c:v>2E-3</c:v>
                </c:pt>
                <c:pt idx="372">
                  <c:v>159.237765</c:v>
                </c:pt>
                <c:pt idx="373">
                  <c:v>3.2615759999999998</c:v>
                </c:pt>
                <c:pt idx="374">
                  <c:v>1.2000000000000001E-3</c:v>
                </c:pt>
                <c:pt idx="375">
                  <c:v>0.17099999999999999</c:v>
                </c:pt>
                <c:pt idx="376">
                  <c:v>38.110115</c:v>
                </c:pt>
                <c:pt idx="377">
                  <c:v>8.9999999999999993E-3</c:v>
                </c:pt>
                <c:pt idx="378">
                  <c:v>10487.28</c:v>
                </c:pt>
                <c:pt idx="379">
                  <c:v>0.77999999999999992</c:v>
                </c:pt>
                <c:pt idx="380">
                  <c:v>7.5087999999999999</c:v>
                </c:pt>
                <c:pt idx="381">
                  <c:v>0.40666775476</c:v>
                </c:pt>
                <c:pt idx="382">
                  <c:v>3.9599999999999995</c:v>
                </c:pt>
                <c:pt idx="383">
                  <c:v>2.2267800000000002</c:v>
                </c:pt>
                <c:pt idx="384">
                  <c:v>26.3568</c:v>
                </c:pt>
                <c:pt idx="385">
                  <c:v>234</c:v>
                </c:pt>
                <c:pt idx="386">
                  <c:v>7.4250000000000007</c:v>
                </c:pt>
                <c:pt idx="387">
                  <c:v>1.3119999999999998</c:v>
                </c:pt>
                <c:pt idx="388">
                  <c:v>1.5</c:v>
                </c:pt>
                <c:pt idx="389">
                  <c:v>38.220000000000006</c:v>
                </c:pt>
                <c:pt idx="390">
                  <c:v>19.9206</c:v>
                </c:pt>
                <c:pt idx="391">
                  <c:v>17.7316</c:v>
                </c:pt>
                <c:pt idx="392">
                  <c:v>101.80200000000002</c:v>
                </c:pt>
                <c:pt idx="393">
                  <c:v>90.75</c:v>
                </c:pt>
                <c:pt idx="394">
                  <c:v>32</c:v>
                </c:pt>
                <c:pt idx="395">
                  <c:v>133</c:v>
                </c:pt>
                <c:pt idx="396">
                  <c:v>1.128375E-2</c:v>
                </c:pt>
                <c:pt idx="397">
                  <c:v>369.20600000000013</c:v>
                </c:pt>
                <c:pt idx="398">
                  <c:v>9.5471999999999984</c:v>
                </c:pt>
                <c:pt idx="399">
                  <c:v>1149.4307520000002</c:v>
                </c:pt>
                <c:pt idx="400">
                  <c:v>1.3679999999999999</c:v>
                </c:pt>
                <c:pt idx="401">
                  <c:v>135.16800000000001</c:v>
                </c:pt>
                <c:pt idx="402">
                  <c:v>1.428E-3</c:v>
                </c:pt>
                <c:pt idx="403">
                  <c:v>20.587266</c:v>
                </c:pt>
                <c:pt idx="404">
                  <c:v>15.719949999999999</c:v>
                </c:pt>
                <c:pt idx="405">
                  <c:v>4.3200000000000001E-3</c:v>
                </c:pt>
                <c:pt idx="406">
                  <c:v>343.58803249999994</c:v>
                </c:pt>
                <c:pt idx="407">
                  <c:v>6.5891999999999999</c:v>
                </c:pt>
                <c:pt idx="408">
                  <c:v>25</c:v>
                </c:pt>
                <c:pt idx="409">
                  <c:v>16.0854</c:v>
                </c:pt>
                <c:pt idx="410">
                  <c:v>1.9200000000000002E-2</c:v>
                </c:pt>
                <c:pt idx="411">
                  <c:v>134.24195699999999</c:v>
                </c:pt>
                <c:pt idx="412">
                  <c:v>2217.9329894750003</c:v>
                </c:pt>
                <c:pt idx="413">
                  <c:v>39.593264750000003</c:v>
                </c:pt>
                <c:pt idx="414">
                  <c:v>123.75</c:v>
                </c:pt>
                <c:pt idx="415">
                  <c:v>78.400000000000006</c:v>
                </c:pt>
                <c:pt idx="416">
                  <c:v>8.5615500000000004</c:v>
                </c:pt>
                <c:pt idx="417">
                  <c:v>2.5920000000000001</c:v>
                </c:pt>
                <c:pt idx="418">
                  <c:v>78</c:v>
                </c:pt>
                <c:pt idx="419">
                  <c:v>7.0955999999999992</c:v>
                </c:pt>
                <c:pt idx="420">
                  <c:v>58.06944</c:v>
                </c:pt>
                <c:pt idx="421">
                  <c:v>1.65</c:v>
                </c:pt>
                <c:pt idx="422">
                  <c:v>3.5999999999999996</c:v>
                </c:pt>
                <c:pt idx="423">
                  <c:v>0.81920000000000004</c:v>
                </c:pt>
                <c:pt idx="424">
                  <c:v>1.7954999999999999E-2</c:v>
                </c:pt>
                <c:pt idx="425">
                  <c:v>1.5271999999999999</c:v>
                </c:pt>
                <c:pt idx="426">
                  <c:v>5.04E-2</c:v>
                </c:pt>
                <c:pt idx="427">
                  <c:v>6.8771499999999999E-2</c:v>
                </c:pt>
                <c:pt idx="428">
                  <c:v>156</c:v>
                </c:pt>
                <c:pt idx="429">
                  <c:v>1.2287999999999999</c:v>
                </c:pt>
                <c:pt idx="430">
                  <c:v>1.8325020000000003</c:v>
                </c:pt>
                <c:pt idx="431">
                  <c:v>3.3508799999999998E-2</c:v>
                </c:pt>
                <c:pt idx="432">
                  <c:v>198.24992</c:v>
                </c:pt>
                <c:pt idx="433">
                  <c:v>70.701687750000005</c:v>
                </c:pt>
                <c:pt idx="434">
                  <c:v>17.193568350000003</c:v>
                </c:pt>
              </c:numCache>
            </c:numRef>
          </c:val>
        </c:ser>
        <c:ser>
          <c:idx val="1"/>
          <c:order val="1"/>
          <c:tx>
            <c:strRef>
              <c:f>Plan3!$C$6</c:f>
              <c:strCache>
                <c:ptCount val="1"/>
                <c:pt idx="0">
                  <c:v>Soma de VALOR MENSAL DE VENDA</c:v>
                </c:pt>
              </c:strCache>
            </c:strRef>
          </c:tx>
          <c:invertIfNegative val="0"/>
          <c:cat>
            <c:strRef>
              <c:f>Plan3!$A$7:$A$442</c:f>
              <c:strCache>
                <c:ptCount val="435"/>
                <c:pt idx="1">
                  <c:v> CRYSTAL GLASS</c:v>
                </c:pt>
                <c:pt idx="2">
                  <c:v> KAPPESBERG</c:v>
                </c:pt>
                <c:pt idx="3">
                  <c:v>ABOUT HOME</c:v>
                </c:pt>
                <c:pt idx="4">
                  <c:v>ACHULZ</c:v>
                </c:pt>
                <c:pt idx="5">
                  <c:v>AÇODESIGN</c:v>
                </c:pt>
                <c:pt idx="6">
                  <c:v>AÇOTERRA</c:v>
                </c:pt>
                <c:pt idx="7">
                  <c:v>ADANS</c:v>
                </c:pt>
                <c:pt idx="8">
                  <c:v>ADERE</c:v>
                </c:pt>
                <c:pt idx="9">
                  <c:v>ALCATELL</c:v>
                </c:pt>
                <c:pt idx="10">
                  <c:v>ALIANÇA</c:v>
                </c:pt>
                <c:pt idx="11">
                  <c:v>ALIEXPRESS</c:v>
                </c:pt>
                <c:pt idx="12">
                  <c:v>AMANCO</c:v>
                </c:pt>
                <c:pt idx="13">
                  <c:v>AMERICANAS </c:v>
                </c:pt>
                <c:pt idx="14">
                  <c:v>AMERICANFLEX</c:v>
                </c:pt>
                <c:pt idx="15">
                  <c:v>AOC</c:v>
                </c:pt>
                <c:pt idx="16">
                  <c:v>APPLE</c:v>
                </c:pt>
                <c:pt idx="17">
                  <c:v>AQUALIMP</c:v>
                </c:pt>
                <c:pt idx="18">
                  <c:v>AQUAPLUV</c:v>
                </c:pt>
                <c:pt idx="19">
                  <c:v>AQUÁRIO</c:v>
                </c:pt>
                <c:pt idx="20">
                  <c:v>ARKE</c:v>
                </c:pt>
                <c:pt idx="21">
                  <c:v>ARNO</c:v>
                </c:pt>
                <c:pt idx="22">
                  <c:v>AROUCA</c:v>
                </c:pt>
                <c:pt idx="23">
                  <c:v>ART MOSAICOS </c:v>
                </c:pt>
                <c:pt idx="24">
                  <c:v>ARTELY</c:v>
                </c:pt>
                <c:pt idx="25">
                  <c:v>ARTICULÁVEL</c:v>
                </c:pt>
                <c:pt idx="26">
                  <c:v>ARTINMÓVEIS</c:v>
                </c:pt>
                <c:pt idx="27">
                  <c:v>ASPEN</c:v>
                </c:pt>
                <c:pt idx="28">
                  <c:v>ASTRA</c:v>
                </c:pt>
                <c:pt idx="29">
                  <c:v>ASUS</c:v>
                </c:pt>
                <c:pt idx="30">
                  <c:v>B&amp;W</c:v>
                </c:pt>
                <c:pt idx="31">
                  <c:v>BAZAR HORIZONTE</c:v>
                </c:pt>
                <c:pt idx="32">
                  <c:v>BETILI</c:v>
                </c:pt>
                <c:pt idx="33">
                  <c:v>BETTANIN</c:v>
                </c:pt>
                <c:pt idx="34">
                  <c:v>BIANCO</c:v>
                </c:pt>
                <c:pt idx="35">
                  <c:v>BLACK &amp; DECKER </c:v>
                </c:pt>
                <c:pt idx="36">
                  <c:v>BLACK E DECKER</c:v>
                </c:pt>
                <c:pt idx="37">
                  <c:v>BLACK E DECKER</c:v>
                </c:pt>
                <c:pt idx="38">
                  <c:v>BLACK&amp;DECKER</c:v>
                </c:pt>
                <c:pt idx="39">
                  <c:v>BOCH</c:v>
                </c:pt>
                <c:pt idx="40">
                  <c:v>BOM CORTE</c:v>
                </c:pt>
                <c:pt idx="41">
                  <c:v>BOM JARDIM</c:v>
                </c:pt>
                <c:pt idx="42">
                  <c:v>BOSCH</c:v>
                </c:pt>
                <c:pt idx="43">
                  <c:v>BR MOTORS</c:v>
                </c:pt>
                <c:pt idx="44">
                  <c:v>BRANCO</c:v>
                </c:pt>
                <c:pt idx="45">
                  <c:v>BRASGROUP</c:v>
                </c:pt>
                <c:pt idx="46">
                  <c:v>BRASNORTE</c:v>
                </c:pt>
                <c:pt idx="47">
                  <c:v>BRASTEMP</c:v>
                </c:pt>
                <c:pt idx="48">
                  <c:v>BRASUTIL</c:v>
                </c:pt>
                <c:pt idx="49">
                  <c:v>BRAVO</c:v>
                </c:pt>
                <c:pt idx="50">
                  <c:v>BRIDGESTONE</c:v>
                </c:pt>
                <c:pt idx="51">
                  <c:v>BRIGHT</c:v>
                </c:pt>
                <c:pt idx="52">
                  <c:v>BRINOX</c:v>
                </c:pt>
                <c:pt idx="53">
                  <c:v>BRITANIA</c:v>
                </c:pt>
                <c:pt idx="54">
                  <c:v>BRITÂNIA</c:v>
                </c:pt>
                <c:pt idx="55">
                  <c:v>BRV</c:v>
                </c:pt>
                <c:pt idx="56">
                  <c:v>BUFFALO</c:v>
                </c:pt>
                <c:pt idx="57">
                  <c:v>BULL TERRIER</c:v>
                </c:pt>
                <c:pt idx="58">
                  <c:v>BURIGOTTO</c:v>
                </c:pt>
                <c:pt idx="59">
                  <c:v>BURNI</c:v>
                </c:pt>
                <c:pt idx="60">
                  <c:v>BUTZKE</c:v>
                </c:pt>
                <c:pt idx="61">
                  <c:v>C E C CASA E CONSTRUÇÃO</c:v>
                </c:pt>
                <c:pt idx="62">
                  <c:v>C&amp;C</c:v>
                </c:pt>
                <c:pt idx="63">
                  <c:v>CABREUVA</c:v>
                </c:pt>
                <c:pt idx="64">
                  <c:v>CADENCE</c:v>
                </c:pt>
                <c:pt idx="65">
                  <c:v>CALHA FORTE</c:v>
                </c:pt>
                <c:pt idx="66">
                  <c:v>CAMPO DE OFERTAS </c:v>
                </c:pt>
                <c:pt idx="67">
                  <c:v>CAPRI</c:v>
                </c:pt>
                <c:pt idx="68">
                  <c:v>CARAMBELLA</c:v>
                </c:pt>
                <c:pt idx="69">
                  <c:v>CARDAL</c:v>
                </c:pt>
                <c:pt idx="70">
                  <c:v>CARVALHO</c:v>
                </c:pt>
                <c:pt idx="71">
                  <c:v>CASA DAS FERRAMENTAS </c:v>
                </c:pt>
                <c:pt idx="72">
                  <c:v>CASA DO JARDIM</c:v>
                </c:pt>
                <c:pt idx="73">
                  <c:v>CASA DO SERRALHEIRO</c:v>
                </c:pt>
                <c:pt idx="74">
                  <c:v>CASAS BAHIA</c:v>
                </c:pt>
                <c:pt idx="75">
                  <c:v>CASASHOW</c:v>
                </c:pt>
                <c:pt idx="76">
                  <c:v>CASATEMA</c:v>
                </c:pt>
                <c:pt idx="77">
                  <c:v>CASTOR </c:v>
                </c:pt>
                <c:pt idx="78">
                  <c:v>CASTROL</c:v>
                </c:pt>
                <c:pt idx="79">
                  <c:v>CCE</c:v>
                </c:pt>
                <c:pt idx="80">
                  <c:v>CECAFI</c:v>
                </c:pt>
                <c:pt idx="81">
                  <c:v>CECRISA</c:v>
                </c:pt>
                <c:pt idx="82">
                  <c:v>CELITE</c:v>
                </c:pt>
                <c:pt idx="83">
                  <c:v>CENSI</c:v>
                </c:pt>
                <c:pt idx="84">
                  <c:v>CEUSA</c:v>
                </c:pt>
                <c:pt idx="85">
                  <c:v>CIADOMÓVEL</c:v>
                </c:pt>
                <c:pt idx="86">
                  <c:v>CIBERPLAST ELO</c:v>
                </c:pt>
                <c:pt idx="87">
                  <c:v>CIGAME</c:v>
                </c:pt>
                <c:pt idx="88">
                  <c:v>CLABER</c:v>
                </c:pt>
                <c:pt idx="89">
                  <c:v>CLASIC HOME</c:v>
                </c:pt>
                <c:pt idx="90">
                  <c:v>CLASSIC HOME</c:v>
                </c:pt>
                <c:pt idx="91">
                  <c:v>CLIPPER</c:v>
                </c:pt>
                <c:pt idx="92">
                  <c:v>CMS</c:v>
                </c:pt>
                <c:pt idx="93">
                  <c:v>COBRECOM</c:v>
                </c:pt>
                <c:pt idx="94">
                  <c:v>COFER</c:v>
                </c:pt>
                <c:pt idx="95">
                  <c:v>COLORMIX</c:v>
                </c:pt>
                <c:pt idx="96">
                  <c:v>COLORTIL</c:v>
                </c:pt>
                <c:pt idx="97">
                  <c:v>COMFEE</c:v>
                </c:pt>
                <c:pt idx="98">
                  <c:v>CONFORT</c:v>
                </c:pt>
                <c:pt idx="99">
                  <c:v>CONSUL</c:v>
                </c:pt>
                <c:pt idx="100">
                  <c:v>CONTINENTAL</c:v>
                </c:pt>
                <c:pt idx="101">
                  <c:v>CORAL</c:v>
                </c:pt>
                <c:pt idx="102">
                  <c:v>CORONA</c:v>
                </c:pt>
                <c:pt idx="103">
                  <c:v>COSCO</c:v>
                </c:pt>
                <c:pt idx="104">
                  <c:v>COSTA NAVARRO</c:v>
                </c:pt>
                <c:pt idx="105">
                  <c:v>COTTAGE</c:v>
                </c:pt>
                <c:pt idx="106">
                  <c:v>COZIMAX</c:v>
                </c:pt>
                <c:pt idx="107">
                  <c:v>CRISTAL GLASS</c:v>
                </c:pt>
                <c:pt idx="108">
                  <c:v>CROMADO</c:v>
                </c:pt>
                <c:pt idx="109">
                  <c:v>CROMOTERÁPIA</c:v>
                </c:pt>
                <c:pt idx="110">
                  <c:v>CROMUS</c:v>
                </c:pt>
                <c:pt idx="111">
                  <c:v>CRUZADO</c:v>
                </c:pt>
                <c:pt idx="112">
                  <c:v>DAF</c:v>
                </c:pt>
                <c:pt idx="113">
                  <c:v>DAKAR</c:v>
                </c:pt>
                <c:pt idx="114">
                  <c:v>DALLA COSTA</c:v>
                </c:pt>
                <c:pt idx="115">
                  <c:v>DECA</c:v>
                </c:pt>
                <c:pt idx="116">
                  <c:v>DECOR ASSENTOS</c:v>
                </c:pt>
                <c:pt idx="117">
                  <c:v>DECORELLE</c:v>
                </c:pt>
                <c:pt idx="118">
                  <c:v>DELL</c:v>
                </c:pt>
                <c:pt idx="119">
                  <c:v>DEWALT</c:v>
                </c:pt>
                <c:pt idx="120">
                  <c:v>DISNEY</c:v>
                </c:pt>
                <c:pt idx="121">
                  <c:v>D'ITÁLIA</c:v>
                </c:pt>
                <c:pt idx="122">
                  <c:v>DIVANI</c:v>
                </c:pt>
                <c:pt idx="123">
                  <c:v>DOCOL</c:v>
                </c:pt>
                <c:pt idx="124">
                  <c:v>DOURADO</c:v>
                </c:pt>
                <c:pt idx="125">
                  <c:v>DTOOLS</c:v>
                </c:pt>
                <c:pt idx="126">
                  <c:v>DUPLEX</c:v>
                </c:pt>
                <c:pt idx="127">
                  <c:v>DUTRA</c:v>
                </c:pt>
                <c:pt idx="128">
                  <c:v>ECCO</c:v>
                </c:pt>
                <c:pt idx="129">
                  <c:v>EINHELL</c:v>
                </c:pt>
                <c:pt idx="130">
                  <c:v>ELECTROLUX</c:v>
                </c:pt>
                <c:pt idx="131">
                  <c:v>ELECTROVIDRO</c:v>
                </c:pt>
                <c:pt idx="132">
                  <c:v>ELETRO FORT</c:v>
                </c:pt>
                <c:pt idx="133">
                  <c:v>ELETROLUX</c:v>
                </c:pt>
                <c:pt idx="134">
                  <c:v>ELETROPLAS</c:v>
                </c:pt>
                <c:pt idx="135">
                  <c:v>ELIANE</c:v>
                </c:pt>
                <c:pt idx="136">
                  <c:v>ELLA</c:v>
                </c:pt>
                <c:pt idx="137">
                  <c:v>EMBRAMACO</c:v>
                </c:pt>
                <c:pt idx="138">
                  <c:v>EPSON</c:v>
                </c:pt>
                <c:pt idx="139">
                  <c:v>ESQUADRIAS MOLOSSI</c:v>
                </c:pt>
                <c:pt idx="140">
                  <c:v>ESTEVES</c:v>
                </c:pt>
                <c:pt idx="141">
                  <c:v>ETERNIR</c:v>
                </c:pt>
                <c:pt idx="142">
                  <c:v>EUCASOFT</c:v>
                </c:pt>
                <c:pt idx="143">
                  <c:v>EUCATEX</c:v>
                </c:pt>
                <c:pt idx="144">
                  <c:v>EXPAMBOX</c:v>
                </c:pt>
                <c:pt idx="145">
                  <c:v>FABRIMAR</c:v>
                </c:pt>
                <c:pt idx="146">
                  <c:v>FABRIPAL</c:v>
                </c:pt>
                <c:pt idx="147">
                  <c:v>FAMASTIL</c:v>
                </c:pt>
                <c:pt idx="148">
                  <c:v>FAMASTIL TAURUS</c:v>
                </c:pt>
                <c:pt idx="149">
                  <c:v>FAME</c:v>
                </c:pt>
                <c:pt idx="150">
                  <c:v>FARMIASTIL</c:v>
                </c:pt>
                <c:pt idx="151">
                  <c:v>FATI FERRAMENTAS</c:v>
                </c:pt>
                <c:pt idx="152">
                  <c:v>FEBRAPA</c:v>
                </c:pt>
                <c:pt idx="153">
                  <c:v>FELAP</c:v>
                </c:pt>
                <c:pt idx="154">
                  <c:v>FÊNIX</c:v>
                </c:pt>
                <c:pt idx="155">
                  <c:v>FERAGEM SÃO JOSÉ</c:v>
                </c:pt>
                <c:pt idx="156">
                  <c:v>FERLUVAS</c:v>
                </c:pt>
                <c:pt idx="157">
                  <c:v>FERRAGEM SÃO JOSÉ</c:v>
                </c:pt>
                <c:pt idx="158">
                  <c:v>FERRARI</c:v>
                </c:pt>
                <c:pt idx="159">
                  <c:v>FIBRAMAR</c:v>
                </c:pt>
                <c:pt idx="160">
                  <c:v>FIBRAPISO</c:v>
                </c:pt>
                <c:pt idx="161">
                  <c:v>FIBRAPISO NOGUEIRA</c:v>
                </c:pt>
                <c:pt idx="162">
                  <c:v>FIBRAPISO </c:v>
                </c:pt>
                <c:pt idx="163">
                  <c:v>FIBRAPISO NOGUEIRA</c:v>
                </c:pt>
                <c:pt idx="164">
                  <c:v>FICSHER</c:v>
                </c:pt>
                <c:pt idx="165">
                  <c:v>FIORANO</c:v>
                </c:pt>
                <c:pt idx="166">
                  <c:v>FIRESTONE</c:v>
                </c:pt>
                <c:pt idx="167">
                  <c:v>FORCE LINE</c:v>
                </c:pt>
                <c:pt idx="168">
                  <c:v>FORD</c:v>
                </c:pt>
                <c:pt idx="169">
                  <c:v>FOREST GARDEN</c:v>
                </c:pt>
                <c:pt idx="170">
                  <c:v>FORMIGRES</c:v>
                </c:pt>
                <c:pt idx="171">
                  <c:v>FORTALEZA</c:v>
                </c:pt>
                <c:pt idx="172">
                  <c:v>FORTE DEI MARMI</c:v>
                </c:pt>
                <c:pt idx="173">
                  <c:v>FORTLEV</c:v>
                </c:pt>
                <c:pt idx="174">
                  <c:v>FORUSI</c:v>
                </c:pt>
                <c:pt idx="175">
                  <c:v>FRANKE</c:v>
                </c:pt>
                <c:pt idx="176">
                  <c:v>FREEWAY</c:v>
                </c:pt>
                <c:pt idx="177">
                  <c:v>FRIBRAMAR</c:v>
                </c:pt>
                <c:pt idx="178">
                  <c:v>FUCK</c:v>
                </c:pt>
                <c:pt idx="179">
                  <c:v>FUJIFILM</c:v>
                </c:pt>
                <c:pt idx="180">
                  <c:v>FUROSI</c:v>
                </c:pt>
                <c:pt idx="181">
                  <c:v>FUSOPAR</c:v>
                </c:pt>
                <c:pt idx="182">
                  <c:v>GALZERANO</c:v>
                </c:pt>
                <c:pt idx="183">
                  <c:v>GAMMA</c:v>
                </c:pt>
                <c:pt idx="184">
                  <c:v>GAMMASULAMERICANA</c:v>
                </c:pt>
                <c:pt idx="185">
                  <c:v>GARMIM</c:v>
                </c:pt>
                <c:pt idx="186">
                  <c:v>GARTHEN</c:v>
                </c:pt>
                <c:pt idx="187">
                  <c:v>GAZIN</c:v>
                </c:pt>
                <c:pt idx="188">
                  <c:v>GERDAU</c:v>
                </c:pt>
                <c:pt idx="189">
                  <c:v>GREEN</c:v>
                </c:pt>
                <c:pt idx="190">
                  <c:v>GRINGER</c:v>
                </c:pt>
                <c:pt idx="191">
                  <c:v>GTRES</c:v>
                </c:pt>
                <c:pt idx="192">
                  <c:v>HAVANA</c:v>
                </c:pt>
                <c:pt idx="193">
                  <c:v>HELIX</c:v>
                </c:pt>
                <c:pt idx="194">
                  <c:v>HELLEN</c:v>
                </c:pt>
                <c:pt idx="195">
                  <c:v>HENN</c:v>
                </c:pt>
                <c:pt idx="196">
                  <c:v>HERC</c:v>
                </c:pt>
                <c:pt idx="197">
                  <c:v>HERO3</c:v>
                </c:pt>
                <c:pt idx="198">
                  <c:v>HIDROGERAIS</c:v>
                </c:pt>
                <c:pt idx="199">
                  <c:v>HIGRA</c:v>
                </c:pt>
                <c:pt idx="200">
                  <c:v>HIKARI</c:v>
                </c:pt>
                <c:pt idx="201">
                  <c:v>HITACHI</c:v>
                </c:pt>
                <c:pt idx="202">
                  <c:v>HONDA</c:v>
                </c:pt>
                <c:pt idx="203">
                  <c:v>HOOBY</c:v>
                </c:pt>
                <c:pt idx="204">
                  <c:v>HORBACH</c:v>
                </c:pt>
                <c:pt idx="205">
                  <c:v>HOUSTON</c:v>
                </c:pt>
                <c:pt idx="206">
                  <c:v>HP</c:v>
                </c:pt>
                <c:pt idx="207">
                  <c:v>HUMMER</c:v>
                </c:pt>
                <c:pt idx="208">
                  <c:v>HUSQVARNA</c:v>
                </c:pt>
                <c:pt idx="209">
                  <c:v>ICASA</c:v>
                </c:pt>
                <c:pt idx="210">
                  <c:v>IDEALLE</c:v>
                </c:pt>
                <c:pt idx="211">
                  <c:v>IMAB</c:v>
                </c:pt>
                <c:pt idx="212">
                  <c:v>INCA</c:v>
                </c:pt>
                <c:pt idx="213">
                  <c:v>INCEFRA</c:v>
                </c:pt>
                <c:pt idx="214">
                  <c:v>INCEPA</c:v>
                </c:pt>
                <c:pt idx="215">
                  <c:v>INCEPA </c:v>
                </c:pt>
                <c:pt idx="216">
                  <c:v>INSUL</c:v>
                </c:pt>
                <c:pt idx="217">
                  <c:v>INTELBRAS</c:v>
                </c:pt>
                <c:pt idx="218">
                  <c:v>INTER LINK</c:v>
                </c:pt>
                <c:pt idx="219">
                  <c:v>INTERNA</c:v>
                </c:pt>
                <c:pt idx="220">
                  <c:v>IPABRAC</c:v>
                </c:pt>
                <c:pt idx="221">
                  <c:v>IRIEL</c:v>
                </c:pt>
                <c:pt idx="222">
                  <c:v>IRMÃO ABAGE</c:v>
                </c:pt>
                <c:pt idx="223">
                  <c:v>IRWIN</c:v>
                </c:pt>
                <c:pt idx="224">
                  <c:v>ITAGRES</c:v>
                </c:pt>
                <c:pt idx="225">
                  <c:v>ITAMBÉ</c:v>
                </c:pt>
                <c:pt idx="226">
                  <c:v>ITARO</c:v>
                </c:pt>
                <c:pt idx="227">
                  <c:v>JACKWAL</c:v>
                </c:pt>
                <c:pt idx="228">
                  <c:v>JAGUAR</c:v>
                </c:pt>
                <c:pt idx="229">
                  <c:v>JATOBÁ</c:v>
                </c:pt>
                <c:pt idx="230">
                  <c:v>JVC</c:v>
                </c:pt>
                <c:pt idx="231">
                  <c:v>KALIPSO</c:v>
                </c:pt>
                <c:pt idx="232">
                  <c:v>KAPPESBERG</c:v>
                </c:pt>
                <c:pt idx="233">
                  <c:v>KARCHER</c:v>
                </c:pt>
                <c:pt idx="234">
                  <c:v>KAWASHIMA</c:v>
                </c:pt>
                <c:pt idx="235">
                  <c:v>KEO</c:v>
                </c:pt>
                <c:pt idx="236">
                  <c:v>KETER</c:v>
                </c:pt>
                <c:pt idx="237">
                  <c:v>KING TONY</c:v>
                </c:pt>
                <c:pt idx="238">
                  <c:v>KOMECO</c:v>
                </c:pt>
                <c:pt idx="239">
                  <c:v>KRONA</c:v>
                </c:pt>
                <c:pt idx="240">
                  <c:v>LAVRALE</c:v>
                </c:pt>
                <c:pt idx="241">
                  <c:v>LEADERSHIP</c:v>
                </c:pt>
                <c:pt idx="242">
                  <c:v>LENOX</c:v>
                </c:pt>
                <c:pt idx="243">
                  <c:v>LEROY MERLIN</c:v>
                </c:pt>
                <c:pt idx="244">
                  <c:v>LG</c:v>
                </c:pt>
                <c:pt idx="245">
                  <c:v>LIBELL</c:v>
                </c:pt>
                <c:pt idx="246">
                  <c:v>LINEART</c:v>
                </c:pt>
                <c:pt idx="247">
                  <c:v>LINKS</c:v>
                </c:pt>
                <c:pt idx="248">
                  <c:v>LINO FORTE</c:v>
                </c:pt>
                <c:pt idx="249">
                  <c:v>LOGASA</c:v>
                </c:pt>
                <c:pt idx="250">
                  <c:v>LOJA DO MECANICO </c:v>
                </c:pt>
                <c:pt idx="251">
                  <c:v>LORENZETTI</c:v>
                </c:pt>
                <c:pt idx="252">
                  <c:v>LUBRAX</c:v>
                </c:pt>
                <c:pt idx="253">
                  <c:v>LUME</c:v>
                </c:pt>
                <c:pt idx="254">
                  <c:v>MADETEC</c:v>
                </c:pt>
                <c:pt idx="255">
                  <c:v>MAGAZINE</c:v>
                </c:pt>
                <c:pt idx="256">
                  <c:v>MAGAZINE E LUIZA</c:v>
                </c:pt>
                <c:pt idx="257">
                  <c:v>MAGAZINE LUIZA</c:v>
                </c:pt>
                <c:pt idx="258">
                  <c:v>MAJOPAR</c:v>
                </c:pt>
                <c:pt idx="259">
                  <c:v>MAKITA</c:v>
                </c:pt>
                <c:pt idx="260">
                  <c:v>MAKSIWA</c:v>
                </c:pt>
                <c:pt idx="261">
                  <c:v>MANNES</c:v>
                </c:pt>
                <c:pt idx="262">
                  <c:v>MARCKERIC</c:v>
                </c:pt>
                <c:pt idx="263">
                  <c:v>MARISTELA</c:v>
                </c:pt>
                <c:pt idx="264">
                  <c:v>MARTINS </c:v>
                </c:pt>
                <c:pt idx="265">
                  <c:v>MAX CABOS</c:v>
                </c:pt>
                <c:pt idx="266">
                  <c:v>MAXIM AR</c:v>
                </c:pt>
                <c:pt idx="267">
                  <c:v>MAXPRINT</c:v>
                </c:pt>
                <c:pt idx="268">
                  <c:v>MEBER</c:v>
                </c:pt>
                <c:pt idx="269">
                  <c:v>MEGA FORTH</c:v>
                </c:pt>
                <c:pt idx="270">
                  <c:v>MENEGOTTI</c:v>
                </c:pt>
                <c:pt idx="271">
                  <c:v>METABO</c:v>
                </c:pt>
                <c:pt idx="272">
                  <c:v>METALMATRIX</c:v>
                </c:pt>
                <c:pt idx="273">
                  <c:v>METALMAX</c:v>
                </c:pt>
                <c:pt idx="274">
                  <c:v>METASUL</c:v>
                </c:pt>
                <c:pt idx="275">
                  <c:v>METHA</c:v>
                </c:pt>
                <c:pt idx="276">
                  <c:v>MF RURAL</c:v>
                </c:pt>
                <c:pt idx="277">
                  <c:v>MICHELIN</c:v>
                </c:pt>
                <c:pt idx="278">
                  <c:v>MICROSOFT</c:v>
                </c:pt>
                <c:pt idx="279">
                  <c:v>MILENIO MÓVEIS</c:v>
                </c:pt>
                <c:pt idx="280">
                  <c:v>MMM MEU MÓVEL DE MADEIRA</c:v>
                </c:pt>
                <c:pt idx="281">
                  <c:v>MOBIL</c:v>
                </c:pt>
                <c:pt idx="282">
                  <c:v>MONDIAL</c:v>
                </c:pt>
                <c:pt idx="283">
                  <c:v>MOR</c:v>
                </c:pt>
                <c:pt idx="284">
                  <c:v>MOR </c:v>
                </c:pt>
                <c:pt idx="285">
                  <c:v>MOREDO</c:v>
                </c:pt>
                <c:pt idx="286">
                  <c:v>MORLAN</c:v>
                </c:pt>
                <c:pt idx="287">
                  <c:v>MOTA</c:v>
                </c:pt>
                <c:pt idx="288">
                  <c:v>MOTOMIL</c:v>
                </c:pt>
                <c:pt idx="289">
                  <c:v>MOTOROLA</c:v>
                </c:pt>
                <c:pt idx="290">
                  <c:v>MOURA</c:v>
                </c:pt>
                <c:pt idx="291">
                  <c:v>MÓVEIS K1</c:v>
                </c:pt>
                <c:pt idx="292">
                  <c:v>MUELLER</c:v>
                </c:pt>
                <c:pt idx="293">
                  <c:v>MULTILASER</c:v>
                </c:pt>
                <c:pt idx="294">
                  <c:v>MULTIMOVEIS</c:v>
                </c:pt>
                <c:pt idx="295">
                  <c:v>MULTIMÓVEIS</c:v>
                </c:pt>
                <c:pt idx="296">
                  <c:v>MULTIUSO</c:v>
                </c:pt>
                <c:pt idx="297">
                  <c:v>MULTIVISÃO</c:v>
                </c:pt>
                <c:pt idx="298">
                  <c:v>NAGANO</c:v>
                </c:pt>
                <c:pt idx="299">
                  <c:v>NANIA</c:v>
                </c:pt>
                <c:pt idx="300">
                  <c:v>NAUTICA</c:v>
                </c:pt>
                <c:pt idx="301">
                  <c:v>NAUTIKA</c:v>
                </c:pt>
                <c:pt idx="302">
                  <c:v>NEWUP</c:v>
                </c:pt>
                <c:pt idx="303">
                  <c:v>NIKON</c:v>
                </c:pt>
                <c:pt idx="304">
                  <c:v>NKS</c:v>
                </c:pt>
                <c:pt idx="305">
                  <c:v>NOKIA</c:v>
                </c:pt>
                <c:pt idx="306">
                  <c:v>NOVA</c:v>
                </c:pt>
                <c:pt idx="307">
                  <c:v>ODEM</c:v>
                </c:pt>
                <c:pt idx="308">
                  <c:v>ORB</c:v>
                </c:pt>
                <c:pt idx="309">
                  <c:v>OREGON</c:v>
                </c:pt>
                <c:pt idx="310">
                  <c:v>ORTOBOM</c:v>
                </c:pt>
                <c:pt idx="311">
                  <c:v>OSRAM</c:v>
                </c:pt>
                <c:pt idx="312">
                  <c:v>OUTLET CRYSTAL GREY</c:v>
                </c:pt>
                <c:pt idx="313">
                  <c:v>PADRE BENTO</c:v>
                </c:pt>
                <c:pt idx="314">
                  <c:v>PANASONIC</c:v>
                </c:pt>
                <c:pt idx="315">
                  <c:v>PANE </c:v>
                </c:pt>
                <c:pt idx="316">
                  <c:v>PAPAIZ</c:v>
                </c:pt>
                <c:pt idx="317">
                  <c:v>PARABONI</c:v>
                </c:pt>
                <c:pt idx="318">
                  <c:v>PAROPAS</c:v>
                </c:pt>
                <c:pt idx="319">
                  <c:v>PASTILHART</c:v>
                </c:pt>
                <c:pt idx="320">
                  <c:v>PELMEX</c:v>
                </c:pt>
                <c:pt idx="321">
                  <c:v>PERAME</c:v>
                </c:pt>
                <c:pt idx="322">
                  <c:v>PHILCO</c:v>
                </c:pt>
                <c:pt idx="323">
                  <c:v>PHILIPS</c:v>
                </c:pt>
                <c:pt idx="324">
                  <c:v>PIRELLI</c:v>
                </c:pt>
                <c:pt idx="325">
                  <c:v>PLASBIL</c:v>
                </c:pt>
                <c:pt idx="326">
                  <c:v>PLASBIL REVESTIMENTOS</c:v>
                </c:pt>
                <c:pt idx="327">
                  <c:v>PLASTIFIBRA</c:v>
                </c:pt>
                <c:pt idx="328">
                  <c:v>PLENA</c:v>
                </c:pt>
                <c:pt idx="329">
                  <c:v>POLITORNO</c:v>
                </c:pt>
                <c:pt idx="330">
                  <c:v>POLITORNO MÓVEIS</c:v>
                </c:pt>
                <c:pt idx="331">
                  <c:v>PONTO LAVABO</c:v>
                </c:pt>
                <c:pt idx="332">
                  <c:v>PORTINARI</c:v>
                </c:pt>
                <c:pt idx="333">
                  <c:v>PORTO FERREIRA</c:v>
                </c:pt>
                <c:pt idx="334">
                  <c:v>PORTOBELLO</c:v>
                </c:pt>
                <c:pt idx="335">
                  <c:v>PORTOBELLO </c:v>
                </c:pt>
                <c:pt idx="336">
                  <c:v>POWER MAX</c:v>
                </c:pt>
                <c:pt idx="337">
                  <c:v>PROGÁS</c:v>
                </c:pt>
                <c:pt idx="338">
                  <c:v>PULVITEC</c:v>
                </c:pt>
                <c:pt idx="339">
                  <c:v>PURA MAGIA</c:v>
                </c:pt>
                <c:pt idx="340">
                  <c:v>QUADRI LTDA</c:v>
                </c:pt>
                <c:pt idx="341">
                  <c:v>QUARTZOLIT</c:v>
                </c:pt>
                <c:pt idx="342">
                  <c:v>R CASAGRANDE</c:v>
                </c:pt>
                <c:pt idx="343">
                  <c:v>RAMO CONEXÕES</c:v>
                </c:pt>
                <c:pt idx="344">
                  <c:v>RB BENEFICIAMENTOS</c:v>
                </c:pt>
                <c:pt idx="345">
                  <c:v>REAL</c:v>
                </c:pt>
                <c:pt idx="346">
                  <c:v>REDEBRAS</c:v>
                </c:pt>
                <c:pt idx="347">
                  <c:v>RENNA</c:v>
                </c:pt>
                <c:pt idx="348">
                  <c:v>RENNER</c:v>
                </c:pt>
                <c:pt idx="349">
                  <c:v>REVES L'ART</c:v>
                </c:pt>
                <c:pt idx="350">
                  <c:v>REVEST L'ART</c:v>
                </c:pt>
                <c:pt idx="351">
                  <c:v>RISKETA</c:v>
                </c:pt>
                <c:pt idx="352">
                  <c:v>RIVATTI</c:v>
                </c:pt>
                <c:pt idx="353">
                  <c:v>ROBUST</c:v>
                </c:pt>
                <c:pt idx="354">
                  <c:v>ROCA</c:v>
                </c:pt>
                <c:pt idx="355">
                  <c:v>ROMAR</c:v>
                </c:pt>
                <c:pt idx="356">
                  <c:v>RONDOSUL</c:v>
                </c:pt>
                <c:pt idx="357">
                  <c:v>ROWA</c:v>
                </c:pt>
                <c:pt idx="358">
                  <c:v>SALETE</c:v>
                </c:pt>
                <c:pt idx="359">
                  <c:v>SAMSUNG</c:v>
                </c:pt>
                <c:pt idx="360">
                  <c:v>SANDISK</c:v>
                </c:pt>
                <c:pt idx="361">
                  <c:v>SANREMO </c:v>
                </c:pt>
                <c:pt idx="362">
                  <c:v>SANSUNG</c:v>
                </c:pt>
                <c:pt idx="363">
                  <c:v>SANTA LUZIA</c:v>
                </c:pt>
                <c:pt idx="364">
                  <c:v>SANTOS ANDIRÁ</c:v>
                </c:pt>
                <c:pt idx="365">
                  <c:v>SASAZAKI</c:v>
                </c:pt>
                <c:pt idx="366">
                  <c:v>SAYERLACK</c:v>
                </c:pt>
                <c:pt idx="367">
                  <c:v>SCALLINE</c:v>
                </c:pt>
                <c:pt idx="368">
                  <c:v>SCHULZ</c:v>
                </c:pt>
                <c:pt idx="369">
                  <c:v>SEMPRE COLA</c:v>
                </c:pt>
                <c:pt idx="370">
                  <c:v>SHERWIN WILLIAMS </c:v>
                </c:pt>
                <c:pt idx="371">
                  <c:v>SHOPTIME </c:v>
                </c:pt>
                <c:pt idx="372">
                  <c:v>SICAD</c:v>
                </c:pt>
                <c:pt idx="373">
                  <c:v>SIMON</c:v>
                </c:pt>
                <c:pt idx="374">
                  <c:v>SINGER</c:v>
                </c:pt>
                <c:pt idx="375">
                  <c:v>SINTEX</c:v>
                </c:pt>
                <c:pt idx="376">
                  <c:v>SKIL</c:v>
                </c:pt>
                <c:pt idx="377">
                  <c:v>SKY</c:v>
                </c:pt>
                <c:pt idx="378">
                  <c:v>SMS</c:v>
                </c:pt>
                <c:pt idx="379">
                  <c:v>SODRAMAR</c:v>
                </c:pt>
                <c:pt idx="380">
                  <c:v>SOLARIS</c:v>
                </c:pt>
                <c:pt idx="381">
                  <c:v>SONY</c:v>
                </c:pt>
                <c:pt idx="382">
                  <c:v>SOPRANO</c:v>
                </c:pt>
                <c:pt idx="383">
                  <c:v>SOUTH</c:v>
                </c:pt>
                <c:pt idx="384">
                  <c:v>SPARLACK</c:v>
                </c:pt>
                <c:pt idx="385">
                  <c:v>SPRINGER</c:v>
                </c:pt>
                <c:pt idx="386">
                  <c:v>STAM</c:v>
                </c:pt>
                <c:pt idx="387">
                  <c:v>STAMACO</c:v>
                </c:pt>
                <c:pt idx="388">
                  <c:v>STANLEY</c:v>
                </c:pt>
                <c:pt idx="389">
                  <c:v>STAPLES</c:v>
                </c:pt>
                <c:pt idx="390">
                  <c:v>STAR</c:v>
                </c:pt>
                <c:pt idx="391">
                  <c:v>STAY PUFF</c:v>
                </c:pt>
                <c:pt idx="392">
                  <c:v>STIHL</c:v>
                </c:pt>
                <c:pt idx="393">
                  <c:v>STIL</c:v>
                </c:pt>
                <c:pt idx="394">
                  <c:v>SUA CASA SHOP</c:v>
                </c:pt>
                <c:pt idx="395">
                  <c:v>SUCUPIRA</c:v>
                </c:pt>
                <c:pt idx="396">
                  <c:v>SUPER TECH</c:v>
                </c:pt>
                <c:pt idx="397">
                  <c:v>SUVINIL</c:v>
                </c:pt>
                <c:pt idx="398">
                  <c:v>TAIFF</c:v>
                </c:pt>
                <c:pt idx="399">
                  <c:v>TAQI</c:v>
                </c:pt>
                <c:pt idx="400">
                  <c:v>TARKETT</c:v>
                </c:pt>
                <c:pt idx="401">
                  <c:v>TECNOMA</c:v>
                </c:pt>
                <c:pt idx="402">
                  <c:v>TECTOY</c:v>
                </c:pt>
                <c:pt idx="403">
                  <c:v>TEKNA</c:v>
                </c:pt>
                <c:pt idx="404">
                  <c:v>TELHABRAS</c:v>
                </c:pt>
                <c:pt idx="405">
                  <c:v>TEXACO</c:v>
                </c:pt>
                <c:pt idx="406">
                  <c:v>TIGRE</c:v>
                </c:pt>
                <c:pt idx="407">
                  <c:v>TINTAS UNIVERSO</c:v>
                </c:pt>
                <c:pt idx="408">
                  <c:v>TOK E STOK</c:v>
                </c:pt>
                <c:pt idx="409">
                  <c:v>TOP MOVEIS</c:v>
                </c:pt>
                <c:pt idx="410">
                  <c:v>TORALF</c:v>
                </c:pt>
                <c:pt idx="411">
                  <c:v>TOYAMA</c:v>
                </c:pt>
                <c:pt idx="412">
                  <c:v>TRAMONTINA</c:v>
                </c:pt>
                <c:pt idx="413">
                  <c:v>TRAPP</c:v>
                </c:pt>
                <c:pt idx="414">
                  <c:v>TRON</c:v>
                </c:pt>
                <c:pt idx="415">
                  <c:v>TRÓPICO</c:v>
                </c:pt>
                <c:pt idx="416">
                  <c:v>TUDOELETRICA</c:v>
                </c:pt>
                <c:pt idx="417">
                  <c:v>TUDONOVO</c:v>
                </c:pt>
                <c:pt idx="418">
                  <c:v>TUPI</c:v>
                </c:pt>
                <c:pt idx="419">
                  <c:v>TUTTI BABY</c:v>
                </c:pt>
                <c:pt idx="420">
                  <c:v>UMAFLEX</c:v>
                </c:pt>
                <c:pt idx="421">
                  <c:v>UNIVERSAL</c:v>
                </c:pt>
                <c:pt idx="422">
                  <c:v>V8 BRASIL</c:v>
                </c:pt>
                <c:pt idx="423">
                  <c:v>VIA INOX</c:v>
                </c:pt>
                <c:pt idx="424">
                  <c:v>VIDRO REAL</c:v>
                </c:pt>
                <c:pt idx="425">
                  <c:v>VITRINE</c:v>
                </c:pt>
                <c:pt idx="426">
                  <c:v>VONDER</c:v>
                </c:pt>
                <c:pt idx="427">
                  <c:v>VONDER </c:v>
                </c:pt>
                <c:pt idx="428">
                  <c:v>VOTORANTIM</c:v>
                </c:pt>
                <c:pt idx="429">
                  <c:v>VTECH</c:v>
                </c:pt>
                <c:pt idx="430">
                  <c:v>WALMART</c:v>
                </c:pt>
                <c:pt idx="431">
                  <c:v>WALMART </c:v>
                </c:pt>
                <c:pt idx="432">
                  <c:v>WOOD STOK</c:v>
                </c:pt>
                <c:pt idx="433">
                  <c:v>WORK PRO</c:v>
                </c:pt>
                <c:pt idx="434">
                  <c:v>ZANZINI MÓVEIS</c:v>
                </c:pt>
              </c:strCache>
            </c:strRef>
          </c:cat>
          <c:val>
            <c:numRef>
              <c:f>Plan3!$C$7:$C$442</c:f>
              <c:numCache>
                <c:formatCode>_-[$R$-416]\ * #,##0.00_-;\-[$R$-416]\ * #,##0.00_-;_-[$R$-416]\ * "-"??_-;_-@_-</c:formatCode>
                <c:ptCount val="435"/>
                <c:pt idx="0">
                  <c:v>116838.00000000001</c:v>
                </c:pt>
                <c:pt idx="1">
                  <c:v>584.54999999999995</c:v>
                </c:pt>
                <c:pt idx="2">
                  <c:v>2231.3999999999996</c:v>
                </c:pt>
                <c:pt idx="3">
                  <c:v>1957</c:v>
                </c:pt>
                <c:pt idx="4">
                  <c:v>27632</c:v>
                </c:pt>
                <c:pt idx="5">
                  <c:v>50595.4</c:v>
                </c:pt>
                <c:pt idx="6">
                  <c:v>5834</c:v>
                </c:pt>
                <c:pt idx="7">
                  <c:v>104.8</c:v>
                </c:pt>
                <c:pt idx="8">
                  <c:v>285</c:v>
                </c:pt>
                <c:pt idx="9">
                  <c:v>369000</c:v>
                </c:pt>
                <c:pt idx="10">
                  <c:v>275000</c:v>
                </c:pt>
                <c:pt idx="11">
                  <c:v>1852.8</c:v>
                </c:pt>
                <c:pt idx="12">
                  <c:v>3306905</c:v>
                </c:pt>
                <c:pt idx="13">
                  <c:v>99817.500000000015</c:v>
                </c:pt>
                <c:pt idx="14">
                  <c:v>58410</c:v>
                </c:pt>
                <c:pt idx="15">
                  <c:v>76778.600000000006</c:v>
                </c:pt>
                <c:pt idx="16">
                  <c:v>780000</c:v>
                </c:pt>
                <c:pt idx="17">
                  <c:v>1454525</c:v>
                </c:pt>
                <c:pt idx="18">
                  <c:v>4.2762720000000005</c:v>
                </c:pt>
                <c:pt idx="19">
                  <c:v>140</c:v>
                </c:pt>
                <c:pt idx="20">
                  <c:v>1767</c:v>
                </c:pt>
                <c:pt idx="21">
                  <c:v>556711.35499999998</c:v>
                </c:pt>
                <c:pt idx="22">
                  <c:v>209000</c:v>
                </c:pt>
                <c:pt idx="23">
                  <c:v>2974</c:v>
                </c:pt>
                <c:pt idx="24">
                  <c:v>101804.92000000001</c:v>
                </c:pt>
                <c:pt idx="25">
                  <c:v>21450</c:v>
                </c:pt>
                <c:pt idx="26">
                  <c:v>2848.5</c:v>
                </c:pt>
                <c:pt idx="27">
                  <c:v>21736</c:v>
                </c:pt>
                <c:pt idx="28">
                  <c:v>15749.5</c:v>
                </c:pt>
                <c:pt idx="29">
                  <c:v>127500</c:v>
                </c:pt>
                <c:pt idx="30">
                  <c:v>570.15</c:v>
                </c:pt>
                <c:pt idx="31">
                  <c:v>83.6</c:v>
                </c:pt>
                <c:pt idx="32">
                  <c:v>3592</c:v>
                </c:pt>
                <c:pt idx="33">
                  <c:v>28</c:v>
                </c:pt>
                <c:pt idx="34">
                  <c:v>8012.5</c:v>
                </c:pt>
                <c:pt idx="35">
                  <c:v>397625</c:v>
                </c:pt>
                <c:pt idx="36">
                  <c:v>473030</c:v>
                </c:pt>
                <c:pt idx="37">
                  <c:v>16450</c:v>
                </c:pt>
                <c:pt idx="38">
                  <c:v>188182.8</c:v>
                </c:pt>
                <c:pt idx="39">
                  <c:v>141.60000000000002</c:v>
                </c:pt>
                <c:pt idx="40">
                  <c:v>747.2</c:v>
                </c:pt>
                <c:pt idx="41">
                  <c:v>4747.0000000000018</c:v>
                </c:pt>
                <c:pt idx="42">
                  <c:v>448554.5</c:v>
                </c:pt>
                <c:pt idx="43">
                  <c:v>239940</c:v>
                </c:pt>
                <c:pt idx="44">
                  <c:v>486473.58</c:v>
                </c:pt>
                <c:pt idx="45">
                  <c:v>7751.9999999999991</c:v>
                </c:pt>
                <c:pt idx="46">
                  <c:v>68720</c:v>
                </c:pt>
                <c:pt idx="47">
                  <c:v>1736503.5</c:v>
                </c:pt>
                <c:pt idx="48">
                  <c:v>14280</c:v>
                </c:pt>
                <c:pt idx="49">
                  <c:v>2957710</c:v>
                </c:pt>
                <c:pt idx="50">
                  <c:v>14400</c:v>
                </c:pt>
                <c:pt idx="51">
                  <c:v>39000</c:v>
                </c:pt>
                <c:pt idx="52">
                  <c:v>2587</c:v>
                </c:pt>
                <c:pt idx="53">
                  <c:v>171985</c:v>
                </c:pt>
                <c:pt idx="54">
                  <c:v>62865.725000000006</c:v>
                </c:pt>
                <c:pt idx="55">
                  <c:v>22360</c:v>
                </c:pt>
                <c:pt idx="56">
                  <c:v>70000</c:v>
                </c:pt>
                <c:pt idx="57">
                  <c:v>4993.6000000000004</c:v>
                </c:pt>
                <c:pt idx="58">
                  <c:v>18058.5</c:v>
                </c:pt>
                <c:pt idx="59">
                  <c:v>87571.25</c:v>
                </c:pt>
                <c:pt idx="60">
                  <c:v>23670</c:v>
                </c:pt>
                <c:pt idx="61">
                  <c:v>245548.10170487949</c:v>
                </c:pt>
                <c:pt idx="62">
                  <c:v>152065</c:v>
                </c:pt>
                <c:pt idx="63">
                  <c:v>68400</c:v>
                </c:pt>
                <c:pt idx="64">
                  <c:v>1566006</c:v>
                </c:pt>
                <c:pt idx="65">
                  <c:v>2513.8750000000005</c:v>
                </c:pt>
                <c:pt idx="66">
                  <c:v>21692</c:v>
                </c:pt>
                <c:pt idx="67">
                  <c:v>623</c:v>
                </c:pt>
                <c:pt idx="68">
                  <c:v>1785</c:v>
                </c:pt>
                <c:pt idx="69">
                  <c:v>63423.7</c:v>
                </c:pt>
                <c:pt idx="70">
                  <c:v>42788</c:v>
                </c:pt>
                <c:pt idx="71">
                  <c:v>33250</c:v>
                </c:pt>
                <c:pt idx="72">
                  <c:v>110</c:v>
                </c:pt>
                <c:pt idx="73">
                  <c:v>308000</c:v>
                </c:pt>
                <c:pt idx="74">
                  <c:v>79905</c:v>
                </c:pt>
                <c:pt idx="75">
                  <c:v>29916.400000000001</c:v>
                </c:pt>
                <c:pt idx="76">
                  <c:v>24270</c:v>
                </c:pt>
                <c:pt idx="77">
                  <c:v>382480</c:v>
                </c:pt>
                <c:pt idx="78">
                  <c:v>68400</c:v>
                </c:pt>
                <c:pt idx="79">
                  <c:v>280</c:v>
                </c:pt>
                <c:pt idx="80">
                  <c:v>63602</c:v>
                </c:pt>
                <c:pt idx="81">
                  <c:v>206820</c:v>
                </c:pt>
                <c:pt idx="82">
                  <c:v>56167.8</c:v>
                </c:pt>
                <c:pt idx="83">
                  <c:v>1470</c:v>
                </c:pt>
                <c:pt idx="84">
                  <c:v>3313.6000000000004</c:v>
                </c:pt>
                <c:pt idx="85">
                  <c:v>14848.5</c:v>
                </c:pt>
                <c:pt idx="86">
                  <c:v>679.2</c:v>
                </c:pt>
                <c:pt idx="87">
                  <c:v>51275</c:v>
                </c:pt>
                <c:pt idx="88">
                  <c:v>520</c:v>
                </c:pt>
                <c:pt idx="89">
                  <c:v>52680</c:v>
                </c:pt>
                <c:pt idx="90">
                  <c:v>2119.6</c:v>
                </c:pt>
                <c:pt idx="91">
                  <c:v>227465</c:v>
                </c:pt>
                <c:pt idx="92">
                  <c:v>1668359.9999999998</c:v>
                </c:pt>
                <c:pt idx="93">
                  <c:v>727800</c:v>
                </c:pt>
                <c:pt idx="94">
                  <c:v>840</c:v>
                </c:pt>
                <c:pt idx="95">
                  <c:v>1190</c:v>
                </c:pt>
                <c:pt idx="96">
                  <c:v>1345.5</c:v>
                </c:pt>
                <c:pt idx="97">
                  <c:v>549081</c:v>
                </c:pt>
                <c:pt idx="98">
                  <c:v>18656.849999999999</c:v>
                </c:pt>
                <c:pt idx="99">
                  <c:v>695677.7</c:v>
                </c:pt>
                <c:pt idx="100">
                  <c:v>87418.5</c:v>
                </c:pt>
                <c:pt idx="101">
                  <c:v>2503656</c:v>
                </c:pt>
                <c:pt idx="102">
                  <c:v>90944.84</c:v>
                </c:pt>
                <c:pt idx="103">
                  <c:v>3885</c:v>
                </c:pt>
                <c:pt idx="104">
                  <c:v>815</c:v>
                </c:pt>
                <c:pt idx="105">
                  <c:v>3300</c:v>
                </c:pt>
                <c:pt idx="106">
                  <c:v>1729.5</c:v>
                </c:pt>
                <c:pt idx="107">
                  <c:v>521.5</c:v>
                </c:pt>
                <c:pt idx="108">
                  <c:v>10552</c:v>
                </c:pt>
                <c:pt idx="109">
                  <c:v>2644</c:v>
                </c:pt>
                <c:pt idx="110">
                  <c:v>30</c:v>
                </c:pt>
                <c:pt idx="111">
                  <c:v>25987.8</c:v>
                </c:pt>
                <c:pt idx="112">
                  <c:v>3352</c:v>
                </c:pt>
                <c:pt idx="113">
                  <c:v>90440</c:v>
                </c:pt>
                <c:pt idx="114">
                  <c:v>8130</c:v>
                </c:pt>
                <c:pt idx="115">
                  <c:v>1179987.075</c:v>
                </c:pt>
                <c:pt idx="116">
                  <c:v>167418.38254411632</c:v>
                </c:pt>
                <c:pt idx="117">
                  <c:v>94572</c:v>
                </c:pt>
                <c:pt idx="118">
                  <c:v>4277000</c:v>
                </c:pt>
                <c:pt idx="119">
                  <c:v>190208</c:v>
                </c:pt>
                <c:pt idx="120">
                  <c:v>5535</c:v>
                </c:pt>
                <c:pt idx="121">
                  <c:v>9148.5</c:v>
                </c:pt>
                <c:pt idx="122">
                  <c:v>102600</c:v>
                </c:pt>
                <c:pt idx="123">
                  <c:v>84745</c:v>
                </c:pt>
                <c:pt idx="124">
                  <c:v>10600</c:v>
                </c:pt>
                <c:pt idx="125">
                  <c:v>63270</c:v>
                </c:pt>
                <c:pt idx="126">
                  <c:v>107159.99999999999</c:v>
                </c:pt>
                <c:pt idx="127">
                  <c:v>14000</c:v>
                </c:pt>
                <c:pt idx="128">
                  <c:v>15370</c:v>
                </c:pt>
                <c:pt idx="129">
                  <c:v>526981.5</c:v>
                </c:pt>
                <c:pt idx="130">
                  <c:v>9502166</c:v>
                </c:pt>
                <c:pt idx="131">
                  <c:v>18800</c:v>
                </c:pt>
                <c:pt idx="132">
                  <c:v>53199.6</c:v>
                </c:pt>
                <c:pt idx="133">
                  <c:v>331500</c:v>
                </c:pt>
                <c:pt idx="134">
                  <c:v>140000</c:v>
                </c:pt>
                <c:pt idx="135">
                  <c:v>785136</c:v>
                </c:pt>
                <c:pt idx="136">
                  <c:v>5760</c:v>
                </c:pt>
                <c:pt idx="137">
                  <c:v>850.49999999999989</c:v>
                </c:pt>
                <c:pt idx="138">
                  <c:v>68000</c:v>
                </c:pt>
                <c:pt idx="139">
                  <c:v>199192</c:v>
                </c:pt>
                <c:pt idx="140">
                  <c:v>57095</c:v>
                </c:pt>
                <c:pt idx="141">
                  <c:v>1880</c:v>
                </c:pt>
                <c:pt idx="142">
                  <c:v>10032</c:v>
                </c:pt>
                <c:pt idx="143">
                  <c:v>66842</c:v>
                </c:pt>
                <c:pt idx="144">
                  <c:v>7312</c:v>
                </c:pt>
                <c:pt idx="145">
                  <c:v>40255</c:v>
                </c:pt>
                <c:pt idx="146">
                  <c:v>4912</c:v>
                </c:pt>
                <c:pt idx="147">
                  <c:v>16832</c:v>
                </c:pt>
                <c:pt idx="148">
                  <c:v>57337.200000000004</c:v>
                </c:pt>
                <c:pt idx="149">
                  <c:v>42506</c:v>
                </c:pt>
                <c:pt idx="150">
                  <c:v>312</c:v>
                </c:pt>
                <c:pt idx="151">
                  <c:v>206585</c:v>
                </c:pt>
                <c:pt idx="152">
                  <c:v>198090</c:v>
                </c:pt>
                <c:pt idx="153">
                  <c:v>5185.3999999999996</c:v>
                </c:pt>
                <c:pt idx="154">
                  <c:v>153936</c:v>
                </c:pt>
                <c:pt idx="155">
                  <c:v>51.8</c:v>
                </c:pt>
                <c:pt idx="156">
                  <c:v>154755</c:v>
                </c:pt>
                <c:pt idx="157">
                  <c:v>103.6</c:v>
                </c:pt>
                <c:pt idx="158">
                  <c:v>24046</c:v>
                </c:pt>
                <c:pt idx="159">
                  <c:v>14500</c:v>
                </c:pt>
                <c:pt idx="160">
                  <c:v>73644</c:v>
                </c:pt>
                <c:pt idx="161">
                  <c:v>25840</c:v>
                </c:pt>
                <c:pt idx="162">
                  <c:v>11020</c:v>
                </c:pt>
                <c:pt idx="163">
                  <c:v>20368</c:v>
                </c:pt>
                <c:pt idx="164">
                  <c:v>77480</c:v>
                </c:pt>
                <c:pt idx="165">
                  <c:v>164604</c:v>
                </c:pt>
                <c:pt idx="166">
                  <c:v>38000</c:v>
                </c:pt>
                <c:pt idx="167">
                  <c:v>17260</c:v>
                </c:pt>
                <c:pt idx="168">
                  <c:v>1004.1999999999999</c:v>
                </c:pt>
                <c:pt idx="169">
                  <c:v>330000</c:v>
                </c:pt>
                <c:pt idx="170">
                  <c:v>102984</c:v>
                </c:pt>
                <c:pt idx="171">
                  <c:v>1132109.7101449277</c:v>
                </c:pt>
                <c:pt idx="172">
                  <c:v>1081.5</c:v>
                </c:pt>
                <c:pt idx="173">
                  <c:v>13194</c:v>
                </c:pt>
                <c:pt idx="174">
                  <c:v>2261</c:v>
                </c:pt>
                <c:pt idx="175">
                  <c:v>17871.75</c:v>
                </c:pt>
                <c:pt idx="176">
                  <c:v>79513.2</c:v>
                </c:pt>
                <c:pt idx="177">
                  <c:v>31924.5</c:v>
                </c:pt>
                <c:pt idx="178">
                  <c:v>24472</c:v>
                </c:pt>
                <c:pt idx="179">
                  <c:v>5754210</c:v>
                </c:pt>
                <c:pt idx="180">
                  <c:v>103650</c:v>
                </c:pt>
                <c:pt idx="181">
                  <c:v>92252.5</c:v>
                </c:pt>
                <c:pt idx="182">
                  <c:v>34652.449999999997</c:v>
                </c:pt>
                <c:pt idx="183">
                  <c:v>312750</c:v>
                </c:pt>
                <c:pt idx="184">
                  <c:v>484140</c:v>
                </c:pt>
                <c:pt idx="185">
                  <c:v>97140</c:v>
                </c:pt>
                <c:pt idx="186">
                  <c:v>44140</c:v>
                </c:pt>
                <c:pt idx="187">
                  <c:v>30600</c:v>
                </c:pt>
                <c:pt idx="188">
                  <c:v>511862.31758000003</c:v>
                </c:pt>
                <c:pt idx="189">
                  <c:v>25200</c:v>
                </c:pt>
                <c:pt idx="190">
                  <c:v>1028864.6</c:v>
                </c:pt>
                <c:pt idx="191">
                  <c:v>733.5</c:v>
                </c:pt>
                <c:pt idx="192">
                  <c:v>54074.000000000007</c:v>
                </c:pt>
                <c:pt idx="193">
                  <c:v>61200</c:v>
                </c:pt>
                <c:pt idx="194">
                  <c:v>118120</c:v>
                </c:pt>
                <c:pt idx="195">
                  <c:v>14294.2</c:v>
                </c:pt>
                <c:pt idx="196">
                  <c:v>10732</c:v>
                </c:pt>
                <c:pt idx="197">
                  <c:v>2039670</c:v>
                </c:pt>
                <c:pt idx="198">
                  <c:v>53750</c:v>
                </c:pt>
                <c:pt idx="199">
                  <c:v>27550</c:v>
                </c:pt>
                <c:pt idx="200">
                  <c:v>167440</c:v>
                </c:pt>
                <c:pt idx="201">
                  <c:v>263386</c:v>
                </c:pt>
                <c:pt idx="202">
                  <c:v>300000</c:v>
                </c:pt>
                <c:pt idx="203">
                  <c:v>50640</c:v>
                </c:pt>
                <c:pt idx="204">
                  <c:v>1089255</c:v>
                </c:pt>
                <c:pt idx="205">
                  <c:v>2996.8999999999996</c:v>
                </c:pt>
                <c:pt idx="206">
                  <c:v>174150</c:v>
                </c:pt>
                <c:pt idx="207">
                  <c:v>401.70000000000005</c:v>
                </c:pt>
                <c:pt idx="208">
                  <c:v>1539298.8</c:v>
                </c:pt>
                <c:pt idx="209">
                  <c:v>14585.674999999999</c:v>
                </c:pt>
                <c:pt idx="210">
                  <c:v>77604</c:v>
                </c:pt>
                <c:pt idx="211">
                  <c:v>297000</c:v>
                </c:pt>
                <c:pt idx="212">
                  <c:v>22000</c:v>
                </c:pt>
                <c:pt idx="213">
                  <c:v>553014</c:v>
                </c:pt>
                <c:pt idx="214">
                  <c:v>100599.575</c:v>
                </c:pt>
                <c:pt idx="215">
                  <c:v>1710</c:v>
                </c:pt>
                <c:pt idx="216">
                  <c:v>574180</c:v>
                </c:pt>
                <c:pt idx="217">
                  <c:v>185068.40000000002</c:v>
                </c:pt>
                <c:pt idx="218">
                  <c:v>3718.5</c:v>
                </c:pt>
                <c:pt idx="219">
                  <c:v>73945</c:v>
                </c:pt>
                <c:pt idx="220">
                  <c:v>8407.26</c:v>
                </c:pt>
                <c:pt idx="221">
                  <c:v>26880</c:v>
                </c:pt>
                <c:pt idx="222">
                  <c:v>867.75999999999988</c:v>
                </c:pt>
                <c:pt idx="223">
                  <c:v>114480</c:v>
                </c:pt>
                <c:pt idx="224">
                  <c:v>9160</c:v>
                </c:pt>
                <c:pt idx="225">
                  <c:v>104464.28571428571</c:v>
                </c:pt>
                <c:pt idx="226">
                  <c:v>50400</c:v>
                </c:pt>
                <c:pt idx="227">
                  <c:v>4475</c:v>
                </c:pt>
                <c:pt idx="228">
                  <c:v>71.2</c:v>
                </c:pt>
                <c:pt idx="229">
                  <c:v>6394.5</c:v>
                </c:pt>
                <c:pt idx="230">
                  <c:v>3622290</c:v>
                </c:pt>
                <c:pt idx="231">
                  <c:v>2124</c:v>
                </c:pt>
                <c:pt idx="232">
                  <c:v>145641</c:v>
                </c:pt>
                <c:pt idx="233">
                  <c:v>86998.5</c:v>
                </c:pt>
                <c:pt idx="234">
                  <c:v>400000</c:v>
                </c:pt>
                <c:pt idx="235">
                  <c:v>54.400000000000006</c:v>
                </c:pt>
                <c:pt idx="236">
                  <c:v>26749.5</c:v>
                </c:pt>
                <c:pt idx="237">
                  <c:v>376</c:v>
                </c:pt>
                <c:pt idx="238">
                  <c:v>41920</c:v>
                </c:pt>
                <c:pt idx="239">
                  <c:v>1556</c:v>
                </c:pt>
                <c:pt idx="240">
                  <c:v>265600</c:v>
                </c:pt>
                <c:pt idx="241">
                  <c:v>121730</c:v>
                </c:pt>
                <c:pt idx="242">
                  <c:v>3448.5</c:v>
                </c:pt>
                <c:pt idx="243">
                  <c:v>375829.1599360244</c:v>
                </c:pt>
                <c:pt idx="244">
                  <c:v>495824</c:v>
                </c:pt>
                <c:pt idx="245">
                  <c:v>49920</c:v>
                </c:pt>
                <c:pt idx="246">
                  <c:v>535.5</c:v>
                </c:pt>
                <c:pt idx="247">
                  <c:v>59040</c:v>
                </c:pt>
                <c:pt idx="248">
                  <c:v>122460</c:v>
                </c:pt>
                <c:pt idx="249">
                  <c:v>10278.449999999999</c:v>
                </c:pt>
                <c:pt idx="250">
                  <c:v>33245</c:v>
                </c:pt>
                <c:pt idx="251">
                  <c:v>463974.19999999995</c:v>
                </c:pt>
                <c:pt idx="252">
                  <c:v>44928</c:v>
                </c:pt>
                <c:pt idx="253">
                  <c:v>382970</c:v>
                </c:pt>
                <c:pt idx="254">
                  <c:v>40836.04</c:v>
                </c:pt>
                <c:pt idx="255">
                  <c:v>2338.5</c:v>
                </c:pt>
                <c:pt idx="256">
                  <c:v>33250</c:v>
                </c:pt>
                <c:pt idx="257">
                  <c:v>222305</c:v>
                </c:pt>
                <c:pt idx="258">
                  <c:v>665</c:v>
                </c:pt>
                <c:pt idx="259">
                  <c:v>592422.5</c:v>
                </c:pt>
                <c:pt idx="260">
                  <c:v>215996</c:v>
                </c:pt>
                <c:pt idx="261">
                  <c:v>71100</c:v>
                </c:pt>
                <c:pt idx="262">
                  <c:v>2639.2</c:v>
                </c:pt>
                <c:pt idx="263">
                  <c:v>292859.79999999993</c:v>
                </c:pt>
                <c:pt idx="264">
                  <c:v>1647</c:v>
                </c:pt>
                <c:pt idx="265">
                  <c:v>67433.7</c:v>
                </c:pt>
                <c:pt idx="266">
                  <c:v>149254.20000000001</c:v>
                </c:pt>
                <c:pt idx="267">
                  <c:v>2112970</c:v>
                </c:pt>
                <c:pt idx="268">
                  <c:v>60000</c:v>
                </c:pt>
                <c:pt idx="269">
                  <c:v>771.2</c:v>
                </c:pt>
                <c:pt idx="270">
                  <c:v>1014515</c:v>
                </c:pt>
                <c:pt idx="271">
                  <c:v>75.34</c:v>
                </c:pt>
                <c:pt idx="272">
                  <c:v>16500</c:v>
                </c:pt>
                <c:pt idx="273">
                  <c:v>237560</c:v>
                </c:pt>
                <c:pt idx="274">
                  <c:v>23</c:v>
                </c:pt>
                <c:pt idx="275">
                  <c:v>78093.600000000006</c:v>
                </c:pt>
                <c:pt idx="276">
                  <c:v>19000</c:v>
                </c:pt>
                <c:pt idx="277">
                  <c:v>28080</c:v>
                </c:pt>
                <c:pt idx="278">
                  <c:v>5600</c:v>
                </c:pt>
                <c:pt idx="279">
                  <c:v>114140</c:v>
                </c:pt>
                <c:pt idx="280">
                  <c:v>18141.396604938273</c:v>
                </c:pt>
                <c:pt idx="281">
                  <c:v>56880</c:v>
                </c:pt>
                <c:pt idx="282">
                  <c:v>588574.38</c:v>
                </c:pt>
                <c:pt idx="283">
                  <c:v>66195.87000000001</c:v>
                </c:pt>
                <c:pt idx="284">
                  <c:v>634.79999999999995</c:v>
                </c:pt>
                <c:pt idx="285">
                  <c:v>1746.5</c:v>
                </c:pt>
                <c:pt idx="286">
                  <c:v>1870208</c:v>
                </c:pt>
                <c:pt idx="287">
                  <c:v>368</c:v>
                </c:pt>
                <c:pt idx="288">
                  <c:v>3098230</c:v>
                </c:pt>
                <c:pt idx="289">
                  <c:v>856800</c:v>
                </c:pt>
                <c:pt idx="290">
                  <c:v>61600</c:v>
                </c:pt>
                <c:pt idx="291">
                  <c:v>1559.6</c:v>
                </c:pt>
                <c:pt idx="292">
                  <c:v>18427.2</c:v>
                </c:pt>
                <c:pt idx="293">
                  <c:v>120220</c:v>
                </c:pt>
                <c:pt idx="294">
                  <c:v>6922.05</c:v>
                </c:pt>
                <c:pt idx="295">
                  <c:v>13097.5</c:v>
                </c:pt>
                <c:pt idx="296">
                  <c:v>22000</c:v>
                </c:pt>
                <c:pt idx="297">
                  <c:v>11032.64</c:v>
                </c:pt>
                <c:pt idx="298">
                  <c:v>85400</c:v>
                </c:pt>
                <c:pt idx="299">
                  <c:v>3285</c:v>
                </c:pt>
                <c:pt idx="300">
                  <c:v>40.72</c:v>
                </c:pt>
                <c:pt idx="301">
                  <c:v>479.70000000000005</c:v>
                </c:pt>
                <c:pt idx="302">
                  <c:v>60580</c:v>
                </c:pt>
                <c:pt idx="303">
                  <c:v>2676650</c:v>
                </c:pt>
                <c:pt idx="304">
                  <c:v>79900</c:v>
                </c:pt>
                <c:pt idx="305">
                  <c:v>135.20000000000002</c:v>
                </c:pt>
                <c:pt idx="306">
                  <c:v>177000</c:v>
                </c:pt>
                <c:pt idx="307">
                  <c:v>4066.5625000000005</c:v>
                </c:pt>
                <c:pt idx="308">
                  <c:v>101896.49999999999</c:v>
                </c:pt>
                <c:pt idx="309">
                  <c:v>1030.8000000000002</c:v>
                </c:pt>
                <c:pt idx="310">
                  <c:v>425040</c:v>
                </c:pt>
                <c:pt idx="311">
                  <c:v>27112</c:v>
                </c:pt>
                <c:pt idx="312">
                  <c:v>23256</c:v>
                </c:pt>
                <c:pt idx="313">
                  <c:v>9894</c:v>
                </c:pt>
                <c:pt idx="314">
                  <c:v>47400</c:v>
                </c:pt>
                <c:pt idx="315">
                  <c:v>323.40000000000003</c:v>
                </c:pt>
                <c:pt idx="316">
                  <c:v>374000</c:v>
                </c:pt>
                <c:pt idx="317">
                  <c:v>23750</c:v>
                </c:pt>
                <c:pt idx="318">
                  <c:v>44030</c:v>
                </c:pt>
                <c:pt idx="319">
                  <c:v>3109.4999999999995</c:v>
                </c:pt>
                <c:pt idx="320">
                  <c:v>124200</c:v>
                </c:pt>
                <c:pt idx="321">
                  <c:v>2504</c:v>
                </c:pt>
                <c:pt idx="322">
                  <c:v>1154939.5</c:v>
                </c:pt>
                <c:pt idx="323">
                  <c:v>1585402.2</c:v>
                </c:pt>
                <c:pt idx="324">
                  <c:v>165300</c:v>
                </c:pt>
                <c:pt idx="325">
                  <c:v>557400</c:v>
                </c:pt>
                <c:pt idx="326">
                  <c:v>8933.7999999999993</c:v>
                </c:pt>
                <c:pt idx="327">
                  <c:v>31980</c:v>
                </c:pt>
                <c:pt idx="328">
                  <c:v>1790</c:v>
                </c:pt>
                <c:pt idx="329">
                  <c:v>23495.519999999997</c:v>
                </c:pt>
                <c:pt idx="330">
                  <c:v>9855</c:v>
                </c:pt>
                <c:pt idx="331">
                  <c:v>1315797.0138888888</c:v>
                </c:pt>
                <c:pt idx="332">
                  <c:v>2077.25</c:v>
                </c:pt>
                <c:pt idx="333">
                  <c:v>8423</c:v>
                </c:pt>
                <c:pt idx="334">
                  <c:v>540240</c:v>
                </c:pt>
                <c:pt idx="335">
                  <c:v>6966.25</c:v>
                </c:pt>
                <c:pt idx="336">
                  <c:v>10000</c:v>
                </c:pt>
                <c:pt idx="337">
                  <c:v>1797</c:v>
                </c:pt>
                <c:pt idx="338">
                  <c:v>135</c:v>
                </c:pt>
                <c:pt idx="339">
                  <c:v>92896.950000000012</c:v>
                </c:pt>
                <c:pt idx="340">
                  <c:v>7355.4000000000005</c:v>
                </c:pt>
                <c:pt idx="341">
                  <c:v>58940.869565217392</c:v>
                </c:pt>
                <c:pt idx="342">
                  <c:v>184153.80000000002</c:v>
                </c:pt>
                <c:pt idx="343">
                  <c:v>500</c:v>
                </c:pt>
                <c:pt idx="344">
                  <c:v>545370</c:v>
                </c:pt>
                <c:pt idx="345">
                  <c:v>190392</c:v>
                </c:pt>
                <c:pt idx="346">
                  <c:v>12695</c:v>
                </c:pt>
                <c:pt idx="347">
                  <c:v>141809.4</c:v>
                </c:pt>
                <c:pt idx="348">
                  <c:v>1515200</c:v>
                </c:pt>
                <c:pt idx="349">
                  <c:v>402240</c:v>
                </c:pt>
                <c:pt idx="350">
                  <c:v>260256.00000000003</c:v>
                </c:pt>
                <c:pt idx="351">
                  <c:v>207740</c:v>
                </c:pt>
                <c:pt idx="352">
                  <c:v>142760</c:v>
                </c:pt>
                <c:pt idx="353">
                  <c:v>8986</c:v>
                </c:pt>
                <c:pt idx="354">
                  <c:v>63617.774999999994</c:v>
                </c:pt>
                <c:pt idx="355">
                  <c:v>29025</c:v>
                </c:pt>
                <c:pt idx="356">
                  <c:v>40786.399999999994</c:v>
                </c:pt>
                <c:pt idx="357">
                  <c:v>59880</c:v>
                </c:pt>
                <c:pt idx="358">
                  <c:v>21424</c:v>
                </c:pt>
                <c:pt idx="359">
                  <c:v>3416909</c:v>
                </c:pt>
                <c:pt idx="360">
                  <c:v>16840</c:v>
                </c:pt>
                <c:pt idx="361">
                  <c:v>115</c:v>
                </c:pt>
                <c:pt idx="362">
                  <c:v>1649840</c:v>
                </c:pt>
                <c:pt idx="363">
                  <c:v>2195</c:v>
                </c:pt>
                <c:pt idx="364">
                  <c:v>15748.350000000002</c:v>
                </c:pt>
                <c:pt idx="365">
                  <c:v>3876625</c:v>
                </c:pt>
                <c:pt idx="366">
                  <c:v>742992</c:v>
                </c:pt>
                <c:pt idx="367">
                  <c:v>186010.5</c:v>
                </c:pt>
                <c:pt idx="368">
                  <c:v>304620</c:v>
                </c:pt>
                <c:pt idx="369">
                  <c:v>165966.66666666669</c:v>
                </c:pt>
                <c:pt idx="370">
                  <c:v>402720</c:v>
                </c:pt>
                <c:pt idx="371">
                  <c:v>39.799999999999997</c:v>
                </c:pt>
                <c:pt idx="372">
                  <c:v>90492</c:v>
                </c:pt>
                <c:pt idx="373">
                  <c:v>8111</c:v>
                </c:pt>
                <c:pt idx="374">
                  <c:v>37.200000000000003</c:v>
                </c:pt>
                <c:pt idx="375">
                  <c:v>9459</c:v>
                </c:pt>
                <c:pt idx="376">
                  <c:v>356073.7</c:v>
                </c:pt>
                <c:pt idx="377">
                  <c:v>136</c:v>
                </c:pt>
                <c:pt idx="378">
                  <c:v>38250</c:v>
                </c:pt>
                <c:pt idx="379">
                  <c:v>1581.8</c:v>
                </c:pt>
                <c:pt idx="380">
                  <c:v>36140</c:v>
                </c:pt>
                <c:pt idx="381">
                  <c:v>2379976</c:v>
                </c:pt>
                <c:pt idx="382">
                  <c:v>214500</c:v>
                </c:pt>
                <c:pt idx="383">
                  <c:v>1173</c:v>
                </c:pt>
                <c:pt idx="384">
                  <c:v>508320</c:v>
                </c:pt>
                <c:pt idx="385">
                  <c:v>646340.5</c:v>
                </c:pt>
                <c:pt idx="386">
                  <c:v>220000</c:v>
                </c:pt>
                <c:pt idx="387">
                  <c:v>1112</c:v>
                </c:pt>
                <c:pt idx="388">
                  <c:v>3999.4999999999995</c:v>
                </c:pt>
                <c:pt idx="389">
                  <c:v>27230</c:v>
                </c:pt>
                <c:pt idx="390">
                  <c:v>11085</c:v>
                </c:pt>
                <c:pt idx="391">
                  <c:v>7696.340000000002</c:v>
                </c:pt>
                <c:pt idx="392">
                  <c:v>398040</c:v>
                </c:pt>
                <c:pt idx="393">
                  <c:v>304</c:v>
                </c:pt>
                <c:pt idx="394">
                  <c:v>6731.0370370370383</c:v>
                </c:pt>
                <c:pt idx="395">
                  <c:v>7790</c:v>
                </c:pt>
                <c:pt idx="396">
                  <c:v>31.2</c:v>
                </c:pt>
                <c:pt idx="397">
                  <c:v>3913040</c:v>
                </c:pt>
                <c:pt idx="398">
                  <c:v>1783728</c:v>
                </c:pt>
                <c:pt idx="399">
                  <c:v>1007461.812</c:v>
                </c:pt>
                <c:pt idx="400">
                  <c:v>34124</c:v>
                </c:pt>
                <c:pt idx="401">
                  <c:v>433424</c:v>
                </c:pt>
                <c:pt idx="402">
                  <c:v>112</c:v>
                </c:pt>
                <c:pt idx="403">
                  <c:v>314968.8</c:v>
                </c:pt>
                <c:pt idx="404">
                  <c:v>28580.2</c:v>
                </c:pt>
                <c:pt idx="405">
                  <c:v>135</c:v>
                </c:pt>
                <c:pt idx="406">
                  <c:v>6368160.7915000003</c:v>
                </c:pt>
                <c:pt idx="407">
                  <c:v>53880</c:v>
                </c:pt>
                <c:pt idx="408">
                  <c:v>28172.249074087696</c:v>
                </c:pt>
                <c:pt idx="409">
                  <c:v>16996</c:v>
                </c:pt>
                <c:pt idx="410">
                  <c:v>1560</c:v>
                </c:pt>
                <c:pt idx="411">
                  <c:v>1365000</c:v>
                </c:pt>
                <c:pt idx="412">
                  <c:v>904785.59999999951</c:v>
                </c:pt>
                <c:pt idx="413">
                  <c:v>25064</c:v>
                </c:pt>
                <c:pt idx="414">
                  <c:v>247903.5</c:v>
                </c:pt>
                <c:pt idx="415">
                  <c:v>32000</c:v>
                </c:pt>
                <c:pt idx="416">
                  <c:v>126315</c:v>
                </c:pt>
                <c:pt idx="417">
                  <c:v>29444</c:v>
                </c:pt>
                <c:pt idx="418">
                  <c:v>100775.19379844962</c:v>
                </c:pt>
                <c:pt idx="419">
                  <c:v>6028.5</c:v>
                </c:pt>
                <c:pt idx="420">
                  <c:v>29610</c:v>
                </c:pt>
                <c:pt idx="421">
                  <c:v>27500</c:v>
                </c:pt>
                <c:pt idx="422">
                  <c:v>22500</c:v>
                </c:pt>
                <c:pt idx="423">
                  <c:v>271.60000000000002</c:v>
                </c:pt>
                <c:pt idx="424">
                  <c:v>891</c:v>
                </c:pt>
                <c:pt idx="425">
                  <c:v>16191</c:v>
                </c:pt>
                <c:pt idx="426">
                  <c:v>679.2</c:v>
                </c:pt>
                <c:pt idx="427">
                  <c:v>28</c:v>
                </c:pt>
                <c:pt idx="428">
                  <c:v>1125271.4285714286</c:v>
                </c:pt>
                <c:pt idx="429">
                  <c:v>47400</c:v>
                </c:pt>
                <c:pt idx="430">
                  <c:v>28909.999999999996</c:v>
                </c:pt>
                <c:pt idx="431">
                  <c:v>160.50000000000003</c:v>
                </c:pt>
                <c:pt idx="432">
                  <c:v>145356.5</c:v>
                </c:pt>
                <c:pt idx="433">
                  <c:v>265.60000000000002</c:v>
                </c:pt>
                <c:pt idx="434">
                  <c:v>10267.199999999999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515520"/>
        <c:axId val="87517056"/>
      </c:barChart>
      <c:catAx>
        <c:axId val="87515520"/>
        <c:scaling>
          <c:orientation val="minMax"/>
        </c:scaling>
        <c:delete val="0"/>
        <c:axPos val="b"/>
        <c:majorTickMark val="out"/>
        <c:minorTickMark val="none"/>
        <c:tickLblPos val="nextTo"/>
        <c:crossAx val="87517056"/>
        <c:crosses val="autoZero"/>
        <c:auto val="1"/>
        <c:lblAlgn val="ctr"/>
        <c:lblOffset val="100"/>
        <c:noMultiLvlLbl val="0"/>
      </c:catAx>
      <c:valAx>
        <c:axId val="87517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515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</xdr:row>
      <xdr:rowOff>185737</xdr:rowOff>
    </xdr:from>
    <xdr:to>
      <xdr:col>11</xdr:col>
      <xdr:colOff>133350</xdr:colOff>
      <xdr:row>19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rfil" refreshedDate="41918.90034039352" createdVersion="4" refreshedVersion="4" minRefreshableVersion="3" recordCount="1745">
  <cacheSource type="worksheet">
    <worksheetSource ref="A1:V1746" sheet="BANCO DE DADOS"/>
  </cacheSource>
  <cacheFields count="22">
    <cacheField name="FAMILIA" numFmtId="0">
      <sharedItems count="9">
        <s v="ACABAMENTOS"/>
        <s v="AUTOMOTIVO"/>
        <s v="ELETRODOMÉSTICOS"/>
        <s v="ELETROELETRÔNICOS"/>
        <s v="EQUIPAMENTOS"/>
        <s v="FERRAGEM"/>
        <s v="LAZER"/>
        <s v="MATERIAL DE CONSTRUÇÃO"/>
        <s v="MÓVEIS"/>
      </sharedItems>
    </cacheField>
    <cacheField name="CATEGORIA" numFmtId="0">
      <sharedItems/>
    </cacheField>
    <cacheField name="PRODUTO" numFmtId="0">
      <sharedItems/>
    </cacheField>
    <cacheField name="REFERÊNCIA" numFmtId="0">
      <sharedItems containsMixedTypes="1" containsNumber="1" containsInteger="1" minValue="65294" maxValue="65294"/>
    </cacheField>
    <cacheField name="UNIDADE LOGÍSTICA" numFmtId="0">
      <sharedItems/>
    </cacheField>
    <cacheField name="VALOR UNIT" numFmtId="0">
      <sharedItems containsSemiMixedTypes="0" containsString="0" containsNumber="1" minValue="0.34" maxValue="35000"/>
    </cacheField>
    <cacheField name="FORNECEDOR" numFmtId="0">
      <sharedItems count="435">
        <s v="PONTO LAVABO"/>
        <s v="CORAL"/>
        <s v="PORTOBELLO"/>
        <s v="SUVINIL"/>
        <s v="SPARLACK"/>
        <s v="SAYERLACK"/>
        <s v="REVEST L'ART"/>
        <s v="ELIANE"/>
        <s v="RENNER"/>
        <s v="REVES L'ART"/>
        <s v="FÊNIX"/>
        <s v="C E C CASA E CONSTRUÇÃO"/>
        <s v="DECOR ASSENTOS"/>
        <s v="SHERWIN WILLIAMS "/>
        <s v="INCEFRA"/>
        <s v="DAKAR"/>
        <s v="FIORANO"/>
        <s v="CECRISA"/>
        <s v="LEROY MERLIN"/>
        <s v="LUME"/>
        <s v="FORMIGRES"/>
        <s v="CABREUVA"/>
        <s v="EUCATEX"/>
        <s v="IDEALLE"/>
        <s v="SCALLINE"/>
        <s v="HAVANA"/>
        <s v="TINTAS UNIVERSO"/>
        <s v="FIBRAPISO"/>
        <s v="INCEPA"/>
        <s v="DECORELLE"/>
        <s v="BRASNORTE"/>
        <s v="CARVALHO"/>
        <s v="TARKETT"/>
        <s v="CECAFI"/>
        <s v="FIBRAPISO NOGUEIRA"/>
        <s v="ROCA"/>
        <s v="OUTLET CRYSTAL GREY"/>
        <s v="BURNI"/>
        <s v="ASPEN"/>
        <s v="FIBRAPISO NOGUEIRA"/>
        <s v="MF RURAL"/>
        <s v="DECA"/>
        <s v="MMM MEU MÓVEL DE MADEIRA"/>
        <s v="FIBRAPISO "/>
        <s v="FRANKE"/>
        <s v="EUCASOFT"/>
        <s v="TOK E STOK"/>
        <s v="ITAGRES"/>
        <s v="CELITE"/>
        <s v="BIANCO"/>
        <s v="SUCUPIRA"/>
        <s v="BRASGROUP"/>
        <s v="PORTO FERREIRA"/>
        <s v="JATOBÁ"/>
        <s v="PLASBIL REVESTIMENTOS"/>
        <s v="SUA CASA SHOP"/>
        <s v="ICASA"/>
        <s v="PORTOBELLO "/>
        <s v="LOGASA"/>
        <s v="CEUSA"/>
        <s v="PASTILHART"/>
        <s v="SANTA LUZIA"/>
        <s v="PORTINARI"/>
        <s v="MOREDO"/>
        <s v="ART MOSAICOS "/>
        <s v="COLORTIL"/>
        <s v="FORTE DEI MARMI"/>
        <s v="COLORMIX"/>
        <s v="INCEPA "/>
        <s v="EMBRAMACO"/>
        <s v="MAJOPAR"/>
        <s v=" CRYSTAL GLASS"/>
        <s v="B&amp;W"/>
        <s v="LINEART"/>
        <s v="CRISTAL GLASS"/>
        <s v="VIDRO REAL"/>
        <s v="PANE "/>
        <s v="CASTROL"/>
        <s v="HELIX"/>
        <s v="MOBIL"/>
        <s v="PIRELLI"/>
        <s v="ITARO"/>
        <s v="LUBRAX"/>
        <s v="FIRESTONE"/>
        <s v="CONTINENTAL"/>
        <s v="GREEN"/>
        <s v="MOURA"/>
        <s v="BRIDGESTONE"/>
        <s v="MICHELIN"/>
        <s v="ELECTROLUX"/>
        <s v="SAMSUNG"/>
        <s v="PHILIPS"/>
        <s v="BRASTEMP"/>
        <s v="SPRINGER"/>
        <s v="COMFEE"/>
        <s v="CADENCE"/>
        <s v="MONDIAL"/>
        <s v="CONSUL"/>
        <s v="TAIFF"/>
        <s v="ELETROLUX"/>
        <s v="MAGAZINE LUIZA"/>
        <s v="PHILCO"/>
        <s v="TRON"/>
        <s v="ARNO"/>
        <s v="NKS"/>
        <s v="FREEWAY"/>
        <s v="FICSHER"/>
        <s v="TAQI"/>
        <s v="BRITANIA"/>
        <s v="NEWUP"/>
        <s v="LIBELL"/>
        <s v="BRITÂNIA"/>
        <s v="BRANCO"/>
        <s v="MUELLER"/>
        <s v="DELL"/>
        <s v="FUJIFILM"/>
        <s v="BRAVO"/>
        <s v="NIKON"/>
        <s v="MAXPRINT"/>
        <s v="HERO3"/>
        <s v="JVC"/>
        <s v="SANSUNG"/>
        <s v="SONY"/>
        <s v="APPLE"/>
        <s v="MOTOROLA"/>
        <s v="ALCATELL"/>
        <s v="LG"/>
        <s v="ASUS"/>
        <s v="LEADERSHIP"/>
        <s v="INTELBRAS"/>
        <s v="MULTILASER"/>
        <s v="AOC"/>
        <s v="EPSON"/>
        <s v="HP"/>
        <s v="PANASONIC"/>
        <s v="VTECH"/>
        <s v="BRIGHT"/>
        <s v="GARMIM"/>
        <s v="SMS"/>
        <s v="FORCE LINE"/>
        <s v="SANDISK"/>
        <s v="MICROSOFT"/>
        <s v="CCE"/>
        <s v="SKY"/>
        <s v="NOKIA"/>
        <s v="TECTOY"/>
        <s v="AQUÁRIO"/>
        <s v="KEO"/>
        <s v="CROMUS"/>
        <s v="CMS"/>
        <s v="MENEGOTTI"/>
        <s v="MOTOMIL"/>
        <s v="HUSQVARNA"/>
        <s v="GRINGER"/>
        <s v="HORBACH"/>
        <s v="GAMMASULAMERICANA"/>
        <s v="TOYAMA"/>
        <s v="EINHELL"/>
        <s v="KAWASHIMA"/>
        <s v="BLACK &amp; DECKER "/>
        <s v="FOREST GARDEN"/>
        <s v="GAMMA"/>
        <s v="HONDA"/>
        <s v="TEKNA"/>
        <s v="HITACHI"/>
        <s v="LAVRALE"/>
        <s v="BR MOTORS"/>
        <s v="CLIPPER"/>
        <s v="MAKSIWA"/>
        <s v="STIHL"/>
        <s v="RISKETA"/>
        <s v="SCHULZ"/>
        <s v="BLACK&amp;DECKER"/>
        <s v="MAKITA"/>
        <s v="ELETROPLAS"/>
        <s v="SKIL"/>
        <s v="BOSCH"/>
        <s v="BLACK E DECKER"/>
        <s v="TRAMONTINA"/>
        <s v="DEWALT"/>
        <s v="DUPLEX"/>
        <s v="KARCHER"/>
        <s v="NAGANO"/>
        <s v="BUFFALO"/>
        <s v="HOOBY"/>
        <s v="GARTHEN"/>
        <s v="PARABONI"/>
        <s v="FERRARI"/>
        <s v="BLACK E DECKER"/>
        <s v="ECCO"/>
        <s v="HIGRA"/>
        <s v="DUTRA"/>
        <s v="NOVA"/>
        <s v="V8 BRASIL"/>
        <s v="FAMASTIL"/>
        <s v="TRAPP"/>
        <s v="POWER MAX"/>
        <s v="STANLEY"/>
        <s v="DOURADO"/>
        <s v="OREGON"/>
        <s v="BOM CORTE"/>
        <s v="CIBERPLAST ELO"/>
        <s v="STAMACO"/>
        <s v="TEXACO"/>
        <s v="SINGER"/>
        <s v="COBRECOM"/>
        <s v="IMAB"/>
        <s v="ALIANÇA"/>
        <s v="PAPAIZ"/>
        <s v="STAM"/>
        <s v="AROUCA"/>
        <s v="SOPRANO"/>
        <s v="TIGRE"/>
        <s v="FATI FERRAMENTAS"/>
        <s v="CASA DO SERRALHEIRO"/>
        <s v="INTERNA"/>
        <s v="CARDAL"/>
        <s v="HIKARI"/>
        <s v="CASAS BAHIA"/>
        <s v="CIGAME"/>
        <s v="MAX CABOS"/>
        <s v="IRWIN"/>
        <s v="LORENZETTI"/>
        <s v="AMERICANAS "/>
        <s v="FEBRAPA"/>
        <s v="C&amp;C"/>
        <s v="FUSOPAR"/>
        <s v="CASA DAS FERRAMENTAS "/>
        <s v="MAGAZINE E LUIZA"/>
        <s v="MEBER"/>
        <s v="LOJA DO MECANICO "/>
        <s v="FERLUVAS"/>
        <s v="WALMART"/>
        <s v="FRIBRAMAR"/>
        <s v="ACHULZ"/>
        <s v="FAMASTIL TAURUS"/>
        <s v="TUDOELETRICA"/>
        <s v="FUROSI"/>
        <s v="KOMECO"/>
        <s v="DTOOLS"/>
        <s v="MULTIUSO"/>
        <s v="GERDAU"/>
        <s v="ARTICULÁVEL"/>
        <s v="ROWA"/>
        <s v="CORONA"/>
        <s v="DOCOL"/>
        <s v="ROMAR"/>
        <s v="HIDROGERAIS"/>
        <s v="UNIVERSAL"/>
        <s v="METALMATRIX"/>
        <s v="FIBRAMAR"/>
        <s v="FABRIMAR"/>
        <s v="INCA"/>
        <s v="CAMPO DE OFERTAS "/>
        <s v="FAME"/>
        <s v="CROMADO"/>
        <s v="ESTEVES"/>
        <s v="TUDONOVO"/>
        <s v="AMANCO"/>
        <s v="EXPAMBOX"/>
        <s v="IRIEL"/>
        <s v="ASTRA"/>
        <s v="CASASHOW"/>
        <s v="ROBUST"/>
        <s v="OSRAM"/>
        <s v="SINTEX"/>
        <s v="TRÓPICO"/>
        <s v="HERC"/>
        <s v="JACKWAL"/>
        <s v="ELETRO FORT"/>
        <s v="COTTAGE"/>
        <s v="ELLA"/>
        <s v="REDEBRAS"/>
        <s v="IPABRAC"/>
        <s v="CROMOTERÁPIA"/>
        <s v="KALIPSO"/>
        <s v="SIMON"/>
        <s v="ETERNIR"/>
        <s v="AÇOTERRA"/>
        <s v="ALIEXPRESS"/>
        <s v="COZIMAX"/>
        <s v="TORALF"/>
        <s v="KRONA"/>
        <s v="PLENA"/>
        <s v="PERAME"/>
        <s v="BOM JARDIM"/>
        <s v="FELAP"/>
        <s v="BULL TERRIER"/>
        <s v="BRINOX"/>
        <s v="FORUSI"/>
        <s v="ABOUT HOME"/>
        <s v="COSTA NAVARRO"/>
        <s v="CENSI"/>
        <s v="CLABER"/>
        <s v="SODRAMAR"/>
        <s v="FORD"/>
        <s v="GTRES"/>
        <s v="KING TONY"/>
        <s v="FARMIASTIL"/>
        <s v="ADERE"/>
        <s v="VONDER"/>
        <s v="RAMO CONEXÕES"/>
        <s v="IRMÃO ABAGE"/>
        <s v="MEGA FORTH"/>
        <s v="STIL"/>
        <s v="PULVITEC"/>
        <s v="WORK PRO"/>
        <s v="CASA DO JARDIM"/>
        <s v="MOTA"/>
        <s v="METABO"/>
        <s v="BOCH"/>
        <s v="JAGUAR"/>
        <s v="VIA INOX"/>
        <s v="FERRAGEM SÃO JOSÉ"/>
        <s v="FERAGEM SÃO JOSÉ"/>
        <s v="SANREMO "/>
        <s v="BAZAR HORIZONTE"/>
        <s v="NAUTICA"/>
        <s v="SHOPTIME "/>
        <s v="WALMART "/>
        <s v="SUPER TECH"/>
        <s v="BETTANIN"/>
        <s v="VONDER "/>
        <s v="METASUL"/>
        <s v="MOR"/>
        <s v="PROGÁS"/>
        <s v="ARKE"/>
        <s v="SOUTH"/>
        <s v="HOUSTON"/>
        <s v="NAUTIKA"/>
        <s v="MOR "/>
        <s v="HUMMER"/>
        <s v="CAPRI"/>
        <s v="ADANS"/>
        <s v="SASAZAKI"/>
        <s v="VOTORANTIM"/>
        <s v="AQUALIMP"/>
        <s v="MORLAN"/>
        <s v="FORTALEZA"/>
        <s v="INSUL"/>
        <s v="PLASBIL"/>
        <s v="RB BENEFICIAMENTOS"/>
        <s v="SEMPRE COLA"/>
        <s v="TECNOMA"/>
        <s v="ITAMBÉ"/>
        <s v="TUPI"/>
        <s v="ESQUADRIAS MOLOSSI"/>
        <s v=""/>
        <s v="REAL"/>
        <s v="MARISTELA"/>
        <s v="QUARTZOLIT"/>
        <s v="METALMAX"/>
        <s v="MAXIM AR"/>
        <s v="METHA"/>
        <s v="SOLARIS"/>
        <s v="R CASAGRANDE"/>
        <s v="PLASTIFIBRA"/>
        <s v="RONDOSUL"/>
        <s v="ELECTROVIDRO"/>
        <s v="FORTLEV"/>
        <s v="TELHABRAS"/>
        <s v="FUCK"/>
        <s v="SALETE"/>
        <s v="CRUZADO"/>
        <s v="PADRE BENTO"/>
        <s v="FABRIPAL"/>
        <s v="ODEM"/>
        <s v="MARTINS "/>
        <s v="CALHA FORTE"/>
        <s v="COFER"/>
        <s v="AQUAPLUV"/>
        <s v="ORTOBOM"/>
        <s v="CASTOR "/>
        <s v="PELMEX"/>
        <s v="MANNES"/>
        <s v="RENNA"/>
        <s v="LINO FORTE"/>
        <s v="LINKS"/>
        <s v="AMERICANFLEX"/>
        <s v="HELLEN"/>
        <s v="RIVATTI"/>
        <s v="DIVANI"/>
        <s v="CLASIC HOME"/>
        <s v="AÇODESIGN"/>
        <s v="PAROPAS"/>
        <s v="MILENIO MÓVEIS"/>
        <s v="ORB"/>
        <s v="UMAFLEX"/>
        <s v="WOOD STOK"/>
        <s v="STAPLES"/>
        <s v="KETER"/>
        <s v="KAPPESBERG"/>
        <s v="GAZIN"/>
        <s v="BUTZKE"/>
        <s v="SICAD"/>
        <s v="PURA MAGIA"/>
        <s v="MADETEC"/>
        <s v="CONFORT"/>
        <s v="ARTELY"/>
        <s v="TOP MOVEIS"/>
        <s v="VITRINE"/>
        <s v="SANTOS ANDIRÁ"/>
        <s v="CIADOMÓVEL"/>
        <s v="BRASUTIL"/>
        <s v="BRV"/>
        <s v="STAR"/>
        <s v="POLITORNO"/>
        <s v="HENN"/>
        <s v="ZANZINI MÓVEIS"/>
        <s v="POLITORNO MÓVEIS"/>
        <s v="MULTIMÓVEIS"/>
        <s v="D'ITÁLIA"/>
        <s v="CASATEMA"/>
        <s v="GALZERANO"/>
        <s v="BURIGOTTO"/>
        <s v="DALLA COSTA"/>
        <s v="QUADRI LTDA"/>
        <s v="MULTIMOVEIS"/>
        <s v="TUTTI BABY"/>
        <s v="DISNEY"/>
        <s v="MULTIVISÃO"/>
        <s v="COSCO"/>
        <s v="BETILI"/>
        <s v="LENOX"/>
        <s v="DAF"/>
        <s v="NANIA"/>
        <s v="ARTINMÓVEIS"/>
        <s v="MARCKERIC"/>
        <s v=" KAPPESBERG"/>
        <s v="CLASSIC HOME"/>
        <s v="INTER LINK"/>
        <s v="STAY PUFF"/>
        <s v="CARAMBELLA"/>
        <s v="MÓVEIS K1"/>
        <s v="MAGAZINE"/>
      </sharedItems>
    </cacheField>
    <cacheField name="ALTURA (cm)" numFmtId="0">
      <sharedItems containsSemiMixedTypes="0" containsString="0" containsNumber="1" minValue="0.2" maxValue="1830"/>
    </cacheField>
    <cacheField name="COMPRIMENTO (cm)" numFmtId="0">
      <sharedItems containsSemiMixedTypes="0" containsString="0" containsNumber="1" minValue="0.79" maxValue="10500000"/>
    </cacheField>
    <cacheField name="LARGURA (cm)" numFmtId="0">
      <sharedItems containsSemiMixedTypes="0" containsString="0" containsNumber="1" minValue="0.17" maxValue="10000"/>
    </cacheField>
    <cacheField name="PESO UNIT (kg)" numFmtId="0">
      <sharedItems containsSemiMixedTypes="0" containsString="0" containsNumber="1" minValue="0" maxValue="518.88"/>
    </cacheField>
    <cacheField name="VOLUME ITEM (m3)" numFmtId="0">
      <sharedItems containsSemiMixedTypes="0" containsString="0" containsNumber="1" minValue="1.5082199999999999E-6" maxValue="4641"/>
    </cacheField>
    <cacheField name="VOLUME MENSAL DE VENDA(cm3)" numFmtId="0">
      <sharedItems containsSemiMixedTypes="0" containsString="0" containsNumber="1" minValue="9.9959999999999992E-7" maxValue="2520000" count="997">
        <n v="15.2"/>
        <n v="62.668800000000005"/>
        <n v="0.10692"/>
        <n v="31.334400000000002"/>
        <n v="13.1784"/>
        <n v="1.9060799999999998"/>
        <n v="23.76"/>
        <n v="23.500800000000002"/>
        <n v="1.3723776000000001"/>
        <n v="8.7856000000000005"/>
        <n v="35.251200000000004"/>
        <n v="0.69828000000000001"/>
        <n v="3.5"/>
        <n v="2.5"/>
        <n v="1.5259199999999999"/>
        <n v="12.5"/>
        <n v="8.5"/>
        <n v="6.5891999999999999"/>
        <n v="16.5"/>
        <n v="8.0190000000000001"/>
        <n v="14.256000000000002"/>
        <n v="5.4"/>
        <n v="13.365"/>
        <n v="0.74175999999999997"/>
        <n v="7.68"/>
        <n v="7.5"/>
        <n v="12.1495"/>
        <n v="7.92"/>
        <n v="0.40287600000000001"/>
        <n v="14.221902799999997"/>
        <n v="11.12364"/>
        <n v="50.625"/>
        <n v="13.313832000000001"/>
        <n v="9.9"/>
        <n v="10.5"/>
        <n v="15.372672000000001"/>
        <n v="8.1356000000000002"/>
        <n v="7.3220399999999994"/>
        <n v="6.5"/>
        <n v="4.792205"/>
        <n v="12"/>
        <n v="8.64"/>
        <n v="4.5"/>
        <n v="0.3943488"/>
        <n v="5.1480000000000006"/>
        <n v="6.05"/>
        <n v="6"/>
        <n v="1.3679999999999999"/>
        <n v="4.9005000000000001"/>
        <n v="28.125"/>
        <n v="2.8317575000000001"/>
        <n v="4.4745799999999996"/>
        <n v="5.3457800000000004"/>
        <n v="3.5750000000000002"/>
        <n v="14.5"/>
        <n v="1.0944"/>
        <n v="9.7200000000000006"/>
        <n v="0.1368"/>
        <n v="19.600000000000001"/>
        <n v="0.4788"/>
        <n v="4.32"/>
        <n v="3.7078799999999998"/>
        <n v="0.1862"/>
        <n v="2.673"/>
        <n v="2.91588"/>
        <n v="0.36480000000000001"/>
        <n v="2.89575"/>
        <n v="2.4299999999999997"/>
        <n v="5.0625"/>
        <n v="7"/>
        <n v="1.9699200000000001"/>
        <n v="5.5"/>
        <n v="4.3199999999999994"/>
        <n v="0.53200000000000003"/>
        <n v="6.75"/>
        <n v="6.2370000000000001"/>
        <n v="5"/>
        <n v="0.15"/>
        <n v="1.7550000000000001"/>
        <n v="133"/>
        <n v="0.25535999999999998"/>
        <n v="3.4560000000000004"/>
        <n v="1.4580000000000001E-2"/>
        <n v="1.6500000000000001"/>
        <n v="7.000000000000001E-4"/>
        <n v="10.8"/>
        <n v="1.35"/>
        <n v="8.1675000000000004"/>
        <n v="1.71"/>
        <n v="15.5"/>
        <n v="3.1500000000000004"/>
        <n v="1.6875"/>
        <n v="0.17399999999999999"/>
        <n v="1.6"/>
        <n v="7.3440000000000003"/>
        <n v="9.120000000000001"/>
        <n v="5.7023999999999999"/>
        <n v="0.74419199999999996"/>
        <n v="1.14E-2"/>
        <n v="2.0250000000000001E-2"/>
        <n v="1.4000000000000001"/>
        <n v="1.5"/>
        <n v="2.7"/>
        <n v="0.1242"/>
        <n v="0.25"/>
        <n v="2.0650000000000004"/>
        <n v="3.15"/>
        <n v="0.126"/>
        <n v="2.4750000000000001"/>
        <n v="6.93E-2"/>
        <n v="2.52"/>
        <n v="8.6099999999999996E-2"/>
        <n v="0.504"/>
        <n v="3.5402500000000003E-2"/>
        <n v="1.6200000000000003E-2"/>
        <n v="2.016"/>
        <n v="3.5279999999999999E-2"/>
        <n v="2.0625"/>
        <n v="4.8960000000000008"/>
        <n v="8.0360000000000001E-2"/>
        <n v="7.0055124999999996E-2"/>
        <n v="9.5040000000000003E-3"/>
        <n v="1.2149999999999999E-2"/>
        <n v="1"/>
        <n v="2.16"/>
        <n v="3.4649999999999999"/>
        <n v="5.4000000000000003E-3"/>
        <n v="3.2400000000000005E-2"/>
        <n v="8.6821875000000007E-2"/>
        <n v="1.0125E-2"/>
        <n v="7.8300000000000002E-3"/>
        <n v="6.615E-2"/>
        <n v="6.9899200000000009E-2"/>
        <n v="30.24"/>
        <n v="5.2109668800000009"/>
        <n v="5.0646399999999998"/>
        <n v="5.1965997599999998"/>
        <n v="6.0840000000000005"/>
        <n v="4.1687735040000007"/>
        <n v="4.6769397839999991"/>
        <n v="2.664288"/>
        <n v="0.27"/>
        <n v="6.3881999999999994"/>
        <n v="5.6159999999999997"/>
        <n v="5.1839999999999993"/>
        <n v="11.905374"/>
        <n v="390"/>
        <n v="122.625"/>
        <n v="143.85599999999999"/>
        <n v="3.024"/>
        <n v="320.76267299999995"/>
        <n v="180.33750000000001"/>
        <n v="26.758732000000009"/>
        <n v="234"/>
        <n v="133.566"/>
        <n v="145.6"/>
        <n v="50.917549114999993"/>
        <n v="3.8639999999999999"/>
        <n v="17.871000000000002"/>
        <n v="2.3039999999999998"/>
        <n v="249.6"/>
        <n v="70.870800000000003"/>
        <n v="33.135064499999999"/>
        <n v="0.51839999999999997"/>
        <n v="0.77759999999999996"/>
        <n v="5.3759999999999994"/>
        <n v="48.50508"/>
        <n v="103.09"/>
        <n v="30.438829630000004"/>
        <n v="89.95454976000002"/>
        <n v="46.678764600000001"/>
        <n v="30.264569999999999"/>
        <n v="38.657575249999994"/>
        <n v="41.220000000000006"/>
        <n v="84.332390400000008"/>
        <n v="78.710231040000011"/>
        <n v="4.5696000000000003"/>
        <n v="25.271181440999996"/>
        <n v="2.976"/>
        <n v="53.410513920000007"/>
        <n v="0.56159999999999999"/>
        <n v="38.634667499999999"/>
        <n v="23.278920000000003"/>
        <n v="35.650303199999996"/>
        <n v="83.2"/>
        <n v="3.1683749999999997"/>
        <n v="60.750000000000007"/>
        <n v="31.807668060000001"/>
        <n v="40.5"/>
        <n v="5.0600000000000005"/>
        <n v="27.174160000000001"/>
        <n v="0.92273999999999989"/>
        <n v="10.4"/>
        <n v="22.400000000000002"/>
        <n v="5.2312500000000002"/>
        <n v="30.76736"/>
        <n v="25.773"/>
        <n v="24.639999999999997"/>
        <n v="44.792999999999999"/>
        <n v="5.1105599999999987"/>
        <n v="35.484400000000001"/>
        <n v="17.5"/>
        <n v="14.830515"/>
        <n v="18.72"/>
        <n v="65.7072"/>
        <n v="26.202750000000002"/>
        <n v="5.6550000000000002"/>
        <n v="38.934000000000005"/>
        <n v="18.710999999999999"/>
        <n v="32.240355000000001"/>
        <n v="106.66656"/>
        <n v="22.5"/>
        <n v="5.28"/>
        <n v="8.0371199999999998"/>
        <n v="12.92"/>
        <n v="10.0359"/>
        <n v="9.5403000000000002"/>
        <n v="14.62425"/>
        <n v="17.385059999999999"/>
        <n v="15.788920000000001"/>
        <n v="31.5"/>
        <n v="3.8246665599999998"/>
        <n v="25.34156625"/>
        <n v="21.875"/>
        <n v="37.44"/>
        <n v="17.4636"/>
        <n v="6.1421184000000002"/>
        <n v="8.7149999999999999"/>
        <n v="2.508"/>
        <n v="24.96"/>
        <n v="28"/>
        <n v="0.84864000000000006"/>
        <n v="30"/>
        <n v="3.86904"/>
        <n v="0.8930376000000001"/>
        <n v="36.400000000000006"/>
        <n v="0.60491970000000006"/>
        <n v="6.5620800000000008"/>
        <n v="0.63791532000000006"/>
        <n v="1.3060320000000001"/>
        <n v="1.9404000000000001"/>
        <n v="0.92738100000000001"/>
        <n v="0.75441600000000009"/>
        <n v="12.375"/>
        <n v="1.2162149999999998"/>
        <n v="1.0945934999999998"/>
        <n v="0.95959499999999998"/>
        <n v="1.3042575000000001"/>
        <n v="0.73820249999999998"/>
        <n v="7.8090123999999994"/>
        <n v="14.62734"/>
        <n v="217.44268"/>
        <n v="9.3962400000000006"/>
        <n v="10.067399999999999"/>
        <n v="165785.15625"/>
        <n v="8.2249999999999996"/>
        <n v="9.7713000000000001"/>
        <n v="3.4896207499999989"/>
        <n v="0.36"/>
        <n v="5.0489039999999999E-2"/>
        <n v="4.4415000000000004"/>
        <n v="3.5968680000000003E-2"/>
        <n v="33.393499999999996"/>
        <n v="5.5361592000000001E-2"/>
        <n v="126.94136"/>
        <n v="5.1215889600000009E-2"/>
        <n v="5.5039680000000001E-2"/>
        <n v="4.2335999999999999E-2"/>
        <n v="1.2348E-2"/>
        <n v="3.7341720000000002E-2"/>
        <n v="0.3276"/>
        <n v="3.7331999999999997E-2"/>
        <n v="4.4591097599999997E-2"/>
        <n v="0.31198895999999998"/>
        <n v="14550.354000000001"/>
        <n v="0.21600000000000003"/>
        <n v="0.31680000000000003"/>
        <n v="17800.110720000001"/>
        <n v="3.764848932"/>
        <n v="0.378"/>
        <n v="2.9176284000000003"/>
        <n v="7.3125"/>
        <n v="8.6111999999999984"/>
        <n v="2812.5"/>
        <n v="0.17136000000000001"/>
        <n v="1.2342"/>
        <n v="1.1934"/>
        <n v="13.86"/>
        <n v="1.2287999999999999"/>
        <n v="8.5680000000000006E-2"/>
        <n v="2.7676258400000004"/>
        <n v="0.15390000000000001"/>
        <n v="1.1321738999999997"/>
        <n v="5813.4375"/>
        <n v="9.6000000000000009E-3"/>
        <n v="1.472094"/>
        <n v="1.728E-2"/>
        <n v="5780.88"/>
        <n v="7.392E-2"/>
        <n v="1.8498016319999999"/>
        <n v="9.7199999999999995E-2"/>
        <n v="763.2"/>
        <n v="4706.4000000000005"/>
        <n v="60.69"/>
        <n v="2802.9375"/>
        <n v="340.23990000000003"/>
        <n v="48"/>
        <n v="5499.731952000001"/>
        <n v="8.4240000000000009E-2"/>
        <n v="0.1134"/>
        <n v="723.05352000000005"/>
        <n v="54.4"/>
        <n v="4.6080000000000003E-4"/>
        <n v="9.3553380000000005E-2"/>
        <n v="4.7374200000000005E-2"/>
        <n v="2.2475347999999999E-2"/>
        <n v="1.4720819999999999E-2"/>
        <n v="7.0664000000000005E-3"/>
        <n v="1.0353771600000003E-3"/>
        <n v="1.1424E-3"/>
        <n v="9.9123200000000022E-3"/>
        <n v="7.2737280000000001E-3"/>
        <n v="8.9999999999999993E-3"/>
        <n v="5.8080000000000006E-5"/>
        <n v="1.3328000000000001E-3"/>
        <n v="1.3440000000000001E-3"/>
        <n v="1.428E-3"/>
        <n v="9.7200000000000009E-2"/>
        <n v="6.4418815999999993E-3"/>
        <n v="1.712128E-3"/>
        <n v="1.0692E-4"/>
        <n v="3.2399999999999998E-3"/>
        <n v="1.6063920000000003E-3"/>
        <n v="2.1167999999999998E-3"/>
        <n v="2.8223580000000005E-2"/>
        <n v="1.9800000000000004E-3"/>
        <n v="455"/>
        <n v="5.76"/>
        <n v="195.53280000000001"/>
        <n v="38.475000000000001"/>
        <n v="171.80064000000002"/>
        <n v="42.757874999999999"/>
        <n v="19.320525"/>
        <n v="222.3"/>
        <n v="48.260100000000001"/>
        <n v="14.981400000000001"/>
        <n v="71.651475000000005"/>
        <n v="52.621799999999993"/>
        <n v="218.4"/>
        <n v="18.752999999999997"/>
        <n v="50.49"/>
        <n v="32.703356999999997"/>
        <n v="24.0426"/>
        <n v="14.1"/>
        <n v="29.16"/>
        <n v="72"/>
        <n v="62.744"/>
        <n v="19.626749999999998"/>
        <n v="18.857250000000001"/>
        <n v="150"/>
        <n v="24.494399999999999"/>
        <n v="24.4224"/>
        <n v="213.74999999999997"/>
        <n v="17.509049999999998"/>
        <n v="76.545000000000002"/>
        <n v="6.4312499999999995"/>
        <n v="65.950199999999995"/>
        <n v="191.25"/>
        <n v="14.4072"/>
        <n v="0.84"/>
        <n v="1.26464"/>
        <n v="67.8"/>
        <n v="5.64"/>
        <n v="38.43"/>
        <n v="15.120000000000001"/>
        <n v="205.90199999999999"/>
        <n v="34.299999999999997"/>
        <n v="25.65"/>
        <n v="4.59375"/>
        <n v="3.8015999999999996"/>
        <n v="1.9000000000000001"/>
        <n v="0.96"/>
        <n v="13.5"/>
        <n v="4.6800000000000006"/>
        <n v="4.6499999999999995"/>
        <n v="9.4499999999999993"/>
        <n v="1392300"/>
        <n v="864"/>
        <n v="0.6"/>
        <n v="2.6928000000000001"/>
        <n v="22.425359999999998"/>
        <n v="2.6459999999999999"/>
        <n v="9"/>
        <n v="21.6"/>
        <n v="7.2319999999999993"/>
        <n v="2.97"/>
        <n v="25.92"/>
        <n v="133.28"/>
        <n v="0.17534720000000004"/>
        <n v="0.89999999999999991"/>
        <n v="3.1320000000000001"/>
        <n v="4.4999999999999998E-2"/>
        <n v="0.156975"/>
        <n v="0.69600000000000006"/>
        <n v="0.67199999999999993"/>
        <n v="0.20412499999999997"/>
        <n v="1.7999999999999998"/>
        <n v="3.12"/>
        <n v="0.22112999999999999"/>
        <n v="0.54810000000000003"/>
        <n v="53.296005000000001"/>
        <n v="1.8199999999999998"/>
        <n v="0.54"/>
        <n v="0.76439999999999997"/>
        <n v="43.680000000000007"/>
        <n v="0.28079999999999999"/>
        <n v="0.110565"/>
        <n v="1.44"/>
        <n v="45.405360000000002"/>
        <n v="0.21"/>
        <n v="0.495"/>
        <n v="0.43199999999999994"/>
        <n v="2.08"/>
        <n v="0.16"/>
        <n v="2.31"/>
        <n v="0.4"/>
        <n v="0.43221600000000004"/>
        <n v="0.12936"/>
        <n v="1.96"/>
        <n v="8.8229999999999989E-2"/>
        <n v="0.14650999999999997"/>
        <n v="0.18"/>
        <n v="2.8799999999999999E-2"/>
        <n v="1.1519999999999999"/>
        <n v="4.3200000000000001E-3"/>
        <n v="1.2000000000000001E-3"/>
        <n v="1.5675000000000001"/>
        <n v="3.7125000000000004"/>
        <n v="1.9799999999999998"/>
        <n v="7.2250000000000005"/>
        <n v="0.23040000000000002"/>
        <n v="2.09"/>
        <n v="3.96"/>
        <n v="0.86624999999999996"/>
        <n v="42.9"/>
        <n v="0.82250000000000001"/>
        <n v="0.67"/>
        <n v="4.62"/>
        <n v="2.8727999999999998"/>
        <n v="3"/>
        <n v="5.46"/>
        <n v="18.143999999999998"/>
        <n v="3.2533981199999992E-2"/>
        <n v="0.189"/>
        <n v="1.25"/>
        <n v="7.125"/>
        <n v="18.089400000000001"/>
        <n v="5.25"/>
        <n v="1.3499999999999999"/>
        <n v="9.375E-2"/>
        <n v="1.65"/>
        <n v="0.72"/>
        <n v="1.4175"/>
        <n v="1.2616000000000001"/>
        <n v="5.7120000000000004E-2"/>
        <n v="4.2"/>
        <n v="2.1"/>
        <n v="34.4375"/>
        <n v="0.96599999999999997"/>
        <n v="0.11700000000000001"/>
        <n v="102.60000000000001"/>
        <n v="1.78125"/>
        <n v="0.42250000000000004"/>
        <n v="1.8325020000000003"/>
        <n v="0.11"/>
        <n v="0.13125000000000001"/>
        <n v="0.26"/>
        <n v="0.2"/>
        <n v="0.43200000000000005"/>
        <n v="0.14000000000000001"/>
        <n v="0.74399999999999999"/>
        <n v="0.12"/>
        <n v="0.40949999999999998"/>
        <n v="2.56"/>
        <n v="0.09"/>
        <n v="0.82499999999999996"/>
        <n v="14.938700700000002"/>
        <n v="0.25312500000000004"/>
        <n v="7.4999999999999997E-2"/>
        <n v="1.05"/>
        <n v="0.22499999999999998"/>
        <n v="1.6800000000000002"/>
        <n v="0.17100000000000001"/>
        <n v="0.45374999999999999"/>
        <n v="0.57599999999999996"/>
        <n v="0.144375"/>
        <n v="0.23625000000000002"/>
        <n v="0.52500000000000002"/>
        <n v="1.9950000000000001"/>
        <n v="9.5999999999999988E-2"/>
        <n v="1.03125"/>
        <n v="0.9375"/>
        <n v="0.24"/>
        <n v="0.375"/>
        <n v="0.224"/>
        <n v="2.052"/>
        <n v="1.6921875"/>
        <n v="0.06"/>
        <n v="0.35971999999999998"/>
        <n v="1.3500000000000002E-2"/>
        <n v="8.0999999999999989E-2"/>
        <n v="0.28125"/>
        <n v="0.5766"/>
        <n v="0.13500000000000001"/>
        <n v="6.0000000000000006E-4"/>
        <n v="0.35000000000000003"/>
        <n v="0.40800000000000003"/>
        <n v="0.32500000000000001"/>
        <n v="1.549625"/>
        <n v="3.0000000000000003E-4"/>
        <n v="8.25"/>
        <n v="7.919999999999999"/>
        <n v="0.43124999999999997"/>
        <n v="1.575"/>
        <n v="0.1875"/>
        <n v="0.03"/>
        <n v="0.84500000000000008"/>
        <n v="0.70000000000000007"/>
        <n v="5.2919999999999998"/>
        <n v="0.328125"/>
        <n v="0.3"/>
        <n v="0.16414999999999999"/>
        <n v="0.234375"/>
        <n v="1.7324999999999999"/>
        <n v="1.4999999999999999E-2"/>
        <n v="4.0639218750000001"/>
        <n v="5.3199999999999997E-2"/>
        <n v="0.05"/>
        <n v="7.6999999999999999E-2"/>
        <n v="7.0000000000000007E-2"/>
        <n v="0.30780000000000002"/>
        <n v="9.3795000000000003E-2"/>
        <n v="3.15E-2"/>
        <n v="0.3024"/>
        <n v="1.5551999999999999"/>
        <n v="0.252"/>
        <n v="2.5500612499999997"/>
        <n v="2.8000000000000001E-2"/>
        <n v="0.64837500000000003"/>
        <n v="11.200000000000001"/>
        <n v="1.5675000000000003"/>
        <n v="0.49685999999999997"/>
        <n v="0.245"/>
        <n v="0.23730000000000001"/>
        <n v="6.3"/>
        <n v="3.9375E-2"/>
        <n v="1.1039999999999999E-2"/>
        <n v="0.35640000000000005"/>
        <n v="1.4962500000000001"/>
        <n v="1.0009999999999999"/>
        <n v="1.08"/>
        <n v="6.3E-2"/>
        <n v="0.08"/>
        <n v="0.14399999999999999"/>
        <n v="0.98640000000000005"/>
        <n v="1.0548999999999999"/>
        <n v="4.3414799999999996E-2"/>
        <n v="5.1079600000000003E-2"/>
        <n v="4.95"/>
        <n v="3.705E-2"/>
        <n v="0.19600000000000001"/>
        <n v="0.25740000000000002"/>
        <n v="4.8999999999999998E-3"/>
        <n v="1.2"/>
        <n v="5.1680000000000001"/>
        <n v="0.93600000000000005"/>
        <n v="0.23460000000000003"/>
        <n v="0.9042"/>
        <n v="0.84375"/>
        <n v="9.3366000000000005E-2"/>
        <n v="0.21599999999999997"/>
        <n v="2.5798499999999999E-2"/>
        <n v="0.33119999999999999"/>
        <n v="0.56699999999999995"/>
        <n v="1.1520000000000001E-2"/>
        <n v="2.7845999999999999E-2"/>
        <n v="3.0758000000000004E-2"/>
        <n v="0.90749374999999999"/>
        <n v="0.29159999999999997"/>
        <n v="0.19305"/>
        <n v="1.53425E-2"/>
        <n v="1.35E-2"/>
        <n v="0.42399999999999999"/>
        <n v="2.4"/>
        <n v="1.9200000000000002E-2"/>
        <n v="1.2800000000000001E-2"/>
        <n v="9.4380000000000006E-2"/>
        <n v="1.8749999999999999E-2"/>
        <n v="1.232"/>
        <n v="1.1482460000000001"/>
        <n v="0.34902"/>
        <n v="4.3947E-2"/>
        <n v="0.61439999999999995"/>
        <n v="0.66875000000000007"/>
        <n v="1.5433600000000001E-5"/>
        <n v="0.36750000000000005"/>
        <n v="2.4335999999999997E-2"/>
        <n v="0.25650000000000001"/>
        <n v="3.3468750000000005E-2"/>
        <n v="0.41399999999999998"/>
        <n v="1.2825"/>
        <n v="0.9"/>
        <n v="4.8"/>
        <n v="0.21375"/>
        <n v="36.75"/>
        <n v="0.27993600000000002"/>
        <n v="3.52"/>
        <n v="0.192"/>
        <n v="8.064E-3"/>
        <n v="0.156"/>
        <n v="0.32399999999999995"/>
        <n v="2.907"/>
        <n v="0.34992000000000001"/>
        <n v="8.9249999999999996E-2"/>
        <n v="0.21714"/>
        <n v="0.1729"/>
        <n v="5.7330000000000005"/>
        <n v="8.1647999999999996"/>
        <n v="0.47609999999999997"/>
        <n v="0.27539999999999998"/>
        <n v="1.6853760000000002E-2"/>
        <n v="1.6875000000000001E-2"/>
        <n v="5.3999999999999992E-2"/>
        <n v="3.4000000000000002E-2"/>
        <n v="0.23327999999999999"/>
        <n v="5.2211250000000001E-2"/>
        <n v="0.14699999999999999"/>
        <n v="0.04"/>
        <n v="6.7500000000000004E-2"/>
        <n v="0.12378975"/>
        <n v="0.32200000000000001"/>
        <n v="1.8562499999999999E-2"/>
        <n v="0.15778124999999998"/>
        <n v="4"/>
        <n v="7.8750000000000001E-2"/>
        <n v="50.616"/>
        <n v="1.6799999999999999E-2"/>
        <n v="510.3"/>
        <n v="38.4"/>
        <n v="1.3440000000000001E-2"/>
        <n v="31.32"/>
        <n v="1066.24"/>
        <n v="11.231999999999999"/>
        <n v="9.6000000000000013E-4"/>
        <n v="4.8000000000000001E-2"/>
        <n v="8.7500000000000008E-2"/>
        <n v="0.19018125"/>
        <n v="1955.328"/>
        <n v="1372.68"/>
        <n v="256.2"/>
        <n v="0.1097307"/>
        <n v="0.26496000000000003"/>
        <n v="54"/>
        <n v="25.344000000000001"/>
        <n v="1092"/>
        <n v="627.44000000000005"/>
        <n v="3045.4859999999999"/>
        <n v="12.635999999999999"/>
        <n v="1718.0064"/>
        <n v="15.96"/>
        <n v="3.5999999999999999E-3"/>
        <n v="1.188E-2"/>
        <n v="6.2500000000000003E-3"/>
        <n v="43.68"/>
        <n v="1135.134"/>
        <n v="2.1687749999999999E-2"/>
        <n v="4.4115000000000002"/>
        <n v="2.4187500000000001E-2"/>
        <n v="7.6562500000000006E-2"/>
        <n v="54.72"/>
        <n v="8.8000000000000005E-3"/>
        <n v="6.3179999999999996"/>
        <n v="4.3679999999999997E-2"/>
        <n v="63.231999999999999"/>
        <n v="0.20480000000000001"/>
        <n v="0.23663999999999996"/>
        <n v="3.183975E-2"/>
        <n v="1.1885400000000001E-3"/>
        <n v="1.6000000000000001E-3"/>
        <n v="4.3333289999999997E-2"/>
        <n v="1E-3"/>
        <n v="1.0560000000000001E-3"/>
        <n v="2.0302250000000001E-2"/>
        <n v="7.83675E-3"/>
        <n v="2E-3"/>
        <n v="0.125"/>
        <n v="3.685045E-2"/>
        <n v="4.8240000000000002E-3"/>
        <n v="6.3259200000000002E-2"/>
        <n v="1.128375E-2"/>
        <n v="8.4100000000000008E-3"/>
        <n v="6.8771499999999999E-2"/>
        <n v="2.1000000000000001E-2"/>
        <n v="1.8928E-3"/>
        <n v="4.5678920000000005E-2"/>
        <n v="1.6800000000000001E-3"/>
        <n v="1.10484E-2"/>
        <n v="6.390251999999999E-2"/>
        <n v="0.1"/>
        <n v="9.12636E-3"/>
        <n v="3.4700399999999999E-2"/>
        <n v="4.4927999999999999E-3"/>
        <n v="30.593471999999998"/>
        <n v="30.073679999999996"/>
        <n v="0.58055999999999996"/>
        <n v="0.39798"/>
        <n v="2.2267800000000002"/>
        <n v="5.3448000000000002"/>
        <n v="9.1315200000000001"/>
        <n v="27.513359999999999"/>
        <n v="1.2295799999999999"/>
        <n v="1.7556000000000003"/>
        <n v="1.7960700000000003"/>
        <n v="1.6803599999999999"/>
        <n v="46.8"/>
        <n v="0.63590999999999998"/>
        <n v="1.3049999999999999"/>
        <n v="35.720999999999997"/>
        <n v="15.600000000000001"/>
        <n v="0.62617500000000004"/>
        <n v="21.167999999999999"/>
        <n v="3.0005640000000002"/>
        <n v="2.14032"/>
        <n v="17.198999999999998"/>
        <n v="19.440000000000001"/>
        <n v="1.712304"/>
        <n v="0.82425599999999999"/>
        <n v="0.65940480000000001"/>
        <n v="9.6000000000000002E-2"/>
        <n v="1.4332499999999999"/>
        <n v="54.599999999999994"/>
        <n v="78"/>
        <n v="65.52"/>
        <n v="1648.6399999999999"/>
        <n v="49.139999999999993"/>
        <n v="26.5"/>
        <n v="1180"/>
        <n v="15"/>
        <n v="5.3"/>
        <n v="27.029999999999998"/>
        <n v="31.104000000000003"/>
        <n v="15.628500000000003"/>
        <n v="42.24"/>
        <n v="23.759999999999998"/>
        <n v="2520000"/>
        <n v="23.328000000000003"/>
        <n v="10.4247"/>
        <n v="10.368"/>
        <n v="20.16"/>
        <n v="9.7919999999999998"/>
        <n v="1.92"/>
        <n v="3.8707199999999999"/>
        <n v="8.6399999999999988"/>
        <n v="0.86399999999999999"/>
        <n v="7.99"/>
        <n v="7.5087999999999999"/>
        <n v="78.408000000000001"/>
        <n v="3.6479999999999997"/>
        <n v="2.4192"/>
        <n v="8.4157920000000015"/>
        <n v="8.7515999999999998"/>
        <n v="9.5386499999999987"/>
        <n v="5.7120000000000006"/>
        <n v="2.8080000000000003"/>
        <n v="2.3104"/>
        <n v="5.2749999999999995"/>
        <n v="0.15040000000000001"/>
        <n v="7.2309599999999996"/>
        <n v="8.2432943999999999"/>
        <n v="1.7145600000000001"/>
        <n v="5.5250000000000004"/>
        <n v="4.83"/>
        <n v="6.4151999999999996"/>
        <n v="2.1168"/>
        <n v="8.098833599999999"/>
        <n v="5.7960000000000003"/>
        <n v="134400"/>
        <n v="8.0640000000000001"/>
        <n v="9.2291759999999989"/>
        <n v="7.14384"/>
        <n v="6.0662499999999993"/>
        <n v="3.9975000000000001"/>
        <n v="142800"/>
        <n v="0.36225292000000003"/>
        <n v="4.0297499999999999"/>
        <n v="5.1128999999999998"/>
        <n v="4.7300000000000004"/>
        <n v="0.91252500000000003"/>
        <n v="3.3600000000000003"/>
        <n v="0.89672400000000008"/>
        <n v="499.20000000000005"/>
        <n v="1.152E-3"/>
        <n v="5.9999999999999995E-4"/>
        <n v="2.3999999999999999E-6"/>
        <n v="2.8800000000000003E-2"/>
        <n v="1.9199999999999998E-2"/>
        <n v="9.9959999999999992E-7"/>
        <n v="54.482399999999998"/>
        <n v="109.0635"/>
        <n v="50.850239999999999"/>
        <n v="60.708960000000005"/>
        <n v="58.373999999999995"/>
        <n v="6.0328799999999997E-5"/>
        <n v="66.157200000000003"/>
        <n v="89.506799999999998"/>
        <n v="120.66600000000001"/>
        <n v="52.195050000000002"/>
        <n v="154.56"/>
        <n v="35.283839999999998"/>
        <n v="29.441279999999999"/>
        <n v="53.963520000000003"/>
        <n v="27.747719999999997"/>
        <n v="71.961889999999997"/>
        <n v="287.05725000000001"/>
        <n v="43.585920000000002"/>
        <n v="34.064160000000001"/>
        <n v="37.260000000000005"/>
        <n v="34.684159999999999"/>
        <n v="129.30720000000002"/>
        <n v="53.90625"/>
        <n v="39.953760000000003"/>
        <n v="24.024000000000001"/>
        <n v="11.228301"/>
        <n v="7.32"/>
        <n v="98.035200000000003"/>
        <n v="46.2"/>
        <n v="50.896300000000004"/>
        <n v="30.395250000000001"/>
        <n v="58.06944"/>
        <n v="7.2487999999999992"/>
        <n v="25.643519999999999"/>
        <n v="35.355600000000003"/>
        <n v="42.804000000000002"/>
        <n v="29.106000000000002"/>
        <n v="38.220000000000006"/>
        <n v="19.615919999999999"/>
        <n v="31.199069999999999"/>
        <n v="77.112000000000009"/>
        <n v="12.889799999999999"/>
        <n v="73.44"/>
        <n v="117.73056"/>
        <n v="15.299999999999999"/>
        <n v="10.4664"/>
        <n v="1.9758297599999999"/>
        <n v="17.629920000000002"/>
        <n v="29.571839999999995"/>
        <n v="78.988799999999998"/>
        <n v="34.436219999999999"/>
        <n v="27.444055500000001"/>
        <n v="48.692160000000001"/>
        <n v="15.684839999999999"/>
        <n v="88.297920000000005"/>
        <n v="28.9255"/>
        <n v="26.277615000000001"/>
        <n v="45.830639999999995"/>
        <n v="25.875359999999993"/>
        <n v="25.76"/>
        <n v="42.693750000000001"/>
        <n v="25.38"/>
        <n v="19.844999999999999"/>
        <n v="15.930000000000001"/>
        <n v="20.269439999999999"/>
        <n v="25.489800000000002"/>
        <n v="8.4420000000000002"/>
        <n v="33.895619999999994"/>
        <n v="63.646134749999995"/>
        <n v="26.920349999999999"/>
        <n v="31.982324999999999"/>
        <n v="39.1"/>
        <n v="49.394111999999993"/>
        <n v="34.217280000000002"/>
        <n v="51.681359999999998"/>
        <n v="54.400000000000006"/>
        <n v="16.0854"/>
        <n v="35.043840000000003"/>
        <n v="26.297520000000002"/>
        <n v="1.5271999999999999"/>
        <n v="28.029119999999999"/>
        <n v="10.520949999999999"/>
        <n v="39.721499999999999"/>
        <n v="12.494999999999999"/>
        <n v="19.6416"/>
        <n v="22.32"/>
        <n v="4.7134500000000008"/>
        <n v="23.879760000000001"/>
        <n v="12.818"/>
        <n v="7.0200000000000005"/>
        <n v="28.304320000000001"/>
        <n v="33.350729999999999"/>
        <n v="36.903600000000004"/>
        <n v="22.077120000000001"/>
        <n v="26.207999999999998"/>
        <n v="26.134164000000002"/>
        <n v="3.8364000000000003"/>
        <n v="4.7978700000000005"/>
        <n v="19.9206"/>
        <n v="26.27037"/>
        <n v="19.312639999999998"/>
        <n v="22.511366656000003"/>
        <n v="21.130559999999999"/>
        <n v="18.635484374999997"/>
        <n v="17.193568350000003"/>
        <n v="18.225000000000001"/>
        <n v="9.2887199999999996"/>
        <n v="17.229023999999999"/>
        <n v="15.204149999999998"/>
        <n v="16.492580100000001"/>
        <n v="8.0003720399999985"/>
        <n v="32.696729999999995"/>
        <n v="7.6625999999999994"/>
        <n v="12.536160000000001"/>
        <n v="0.907605"/>
        <n v="14.552999999999999"/>
        <n v="25.297280000000001"/>
        <n v="6.1758449999999998"/>
        <n v="4.0919999999999996"/>
        <n v="13.518847999999998"/>
        <n v="39.373125000000002"/>
        <n v="12.9064"/>
        <n v="13.608000000000001"/>
        <n v="12.201000000000001"/>
        <n v="19.089300000000001"/>
        <n v="13.103999999999999"/>
        <n v="13.363200000000001"/>
        <n v="9.1976999999999993"/>
        <n v="6.3360000000000003"/>
        <n v="1.2069749999999999"/>
        <n v="6.39846"/>
        <n v="12.265026000000001"/>
        <n v="14.662500000000001"/>
        <n v="8.0351999999999997"/>
        <n v="7.0955999999999992"/>
        <n v="13.89696"/>
        <n v="12.47991"/>
        <n v="11.232000000000001"/>
        <n v="3.2736000000000001"/>
        <n v="20.399999999999999"/>
        <n v="1.3932"/>
        <n v="8.1891039999999986"/>
        <n v="8.2954559999999997"/>
        <n v="15.144120000000001"/>
        <n v="11.46142"/>
        <n v="2.967552"/>
        <n v="9.5208499999999994"/>
        <n v="6.5438099999999997"/>
        <n v="13.06368"/>
        <n v="1.5984"/>
        <n v="2.4281099999999998"/>
        <n v="2.8643999999999998"/>
        <n v="8307.9026250000006"/>
        <n v="7162.0198"/>
        <n v="2.497824"/>
        <n v="9.0086399999999998"/>
        <n v="5.4405000000000001"/>
        <n v="8.4134999999999991"/>
        <n v="2.4639120000000001"/>
        <n v="2.36436"/>
        <n v="5.7119999999999997"/>
        <n v="2.5987499999999999"/>
        <n v="7.3940399999999995"/>
        <n v="10.41624"/>
        <n v="8.594061"/>
        <n v="5.9135999999999997"/>
        <n v="0.85248000000000002"/>
        <n v="1.85436"/>
        <n v="1.3751399999999998"/>
        <n v="5.3031839999999999"/>
        <n v="5.9975999999999994"/>
        <n v="0.67230000000000001"/>
        <n v="1.6897439999999999"/>
        <n v="2.3519999999999999"/>
        <n v="2.6250000000000004"/>
        <n v="1.9074"/>
        <n v="1.3824000000000001"/>
        <n v="1.4774400000000001"/>
        <n v="1.4585999999999999"/>
        <n v="1.9468799999999999"/>
        <n v="2.1288960000000001"/>
        <n v="0.88319999999999999"/>
        <n v="1.4385600000000001"/>
        <n v="1.512"/>
        <n v="1.7688999999999999"/>
        <n v="1.365"/>
        <n v="1.3387500000000001"/>
        <n v="1.008"/>
        <n v="3.2831999999999999"/>
        <n v="0.49"/>
      </sharedItems>
    </cacheField>
    <cacheField name="QTD MENSAL DE VENDA" numFmtId="165">
      <sharedItems containsSemiMixedTypes="0" containsString="0" containsNumber="1" minValue="2E-3" maxValue="222857.14285714287"/>
    </cacheField>
    <cacheField name="VALOR MENSAL DE VENDA" numFmtId="164">
      <sharedItems containsSemiMixedTypes="0" containsString="0" containsNumber="1" minValue="6.8000000000000005E-3" maxValue="4277000" count="1395">
        <n v="758100"/>
        <n v="607680"/>
        <n v="479520"/>
        <n v="463839.99999999994"/>
        <n v="452800"/>
        <n v="438400"/>
        <n v="395760"/>
        <n v="374400"/>
        <n v="338880"/>
        <n v="279576"/>
        <n v="260256.00000000003"/>
        <n v="253320"/>
        <n v="240000"/>
        <n v="235200"/>
        <n v="228000"/>
        <n v="216000"/>
        <n v="215520"/>
        <n v="205680"/>
        <n v="204000"/>
        <n v="192000"/>
        <n v="191840"/>
        <n v="190620"/>
        <n v="186720"/>
        <n v="183840"/>
        <n v="180000"/>
        <n v="175040"/>
        <n v="174000"/>
        <n v="169440"/>
        <n v="163515.625"/>
        <n v="155937.5"/>
        <n v="151296"/>
        <n v="144000"/>
        <n v="135200"/>
        <n v="133482.14285714287"/>
        <n v="127840.00000000001"/>
        <n v="126000"/>
        <n v="120681.16914023625"/>
        <n v="112560"/>
        <n v="111840.00000000001"/>
        <n v="107880"/>
        <n v="104280"/>
        <n v="102240"/>
        <n v="101400"/>
        <n v="100716.00000000001"/>
        <n v="99720"/>
        <n v="98280"/>
        <n v="96840"/>
        <n v="95880"/>
        <n v="95760.000000000015"/>
        <n v="94980"/>
        <n v="93660"/>
        <n v="93480"/>
        <n v="93177.777777777781"/>
        <n v="90440"/>
        <n v="89820"/>
        <n v="89640"/>
        <n v="83880"/>
        <n v="83700"/>
        <n v="83400"/>
        <n v="80280"/>
        <n v="72760"/>
        <n v="72484.166080225186"/>
        <n v="69850"/>
        <n v="69000"/>
        <n v="68400"/>
        <n v="66600"/>
        <n v="66197.513488153869"/>
        <n v="66000"/>
        <n v="63422"/>
        <n v="58464"/>
        <n v="57240"/>
        <n v="55598.400000000001"/>
        <n v="54600"/>
        <n v="54074.000000000007"/>
        <n v="53880"/>
        <n v="53640"/>
        <n v="53214"/>
        <n v="53200"/>
        <n v="51979.999999999993"/>
        <n v="50436"/>
        <n v="50360"/>
        <n v="49306.111111111109"/>
        <n v="48180"/>
        <n v="47844"/>
        <n v="47520"/>
        <n v="47160"/>
        <n v="46737.213403880072"/>
        <n v="46728.000000000007"/>
        <n v="46691.999999999993"/>
        <n v="43960"/>
        <n v="43490.499648135112"/>
        <n v="42788"/>
        <n v="39936"/>
        <n v="39507.974999999999"/>
        <n v="37180"/>
        <n v="36688.311688311682"/>
        <n v="35880"/>
        <n v="35640"/>
        <n v="34124"/>
        <n v="32868"/>
        <n v="32566.625"/>
        <n v="32448"/>
        <n v="31069.958847736627"/>
        <n v="30953.999999999996"/>
        <n v="30733.999999999996"/>
        <n v="30290"/>
        <n v="29505.125"/>
        <n v="28832.375"/>
        <n v="27782"/>
        <n v="25840"/>
        <n v="23397.074999999997"/>
        <n v="23256"/>
        <n v="21932.625"/>
        <n v="21929.375"/>
        <n v="21922.875"/>
        <n v="21786.375"/>
        <n v="21736"/>
        <n v="21560"/>
        <n v="21144"/>
        <n v="20444"/>
        <n v="20368"/>
        <n v="20364"/>
        <n v="19164"/>
        <n v="19000"/>
        <n v="17940"/>
        <n v="17547.075000000001"/>
        <n v="16760"/>
        <n v="16318.574999999999"/>
        <n v="16043.999999999998"/>
        <n v="15060.825000000001"/>
        <n v="14797.574999999999"/>
        <n v="14300.325000000001"/>
        <n v="13042.574999999999"/>
        <n v="12545.325000000001"/>
        <n v="12077.160493827159"/>
        <n v="11020"/>
        <n v="10947.318007662834"/>
        <n v="10715.25"/>
        <n v="10434.865900383142"/>
        <n v="10032"/>
        <n v="9782.0378151260502"/>
        <n v="9160"/>
        <n v="9123.0750000000007"/>
        <n v="8157.8249999999998"/>
        <n v="8070.0750000000007"/>
        <n v="8050.5590666018479"/>
        <n v="8012.5"/>
        <n v="7876.0500000000011"/>
        <n v="7790"/>
        <n v="7777.5750000000007"/>
        <n v="7751.9999999999991"/>
        <n v="7507.758620689654"/>
        <n v="7156.5"/>
        <n v="7009.2911877394627"/>
        <n v="6980.1587301587297"/>
        <n v="6970.5"/>
        <n v="6914.7000000000007"/>
        <n v="6394.5"/>
        <n v="6198.0750000000007"/>
        <n v="6064.2361111111113"/>
        <n v="5795"/>
        <n v="5569.3028761627284"/>
        <n v="5536.7"/>
        <n v="4944.8275862068967"/>
        <n v="4501.5749999999998"/>
        <n v="4223.375"/>
        <n v="4215.5172413793098"/>
        <n v="4065.428571428572"/>
        <n v="4062.8249999999998"/>
        <n v="3898.375"/>
        <n v="3767.4999999999995"/>
        <n v="3735.875"/>
        <n v="3611.2068965517237"/>
        <n v="3565.5749999999998"/>
        <n v="3420"/>
        <n v="3390.0749999999998"/>
        <n v="3313.6000000000004"/>
        <n v="3138.7999999999997"/>
        <n v="3109.4999999999995"/>
        <n v="3002.3946360153254"/>
        <n v="2925"/>
        <n v="2916.666666666667"/>
        <n v="2809.625"/>
        <n v="2777.125"/>
        <n v="2665.6084656084658"/>
        <n v="2640"/>
        <n v="2557.1428571428569"/>
        <n v="2527.7777777777778"/>
        <n v="2490"/>
        <n v="2433.333333333333"/>
        <n v="2354.625"/>
        <n v="2299.0500000000002"/>
        <n v="2226.0536398467434"/>
        <n v="2195"/>
        <n v="2193.75"/>
        <n v="2123.5499999999997"/>
        <n v="2077.25"/>
        <n v="1988.8888888888887"/>
        <n v="1853.6826495304003"/>
        <n v="1792.05"/>
        <n v="1746.5"/>
        <n v="1703.7356321839079"/>
        <n v="1700"/>
        <n v="1577.55"/>
        <n v="1493.7"/>
        <n v="1452.5"/>
        <n v="1345.5"/>
        <n v="1304.55"/>
        <n v="1274"/>
        <n v="1233.375"/>
        <n v="1090.05"/>
        <n v="1081.5"/>
        <n v="980"/>
        <n v="859.50000000000011"/>
        <n v="850.49999999999989"/>
        <n v="708.75"/>
        <n v="695.23809523809518"/>
        <n v="665"/>
        <n v="641.55000000000007"/>
        <n v="632.125"/>
        <n v="584.54999999999995"/>
        <n v="570.15"/>
        <n v="535.5"/>
        <n v="521.5"/>
        <n v="445.5"/>
        <n v="323.40000000000003"/>
        <n v="210"/>
        <n v="61200"/>
        <n v="56880"/>
        <n v="54000"/>
        <n v="50400"/>
        <n v="44928"/>
        <n v="38000"/>
        <n v="36500"/>
        <n v="36000"/>
        <n v="28800"/>
        <n v="27000"/>
        <n v="25200"/>
        <n v="17800"/>
        <n v="14400"/>
        <n v="14000"/>
        <n v="13680"/>
        <n v="11600"/>
        <n v="9800"/>
        <n v="8400"/>
        <n v="1312803"/>
        <n v="1132300"/>
        <n v="1014750"/>
        <n v="932700"/>
        <n v="907200"/>
        <n v="850185"/>
        <n v="755650"/>
        <n v="741650"/>
        <n v="646340.5"/>
        <n v="566966"/>
        <n v="549081"/>
        <n v="542880"/>
        <n v="460539"/>
        <n v="429990"/>
        <n v="399000"/>
        <n v="387936"/>
        <n v="372138"/>
        <n v="344640"/>
        <n v="331500"/>
        <n v="329700"/>
        <n v="325728"/>
        <n v="325440"/>
        <n v="315360"/>
        <n v="299000"/>
        <n v="291200"/>
        <n v="285771.19999999995"/>
        <n v="262860"/>
        <n v="260630"/>
        <n v="246080"/>
        <n v="240370"/>
        <n v="230895"/>
        <n v="230650"/>
        <n v="215880"/>
        <n v="215700"/>
        <n v="215320"/>
        <n v="210240"/>
        <n v="183200"/>
        <n v="179329"/>
        <n v="168870"/>
        <n v="166336"/>
        <n v="165110"/>
        <n v="134160"/>
        <n v="129870"/>
        <n v="128303.99999999999"/>
        <n v="128160"/>
        <n v="123165"/>
        <n v="119880"/>
        <n v="116953.2"/>
        <n v="116280"/>
        <n v="111650"/>
        <n v="105480"/>
        <n v="105229.8"/>
        <n v="101745"/>
        <n v="93553.2"/>
        <n v="89900"/>
        <n v="88270"/>
        <n v="82215"/>
        <n v="79900"/>
        <n v="79513.2"/>
        <n v="79000"/>
        <n v="77480"/>
        <n v="75480"/>
        <n v="74900"/>
        <n v="73360"/>
        <n v="71760"/>
        <n v="63677.25"/>
        <n v="63247.275000000001"/>
        <n v="61250"/>
        <n v="60809.58"/>
        <n v="60580"/>
        <n v="58243.5"/>
        <n v="55900"/>
        <n v="54495"/>
        <n v="52900"/>
        <n v="51418.5"/>
        <n v="49920"/>
        <n v="49120.500000000007"/>
        <n v="47920"/>
        <n v="47904"/>
        <n v="47000"/>
        <n v="45850"/>
        <n v="45000"/>
        <n v="42490"/>
        <n v="42105"/>
        <n v="40929.525000000001"/>
        <n v="40560"/>
        <n v="37768.5"/>
        <n v="36832.25"/>
        <n v="36473.579999999994"/>
        <n v="36470"/>
        <n v="29600"/>
        <n v="29015"/>
        <n v="28740"/>
        <n v="27347.58"/>
        <n v="27072.499999999996"/>
        <n v="26940"/>
        <n v="25915.5"/>
        <n v="24960"/>
        <n v="23065"/>
        <n v="21936.2"/>
        <n v="20965"/>
        <n v="18427.2"/>
        <n v="18165"/>
        <n v="12935"/>
        <n v="12915"/>
        <n v="10985"/>
        <n v="10725"/>
        <n v="10335"/>
        <n v="9873.5"/>
        <n v="9425"/>
        <n v="7735"/>
        <n v="5785"/>
        <n v="4165"/>
        <n v="4277000"/>
        <n v="3684800"/>
        <n v="2957710"/>
        <n v="2628710"/>
        <n v="2069410"/>
        <n v="2056250"/>
        <n v="1964130"/>
        <n v="1645000"/>
        <n v="1612100"/>
        <n v="1372200"/>
        <n v="1320000"/>
        <n v="1092280"/>
        <n v="885010"/>
        <n v="780000"/>
        <n v="523110"/>
        <n v="509400"/>
        <n v="493500"/>
        <n v="458400"/>
        <n v="421800"/>
        <n v="419400"/>
        <n v="369000"/>
        <n v="316200"/>
        <n v="173400"/>
        <n v="127500"/>
        <n v="121730"/>
        <n v="105000"/>
        <n v="92120"/>
        <n v="76500"/>
        <n v="75540"/>
        <n v="71400"/>
        <n v="68000"/>
        <n v="65000"/>
        <n v="62400"/>
        <n v="47940"/>
        <n v="47400"/>
        <n v="47340"/>
        <n v="46750"/>
        <n v="44460"/>
        <n v="43500"/>
        <n v="39000"/>
        <n v="37800"/>
        <n v="37200"/>
        <n v="32400"/>
        <n v="28500"/>
        <n v="26240"/>
        <n v="14520"/>
        <n v="10500"/>
        <n v="9750"/>
        <n v="9180"/>
        <n v="8700"/>
        <n v="6760"/>
        <n v="6300"/>
        <n v="5600"/>
        <n v="4800"/>
        <n v="3300"/>
        <n v="2720"/>
        <n v="1360"/>
        <n v="844"/>
        <n v="540"/>
        <n v="280"/>
        <n v="278.59999999999997"/>
        <n v="268"/>
        <n v="256"/>
        <n v="184"/>
        <n v="152"/>
        <n v="140"/>
        <n v="136"/>
        <n v="135.20000000000002"/>
        <n v="127.2"/>
        <n v="112"/>
        <n v="88"/>
        <n v="80"/>
        <n v="56"/>
        <n v="52"/>
        <n v="49.6"/>
        <n v="47.2"/>
        <n v="31.200000000000003"/>
        <n v="30"/>
        <n v="23.200000000000003"/>
        <n v="6"/>
        <n v="1668359.9999999998"/>
        <n v="884970"/>
        <n v="679800"/>
        <n v="597000"/>
        <n v="567980"/>
        <n v="540000"/>
        <n v="521465"/>
        <n v="509700"/>
        <n v="500000"/>
        <n v="484140"/>
        <n v="450000"/>
        <n v="420000"/>
        <n v="419985"/>
        <n v="404035.5"/>
        <n v="400000"/>
        <n v="390000"/>
        <n v="375250"/>
        <n v="371065"/>
        <n v="359940"/>
        <n v="330000"/>
        <n v="319980"/>
        <n v="312750"/>
        <n v="300000"/>
        <n v="285000"/>
        <n v="270000"/>
        <n v="269700"/>
        <n v="250470"/>
        <n v="243936"/>
        <n v="239940"/>
        <n v="227465"/>
        <n v="215996"/>
        <n v="210000"/>
        <n v="207740"/>
        <n v="182970"/>
        <n v="182376"/>
        <n v="159570"/>
        <n v="150465"/>
        <n v="140000"/>
        <n v="139754.5"/>
        <n v="133975"/>
        <n v="130150"/>
        <n v="125964.99999999999"/>
        <n v="116700"/>
        <n v="115975"/>
        <n v="113050"/>
        <n v="108475"/>
        <n v="107195"/>
        <n v="107159.99999999999"/>
        <n v="97485"/>
        <n v="96240"/>
        <n v="93300"/>
        <n v="92480"/>
        <n v="86998.5"/>
        <n v="85400"/>
        <n v="77975"/>
        <n v="76965"/>
        <n v="74998.5"/>
        <n v="72475"/>
        <n v="70000"/>
        <n v="69975"/>
        <n v="64974.999999999993"/>
        <n v="59850"/>
        <n v="56400"/>
        <n v="53700"/>
        <n v="52450"/>
        <n v="51570"/>
        <n v="50640"/>
        <n v="47725"/>
        <n v="44950"/>
        <n v="42880"/>
        <n v="40470"/>
        <n v="36900"/>
        <n v="32000"/>
        <n v="31989.999999999996"/>
        <n v="29395"/>
        <n v="28950"/>
        <n v="27200"/>
        <n v="25600"/>
        <n v="25440"/>
        <n v="24699.5"/>
        <n v="24450"/>
        <n v="23750"/>
        <n v="23450"/>
        <n v="21995"/>
        <n v="20950"/>
        <n v="19950"/>
        <n v="19450"/>
        <n v="18995"/>
        <n v="18400"/>
        <n v="17545"/>
        <n v="16675"/>
        <n v="16450"/>
        <n v="16000"/>
        <n v="15750"/>
        <n v="15370"/>
        <n v="14500"/>
        <n v="13930"/>
        <n v="13050"/>
        <n v="12770"/>
        <n v="12495"/>
        <n v="12000"/>
        <n v="11700"/>
        <n v="11126.5"/>
        <n v="10846.5"/>
        <n v="10146.5"/>
        <n v="10000"/>
        <n v="9516.5"/>
        <n v="9432"/>
        <n v="8445"/>
        <n v="8015"/>
        <n v="8000"/>
        <n v="7595.5"/>
        <n v="6895.5"/>
        <n v="6832"/>
        <n v="6121.5"/>
        <n v="6000"/>
        <n v="5806.7999999999993"/>
        <n v="5560"/>
        <n v="5516"/>
        <n v="5500"/>
        <n v="4960"/>
        <n v="4950"/>
        <n v="4798.7999999999993"/>
        <n v="4627.7"/>
        <n v="4000"/>
        <n v="3999.4999999999995"/>
        <n v="3600"/>
        <n v="3560"/>
        <n v="3400"/>
        <n v="3336"/>
        <n v="2446.5"/>
        <n v="2096"/>
        <n v="2000"/>
        <n v="1600"/>
        <n v="1336"/>
        <n v="1030.8000000000002"/>
        <n v="747.2"/>
        <n v="679.2"/>
        <n v="658.8"/>
        <n v="656"/>
        <n v="456"/>
        <n v="135"/>
        <n v="37.200000000000003"/>
        <n v="220000"/>
        <n v="209000"/>
        <n v="175000"/>
        <n v="172800"/>
        <n v="165000"/>
        <n v="128250"/>
        <n v="120000"/>
        <n v="118000"/>
        <n v="112500"/>
        <n v="110000"/>
        <n v="104500"/>
        <n v="92800"/>
        <n v="90650"/>
        <n v="90000"/>
        <n v="77000"/>
        <n v="66500"/>
        <n v="61960"/>
        <n v="61880"/>
        <n v="58205.000000000007"/>
        <n v="57200"/>
        <n v="55000"/>
        <n v="51275"/>
        <n v="50000"/>
        <n v="49750"/>
        <n v="48360"/>
        <n v="47500"/>
        <n v="45465"/>
        <n v="44000"/>
        <n v="41080"/>
        <n v="40950"/>
        <n v="40500"/>
        <n v="40000"/>
        <n v="38940"/>
        <n v="38290"/>
        <n v="37992.5"/>
        <n v="37000"/>
        <n v="35000"/>
        <n v="34650"/>
        <n v="33950"/>
        <n v="33250"/>
        <n v="32590"/>
        <n v="32500"/>
        <n v="32205"/>
        <n v="31065"/>
        <n v="29206"/>
        <n v="29000"/>
        <n v="28909.999999999996"/>
        <n v="28050"/>
        <n v="27930"/>
        <n v="27810"/>
        <n v="27632"/>
        <n v="27500"/>
        <n v="27160.000000000004"/>
        <n v="27040"/>
        <n v="26996"/>
        <n v="26000"/>
        <n v="25970"/>
        <n v="24750"/>
        <n v="24696"/>
        <n v="24500"/>
        <n v="24196"/>
        <n v="24095"/>
        <n v="24000"/>
        <n v="23975"/>
        <n v="23960"/>
        <n v="23760"/>
        <n v="22800"/>
        <n v="22770"/>
        <n v="22750"/>
        <n v="22410"/>
        <n v="22230"/>
        <n v="22036"/>
        <n v="22000"/>
        <n v="21945"/>
        <n v="21750"/>
        <n v="21700"/>
        <n v="21500"/>
        <n v="21450"/>
        <n v="21375"/>
        <n v="21350"/>
        <n v="21240"/>
        <n v="20805"/>
        <n v="20598.5"/>
        <n v="20000"/>
        <n v="19960"/>
        <n v="19750"/>
        <n v="19500"/>
        <n v="19145"/>
        <n v="19095"/>
        <n v="18792"/>
        <n v="18700"/>
        <n v="18500"/>
        <n v="18200"/>
        <n v="17995"/>
        <n v="17960"/>
        <n v="17750"/>
        <n v="17500"/>
        <n v="17450"/>
        <n v="17290"/>
        <n v="16910"/>
        <n v="16815"/>
        <n v="16720"/>
        <n v="16625"/>
        <n v="16530"/>
        <n v="16500"/>
        <n v="16100"/>
        <n v="15600"/>
        <n v="15500"/>
        <n v="15120.000000000002"/>
        <n v="15040"/>
        <n v="15000"/>
        <n v="14950"/>
        <n v="14750"/>
        <n v="14350"/>
        <n v="14250"/>
        <n v="13965"/>
        <n v="13960"/>
        <n v="13840"/>
        <n v="13635"/>
        <n v="13500"/>
        <n v="13345"/>
        <n v="13300"/>
        <n v="13000"/>
        <n v="12996"/>
        <n v="12825"/>
        <n v="12390"/>
        <n v="12135"/>
        <n v="12040"/>
        <n v="11960"/>
        <n v="11795"/>
        <n v="11760"/>
        <n v="11535"/>
        <n v="11275"/>
        <n v="11160"/>
        <n v="11085"/>
        <n v="11016"/>
        <n v="11000"/>
        <n v="10900"/>
        <n v="10846"/>
        <n v="10800"/>
        <n v="10552"/>
        <n v="9940"/>
        <n v="9795"/>
        <n v="9765"/>
        <n v="9625"/>
        <n v="9585"/>
        <n v="9500"/>
        <n v="9000"/>
        <n v="8790"/>
        <n v="8750"/>
        <n v="8745"/>
        <n v="8725"/>
        <n v="8500"/>
        <n v="8487.5"/>
        <n v="8360"/>
        <n v="8235"/>
        <n v="7960"/>
        <n v="7750"/>
        <n v="7700"/>
        <n v="7595"/>
        <n v="7500"/>
        <n v="7475"/>
        <n v="7400"/>
        <n v="7395"/>
        <n v="7335"/>
        <n v="7312"/>
        <n v="7272"/>
        <n v="7250"/>
        <n v="7200"/>
        <n v="7196"/>
        <n v="7176"/>
        <n v="7056"/>
        <n v="7000"/>
        <n v="6990"/>
        <n v="6855.2"/>
        <n v="6825"/>
        <n v="6750"/>
        <n v="6600"/>
        <n v="6585"/>
        <n v="6525"/>
        <n v="6490"/>
        <n v="6396"/>
        <n v="6392"/>
        <n v="6345"/>
        <n v="6295"/>
        <n v="6285"/>
        <n v="6196"/>
        <n v="5980"/>
        <n v="5950"/>
        <n v="5760"/>
        <n v="5717.4"/>
        <n v="5535"/>
        <n v="5512"/>
        <n v="5490"/>
        <n v="5450"/>
        <n v="5400"/>
        <n v="5364"/>
        <n v="5340"/>
        <n v="5250"/>
        <n v="5200"/>
        <n v="5160"/>
        <n v="5159"/>
        <n v="5145"/>
        <n v="5016"/>
        <n v="5000"/>
        <n v="4995"/>
        <n v="4945"/>
        <n v="4900"/>
        <n v="4796"/>
        <n v="4750"/>
        <n v="4645"/>
        <n v="4550"/>
        <n v="4500"/>
        <n v="4475"/>
        <n v="4400"/>
        <n v="4320"/>
        <n v="4300"/>
        <n v="4200"/>
        <n v="4185"/>
        <n v="4140"/>
        <n v="3999.6"/>
        <n v="3980"/>
        <n v="3885"/>
        <n v="3796"/>
        <n v="3795"/>
        <n v="3790.5"/>
        <n v="3596"/>
        <n v="3520"/>
        <n v="3500"/>
        <n v="3424.5"/>
        <n v="3295"/>
        <n v="3285"/>
        <n v="3250"/>
        <n v="3200"/>
        <n v="3160"/>
        <n v="3145"/>
        <n v="3124"/>
        <n v="3122.9"/>
        <n v="3095"/>
        <n v="3041.9999999999995"/>
        <n v="3000"/>
        <n v="2994"/>
        <n v="2945"/>
        <n v="2895"/>
        <n v="2876.3999999999996"/>
        <n v="2840.5"/>
        <n v="2800"/>
        <n v="2761"/>
        <n v="2695"/>
        <n v="2659.0499999999997"/>
        <n v="2644"/>
        <n v="2600"/>
        <n v="2595"/>
        <n v="2495"/>
        <n v="2415"/>
        <n v="2400"/>
        <n v="2360"/>
        <n v="2340"/>
        <n v="2295"/>
        <n v="2225"/>
        <n v="2175.5"/>
        <n v="2160"/>
        <n v="2124"/>
        <n v="2100"/>
        <n v="2065"/>
        <n v="2025"/>
        <n v="1995"/>
        <n v="1980"/>
        <n v="1960"/>
        <n v="1945"/>
        <n v="1896"/>
        <n v="1880"/>
        <n v="1872"/>
        <n v="1852.8"/>
        <n v="1845"/>
        <n v="1800"/>
        <n v="1792"/>
        <n v="1785"/>
        <n v="1729.5"/>
        <n v="1725"/>
        <n v="1692"/>
        <n v="1672"/>
        <n v="1662.5"/>
        <n v="1650"/>
        <n v="1645"/>
        <n v="1577.5"/>
        <n v="1560"/>
        <n v="1556"/>
        <n v="1545"/>
        <n v="1519"/>
        <n v="1499.5"/>
        <n v="1495"/>
        <n v="1485"/>
        <n v="1476"/>
        <n v="1440"/>
        <n v="1425"/>
        <n v="1393"/>
        <n v="1351.6"/>
        <n v="1335"/>
        <n v="1329.05"/>
        <n v="1316"/>
        <n v="1299.5"/>
        <n v="1279.5999999999999"/>
        <n v="1275"/>
        <n v="1240"/>
        <n v="1237"/>
        <n v="1224.55"/>
        <n v="1222"/>
        <n v="1205"/>
        <n v="1200"/>
        <n v="1180"/>
        <n v="1162.5"/>
        <n v="1160"/>
        <n v="1145"/>
        <n v="1130.5"/>
        <n v="1116"/>
        <n v="1112"/>
        <n v="1080"/>
        <n v="1040"/>
        <n v="1028"/>
        <n v="1000"/>
        <n v="995"/>
        <n v="965"/>
        <n v="960"/>
        <n v="957"/>
        <n v="945"/>
        <n v="905.00000000000011"/>
        <n v="904.5"/>
        <n v="900"/>
        <n v="899.5"/>
        <n v="875"/>
        <n v="860.4"/>
        <n v="815"/>
        <n v="814.5"/>
        <n v="800"/>
        <n v="796"/>
        <n v="785.4"/>
        <n v="781.19999999999993"/>
        <n v="749"/>
        <n v="745"/>
        <n v="744.5"/>
        <n v="735"/>
        <n v="720"/>
        <n v="719.5"/>
        <n v="716"/>
        <n v="715.2"/>
        <n v="708"/>
        <n v="699.5"/>
        <n v="697.19999999999993"/>
        <n v="693.59999999999991"/>
        <n v="690"/>
        <n v="680"/>
        <n v="672"/>
        <n v="664.4"/>
        <n v="650"/>
        <n v="645"/>
        <n v="642.72"/>
        <n v="613.19999999999993"/>
        <n v="608.4"/>
        <n v="604.79999999999995"/>
        <n v="600"/>
        <n v="595"/>
        <n v="576"/>
        <n v="574.5"/>
        <n v="572"/>
        <n v="545"/>
        <n v="525.59999999999991"/>
        <n v="520"/>
        <n v="510"/>
        <n v="500"/>
        <n v="499.5"/>
        <n v="495"/>
        <n v="490"/>
        <n v="480"/>
        <n v="479.2"/>
        <n v="475"/>
        <n v="472.6"/>
        <n v="458.92"/>
        <n v="456.50000000000006"/>
        <n v="445"/>
        <n v="438.4"/>
        <n v="435"/>
        <n v="431.2"/>
        <n v="423.2"/>
        <n v="420"/>
        <n v="410.4"/>
        <n v="396.00000000000006"/>
        <n v="396"/>
        <n v="395"/>
        <n v="384.65000000000003"/>
        <n v="376.8"/>
        <n v="376"/>
        <n v="375"/>
        <n v="367.2"/>
        <n v="361.8"/>
        <n v="360"/>
        <n v="355.2"/>
        <n v="348"/>
        <n v="345"/>
        <n v="340"/>
        <n v="339.66"/>
        <n v="333.6"/>
        <n v="333.2"/>
        <n v="325"/>
        <n v="319.2"/>
        <n v="312"/>
        <n v="309.60000000000002"/>
        <n v="305"/>
        <n v="300"/>
        <n v="299.5"/>
        <n v="298.5"/>
        <n v="295.2"/>
        <n v="295"/>
        <n v="288"/>
        <n v="285"/>
        <n v="280.8"/>
        <n v="275"/>
        <n v="272"/>
        <n v="264"/>
        <n v="261.60000000000002"/>
        <n v="254.4"/>
        <n v="249.6"/>
        <n v="247.5"/>
        <n v="245.04000000000002"/>
        <n v="245"/>
        <n v="239.8"/>
        <n v="239.2"/>
        <n v="231.2"/>
        <n v="225.6"/>
        <n v="224"/>
        <n v="223.2"/>
        <n v="216"/>
        <n v="215.2"/>
        <n v="209"/>
        <n v="208.8"/>
        <n v="208"/>
        <n v="204.24"/>
        <n v="202.4"/>
        <n v="199.5"/>
        <n v="196.8"/>
        <n v="195"/>
        <n v="187.2"/>
        <n v="180"/>
        <n v="176"/>
        <n v="172.8"/>
        <n v="170"/>
        <n v="168"/>
        <n v="165"/>
        <n v="159.19999999999999"/>
        <n v="150"/>
        <n v="145"/>
        <n v="133.6"/>
        <n v="130.4"/>
        <n v="128"/>
        <n v="125"/>
        <n v="112.5"/>
        <n v="110"/>
        <n v="109.19999999999999"/>
        <n v="105.8"/>
        <n v="99.5"/>
        <n v="97.5"/>
        <n v="96"/>
        <n v="95"/>
        <n v="94.8"/>
        <n v="87.5"/>
        <n v="84.5"/>
        <n v="81.599999999999994"/>
        <n v="80.16"/>
        <n v="79.2"/>
        <n v="75.34"/>
        <n v="75"/>
        <n v="74.5"/>
        <n v="72"/>
        <n v="71.2"/>
        <n v="70.400000000000006"/>
        <n v="68"/>
        <n v="67.900000000000006"/>
        <n v="67.8"/>
        <n v="65.599999999999994"/>
        <n v="62.5"/>
        <n v="51.8"/>
        <n v="50.8"/>
        <n v="49.5"/>
        <n v="48.239999999999995"/>
        <n v="45"/>
        <n v="43"/>
        <n v="41.8"/>
        <n v="41.6"/>
        <n v="40.72"/>
        <n v="39.839999999999996"/>
        <n v="39.799999999999997"/>
        <n v="38.400000000000006"/>
        <n v="38"/>
        <n v="36"/>
        <n v="31.8"/>
        <n v="31.2"/>
        <n v="29.04"/>
        <n v="28"/>
        <n v="25.8"/>
        <n v="24.18"/>
        <n v="23"/>
        <n v="22.98"/>
        <n v="22.799999999999997"/>
        <n v="21.8"/>
        <n v="20"/>
        <n v="19.5"/>
        <n v="15.8"/>
        <n v="13.8"/>
        <n v="9.9"/>
        <n v="7.8"/>
        <n v="2796"/>
        <n v="2700"/>
        <n v="1797"/>
        <n v="1767"/>
        <n v="1173"/>
        <n v="1085.6999999999998"/>
        <n v="1023"/>
        <n v="878"/>
        <n v="831.8"/>
        <n v="767.7"/>
        <n v="657"/>
        <n v="624.39"/>
        <n v="598"/>
        <n v="539.70000000000005"/>
        <n v="533.70000000000005"/>
        <n v="503.8"/>
        <n v="479.70000000000005"/>
        <n v="442"/>
        <n v="401.70000000000005"/>
        <n v="398"/>
        <n v="323.70000000000005"/>
        <n v="225"/>
        <n v="219.6"/>
        <n v="192.8"/>
        <n v="124.48"/>
        <n v="104.8"/>
        <n v="1642500"/>
        <n v="1628991.0000000002"/>
        <n v="1068125"/>
        <n v="1027371.4285714288"/>
        <n v="994500"/>
        <n v="931800"/>
        <n v="795567.5"/>
        <n v="745875"/>
        <n v="566464"/>
        <n v="561107.97600000002"/>
        <n v="522725"/>
        <n v="507000.00000000006"/>
        <n v="388420"/>
        <n v="377000.00000000006"/>
        <n v="351814"/>
        <n v="250054"/>
        <n v="232200.00000000003"/>
        <n v="193916.66666666666"/>
        <n v="177735"/>
        <n v="165966.66666666669"/>
        <n v="121520"/>
        <n v="104464.28571428571"/>
        <n v="100775.19379844962"/>
        <n v="99596"/>
        <n v="97899.999999999985"/>
        <n v="97140.000000000015"/>
        <n v="95196"/>
        <n v="95192"/>
        <n v="94950"/>
        <n v="91080"/>
        <n v="77400"/>
        <n v="58940.869565217392"/>
        <n v="55592"/>
        <n v="54193.043478260872"/>
        <n v="51741.2"/>
        <n v="49728"/>
        <n v="48057.599999999999"/>
        <n v="45654"/>
        <n v="41850"/>
        <n v="39775"/>
        <n v="37036"/>
        <n v="36140"/>
        <n v="33224.400000000001"/>
        <n v="31980"/>
        <n v="31349.999999999996"/>
        <n v="30036"/>
        <n v="29264.399999999998"/>
        <n v="28987.200000000001"/>
        <n v="28393.200000000001"/>
        <n v="25349.999999999996"/>
        <n v="24626.744999999999"/>
        <n v="24235.200000000001"/>
        <n v="20393.199999999997"/>
        <n v="20275.2"/>
        <n v="20013.5"/>
        <n v="18800"/>
        <n v="18125"/>
        <n v="16826"/>
        <n v="16592.400000000001"/>
        <n v="16354.8"/>
        <n v="16315.2"/>
        <n v="13226.4"/>
        <n v="13194"/>
        <n v="12800"/>
        <n v="12425"/>
        <n v="12355.2"/>
        <n v="12236"/>
        <n v="12175"/>
        <n v="11800.8"/>
        <n v="11500"/>
        <n v="11232"/>
        <n v="10712"/>
        <n v="10256.4"/>
        <n v="9925"/>
        <n v="9875"/>
        <n v="9650"/>
        <n v="9350"/>
        <n v="9225"/>
        <n v="8466"/>
        <n v="7925"/>
        <n v="7634.4449999999988"/>
        <n v="7596"/>
        <n v="7482"/>
        <n v="6875"/>
        <n v="6225.0000000000009"/>
        <n v="5916"/>
        <n v="5475"/>
        <n v="5396.9999999999991"/>
        <n v="4497"/>
        <n v="2456"/>
        <n v="2033.2812500000002"/>
        <n v="1647"/>
        <n v="1256.9375000000002"/>
        <n v="840"/>
        <n v="390.4"/>
        <n v="345.47174999999993"/>
        <n v="32.924999999999997"/>
        <n v="15.84"/>
        <n v="10.608000000000001"/>
        <n v="2.1381360000000003"/>
        <n v="6.5260000000000012E-2"/>
        <n v="4.3920000000000001E-2"/>
        <n v="3.6600000000000001E-2"/>
        <n v="6.8000000000000005E-3"/>
        <n v="153930"/>
        <n v="114735"/>
        <n v="111930"/>
        <n v="98910"/>
        <n v="95235"/>
        <n v="92000"/>
        <n v="89850"/>
        <n v="82350"/>
        <n v="78885"/>
        <n v="73350"/>
        <n v="71100"/>
        <n v="66654"/>
        <n v="66360"/>
        <n v="59310"/>
        <n v="59200"/>
        <n v="59040"/>
        <n v="58410"/>
        <n v="55920"/>
        <n v="55200"/>
        <n v="53695.000000000007"/>
        <n v="53130"/>
        <n v="52680"/>
        <n v="50595.4"/>
        <n v="49980"/>
        <n v="48000"/>
        <n v="45995.4"/>
        <n v="44030"/>
        <n v="37191"/>
        <n v="35970"/>
        <n v="33600"/>
        <n v="30730"/>
        <n v="30093"/>
        <n v="30000"/>
        <n v="29610"/>
        <n v="29160"/>
        <n v="28350"/>
        <n v="28060"/>
        <n v="27900"/>
        <n v="27650"/>
        <n v="27230"/>
        <n v="26749.5"/>
        <n v="25320"/>
        <n v="25000"/>
        <n v="24414.6"/>
        <n v="23950"/>
        <n v="23700"/>
        <n v="23670"/>
        <n v="23513"/>
        <n v="22712"/>
        <n v="22500"/>
        <n v="22185"/>
        <n v="21418.800000000003"/>
        <n v="21285"/>
        <n v="21163.800000000003"/>
        <n v="21105"/>
        <n v="21000"/>
        <n v="20781.300000000003"/>
        <n v="20750"/>
        <n v="20736.75"/>
        <n v="20085"/>
        <n v="19873"/>
        <n v="19529"/>
        <n v="19500.32"/>
        <n v="18868.5"/>
        <n v="18753"/>
        <n v="18660"/>
        <n v="18656.849999999999"/>
        <n v="18613"/>
        <n v="18585"/>
        <n v="18395.399999999998"/>
        <n v="17953.5"/>
        <n v="17935.399999999998"/>
        <n v="17614.811999999998"/>
        <n v="17550"/>
        <n v="17370"/>
        <n v="17200"/>
        <n v="16996"/>
        <n v="16798.5"/>
        <n v="16200"/>
        <n v="16191"/>
        <n v="15980"/>
        <n v="15748.350000000002"/>
        <n v="15570"/>
        <n v="15512"/>
        <n v="14973"/>
        <n v="14970"/>
        <n v="14848.5"/>
        <n v="14385"/>
        <n v="14280"/>
        <n v="13432"/>
        <n v="12508.320000000002"/>
        <n v="12140.320000000002"/>
        <n v="12033"/>
        <n v="11799"/>
        <n v="11036.32"/>
        <n v="11003.199999999999"/>
        <n v="10635.199999999999"/>
        <n v="10573.5"/>
        <n v="10267.199999999999"/>
        <n v="9855"/>
        <n v="9298.5"/>
        <n v="9195.4"/>
        <n v="9148.5"/>
        <n v="8828.32"/>
        <n v="8796.2999999999993"/>
        <n v="8760"/>
        <n v="8685"/>
        <n v="8550"/>
        <n v="8130"/>
        <n v="7919"/>
        <n v="7485"/>
        <n v="7356.32"/>
        <n v="7355.4000000000005"/>
        <n v="7328"/>
        <n v="7080"/>
        <n v="6960"/>
        <n v="6922.05"/>
        <n v="6876"/>
        <n v="6748.5"/>
        <n v="6495"/>
        <n v="6448.5"/>
        <n v="6328.5"/>
        <n v="6252.32"/>
        <n v="6240"/>
        <n v="6156"/>
        <n v="6028.5"/>
        <n v="5835"/>
        <n v="5775"/>
        <n v="5684.4000000000005"/>
        <n v="5516.32"/>
        <n v="5170"/>
        <n v="5168.1000000000004"/>
        <n v="4780.32"/>
        <n v="4168.5"/>
        <n v="4035"/>
        <n v="3876"/>
        <n v="3799"/>
        <n v="3720.7"/>
        <n v="3592"/>
        <n v="3585"/>
        <n v="3448.5"/>
        <n v="3375"/>
        <n v="3359.2"/>
        <n v="3352"/>
        <n v="3325.44"/>
        <n v="3056"/>
        <n v="2985"/>
        <n v="2863.5"/>
        <n v="2848.5"/>
        <n v="2844.1"/>
        <n v="2775"/>
        <n v="2639.2"/>
        <n v="2445"/>
        <n v="2231.3999999999996"/>
        <n v="2156.25"/>
        <n v="2154.75"/>
        <n v="2119.6"/>
        <n v="1959.2999999999997"/>
        <n v="1842.4"/>
        <n v="1759.2"/>
        <n v="1665"/>
        <n v="1559.6"/>
        <n v="1519.2"/>
        <n v="1495.5"/>
        <n v="1348.5"/>
        <n v="1318.5"/>
        <n v="1226.4000000000001"/>
        <n v="1220.1000000000001"/>
        <n v="1023.36"/>
        <n v="990"/>
        <n v="727.44"/>
        <n v="697.2"/>
        <n v="679.6"/>
        <n v="671.44"/>
      </sharedItems>
    </cacheField>
    <cacheField name="LEAD TIME (DIAS)" numFmtId="0">
      <sharedItems containsSemiMixedTypes="0" containsString="0" containsNumber="1" containsInteger="1" minValue="8" maxValue="60"/>
    </cacheField>
    <cacheField name="EMÍN (UNID)" numFmtId="165">
      <sharedItems containsSemiMixedTypes="0" containsString="0" containsNumber="1" minValue="5.0000000000000002E-5" maxValue="27857.142857142859"/>
    </cacheField>
    <cacheField name="ECICLO (UNID)" numFmtId="165">
      <sharedItems containsSemiMixedTypes="0" containsString="0" containsNumber="1" minValue="2.666666666666667E-3" maxValue="59428.571428571435"/>
    </cacheField>
    <cacheField name="PONTO DE REP.(SUGERIDO)" numFmtId="165">
      <sharedItems containsSemiMixedTypes="0" containsString="0" containsNumber="1" minValue="2.7166666666666671E-3" maxValue="87285.71428571429"/>
    </cacheField>
    <cacheField name="PERC    %" numFmtId="0">
      <sharedItems containsMixedTypes="1" containsNumber="1" minValue="5.0331596399810524E-6" maxValue="3165.7093794410234"/>
    </cacheField>
    <cacheField name="PERC ACUM." numFmtId="0">
      <sharedItems containsMixedTypes="1" containsNumber="1" minValue="4.5019999999999998E-2" maxValue="25434.589205352935"/>
    </cacheField>
    <cacheField name="CLASSIFICAÇÃO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45">
  <r>
    <x v="0"/>
    <s v="ACESSÓRIOS PARA BANHEIRO"/>
    <s v="PORTA TOALHA"/>
    <s v="21569"/>
    <s v="CAIXA "/>
    <n v="39.9"/>
    <x v="0"/>
    <n v="10"/>
    <n v="8"/>
    <n v="10"/>
    <n v="1"/>
    <n v="8.0000000000000004E-4"/>
    <x v="0"/>
    <n v="19000"/>
    <x v="0"/>
    <n v="10"/>
    <n v="1900"/>
    <n v="6333.3333333333339"/>
    <n v="8233.3333333333339"/>
    <e v="#REF!"/>
    <n v="4.5019999999999998E-2"/>
    <s v="A"/>
  </r>
  <r>
    <x v="0"/>
    <s v="TINTAS"/>
    <s v="TINTA ÓLEO"/>
    <s v="TINTA ÓLEO RENDE MUITO BRANCO NEVE 18L"/>
    <s v="LATA"/>
    <n v="189.9"/>
    <x v="1"/>
    <n v="34"/>
    <n v="24"/>
    <n v="24"/>
    <n v="19"/>
    <n v="1.9584000000000001E-2"/>
    <x v="1"/>
    <n v="3200"/>
    <x v="1"/>
    <n v="10"/>
    <n v="320"/>
    <n v="1066.6666666666667"/>
    <n v="1386.6666666666667"/>
    <e v="#REF!"/>
    <e v="#REF!"/>
    <s v="A"/>
  </r>
  <r>
    <x v="0"/>
    <s v="CERÂMICAS"/>
    <s v="REVESTIMENTO EXTERNO PLURAL"/>
    <s v="45632"/>
    <s v="CAIXA"/>
    <n v="1998"/>
    <x v="2"/>
    <n v="22"/>
    <n v="4.5"/>
    <n v="4.5"/>
    <n v="20.350000000000001"/>
    <n v="4.4549999999999999E-4"/>
    <x v="2"/>
    <n v="240"/>
    <x v="2"/>
    <n v="30"/>
    <n v="8"/>
    <n v="240"/>
    <n v="248"/>
    <e v="#REF!"/>
    <e v="#REF!"/>
    <s v="A"/>
  </r>
  <r>
    <x v="0"/>
    <s v="TINTAS"/>
    <s v="TINTA ÓLEO"/>
    <s v="TINTA ÓLEO TOQUE DE SEDA GELO 18L"/>
    <s v="LATA"/>
    <n v="289.89999999999998"/>
    <x v="3"/>
    <n v="34"/>
    <n v="24"/>
    <n v="24"/>
    <n v="19"/>
    <n v="1.9584000000000001E-2"/>
    <x v="3"/>
    <n v="1600"/>
    <x v="3"/>
    <n v="10"/>
    <n v="160"/>
    <n v="533.33333333333337"/>
    <n v="693.33333333333337"/>
    <e v="#REF!"/>
    <e v="#REF!"/>
    <s v="A"/>
  </r>
  <r>
    <x v="0"/>
    <s v="TINTAS"/>
    <s v="TINTA ÓLEO"/>
    <s v="TINTA ÓLEO GLASURIT CENOURA 18L"/>
    <s v="LATA"/>
    <n v="283"/>
    <x v="3"/>
    <n v="34"/>
    <n v="24"/>
    <n v="24"/>
    <n v="19"/>
    <n v="1.9584000000000001E-2"/>
    <x v="3"/>
    <n v="1600"/>
    <x v="4"/>
    <n v="10"/>
    <n v="160"/>
    <n v="533.33333333333337"/>
    <n v="693.33333333333337"/>
    <e v="#REF!"/>
    <e v="#REF!"/>
    <s v="A"/>
  </r>
  <r>
    <x v="0"/>
    <s v="TINTAS"/>
    <s v="TINTA ÓLEO"/>
    <s v="TINTA ÓLEO MEL 18L"/>
    <s v="LATA"/>
    <n v="274"/>
    <x v="3"/>
    <n v="34"/>
    <n v="24"/>
    <n v="24"/>
    <n v="19"/>
    <n v="1.9584000000000001E-2"/>
    <x v="3"/>
    <n v="1600"/>
    <x v="5"/>
    <n v="10"/>
    <n v="160"/>
    <n v="533.33333333333337"/>
    <n v="693.33333333333337"/>
    <e v="#REF!"/>
    <e v="#REF!"/>
    <s v="A"/>
  </r>
  <r>
    <x v="0"/>
    <s v="TINTAS"/>
    <s v="VERNIZES"/>
    <s v="VERNIZ BRILHANTE CETOL IMBÚIA 3,6L"/>
    <s v="GALÃO"/>
    <n v="164.9"/>
    <x v="4"/>
    <n v="19"/>
    <n v="17"/>
    <n v="17"/>
    <n v="5.28"/>
    <n v="5.4910000000000002E-3"/>
    <x v="4"/>
    <n v="2400"/>
    <x v="6"/>
    <n v="10"/>
    <n v="240"/>
    <n v="800"/>
    <n v="1040"/>
    <e v="#REF!"/>
    <e v="#REF!"/>
    <s v="A"/>
  </r>
  <r>
    <x v="0"/>
    <s v="TINTAS"/>
    <s v="TINTA ÓLEO"/>
    <s v="TINTA ÓLEO AMARELO CANÁRIO 18L"/>
    <s v="LATA"/>
    <n v="234"/>
    <x v="3"/>
    <n v="34"/>
    <n v="24"/>
    <n v="24"/>
    <n v="19"/>
    <n v="1.9584000000000001E-2"/>
    <x v="3"/>
    <n v="1600"/>
    <x v="7"/>
    <n v="10"/>
    <n v="160"/>
    <n v="533.33333333333337"/>
    <n v="693.33333333333337"/>
    <e v="#REF!"/>
    <e v="#REF!"/>
    <s v="A"/>
  </r>
  <r>
    <x v="0"/>
    <s v="TINTAS"/>
    <s v="TINTA ÓLEO"/>
    <s v="TINTA ÓLEO VERDE MUSGO 18L"/>
    <s v="LATA"/>
    <n v="234"/>
    <x v="3"/>
    <n v="34"/>
    <n v="24"/>
    <n v="24"/>
    <n v="19"/>
    <n v="1.9584000000000001E-2"/>
    <x v="3"/>
    <n v="1600"/>
    <x v="7"/>
    <n v="10"/>
    <n v="160"/>
    <n v="533.33333333333337"/>
    <n v="693.33333333333337"/>
    <e v="#REF!"/>
    <e v="#REF!"/>
    <s v="A"/>
  </r>
  <r>
    <x v="0"/>
    <s v="TINTAS"/>
    <s v="TINTA ÓLEO"/>
    <s v="TINTA ÓLEO ECONÔMICA CORALAR PEROLA CORAL 18L"/>
    <s v="LATA"/>
    <n v="105.9"/>
    <x v="1"/>
    <n v="34"/>
    <n v="24"/>
    <n v="24"/>
    <n v="19"/>
    <n v="1.9584000000000001E-2"/>
    <x v="1"/>
    <n v="3200"/>
    <x v="8"/>
    <n v="10"/>
    <n v="320"/>
    <n v="1066.6666666666667"/>
    <n v="1386.6666666666667"/>
    <e v="#REF!"/>
    <e v="#REF!"/>
    <s v="A"/>
  </r>
  <r>
    <x v="0"/>
    <s v="TINTAS"/>
    <s v="VERNIZES"/>
    <s v="POLISTEN STAIN IMPREGNANTE PREMIUM IMBUIA 3,6L "/>
    <s v="GALÃO"/>
    <n v="116.49"/>
    <x v="5"/>
    <n v="19"/>
    <n v="17"/>
    <n v="17"/>
    <n v="5.28"/>
    <n v="5.4910000000000002E-3"/>
    <x v="4"/>
    <n v="2400"/>
    <x v="9"/>
    <n v="10"/>
    <n v="240"/>
    <n v="800"/>
    <n v="1040"/>
    <e v="#REF!"/>
    <e v="#REF!"/>
    <s v="A"/>
  </r>
  <r>
    <x v="0"/>
    <s v="TINTAS"/>
    <s v="VERNIZES"/>
    <s v="POLISTEN STAIN IMPREGNANTE PREMIUM MOGNO 3,6L "/>
    <s v="GALÃO"/>
    <n v="116.49"/>
    <x v="5"/>
    <n v="19"/>
    <n v="17"/>
    <n v="17"/>
    <n v="5.28"/>
    <n v="5.4910000000000002E-3"/>
    <x v="4"/>
    <n v="2400"/>
    <x v="9"/>
    <n v="10"/>
    <n v="240"/>
    <n v="800"/>
    <n v="1040"/>
    <e v="#REF!"/>
    <e v="#REF!"/>
    <s v="A"/>
  </r>
  <r>
    <x v="0"/>
    <s v="CERÂMICAS"/>
    <s v="REVESTIMENTO LISBOA TERRA"/>
    <s v="85654"/>
    <s v="CAIXA"/>
    <n v="1084.4000000000001"/>
    <x v="6"/>
    <n v="22"/>
    <n v="19"/>
    <n v="19"/>
    <n v="20.350000000000001"/>
    <n v="7.9419999999999994E-3"/>
    <x v="5"/>
    <n v="240"/>
    <x v="10"/>
    <n v="30"/>
    <n v="8"/>
    <n v="240"/>
    <n v="248"/>
    <e v="#REF!"/>
    <e v="#REF!"/>
    <s v="A"/>
  </r>
  <r>
    <x v="0"/>
    <s v="CERÂMICAS"/>
    <s v="TECNOQUARTZ OCRE MAXIGRES"/>
    <s v="76707"/>
    <s v="CAIXA"/>
    <n v="844.4"/>
    <x v="7"/>
    <n v="22"/>
    <n v="60"/>
    <n v="60"/>
    <n v="20.350000000000001"/>
    <n v="7.9200000000000007E-2"/>
    <x v="6"/>
    <n v="300"/>
    <x v="11"/>
    <n v="30"/>
    <n v="10"/>
    <n v="300"/>
    <n v="310"/>
    <e v="#REF!"/>
    <e v="#REF!"/>
    <s v="A"/>
  </r>
  <r>
    <x v="0"/>
    <s v="TINTAS"/>
    <s v="TINTA ACRÍLICA"/>
    <s v="TINTA ACRÍLICA ECOLÓGICA FOSCO BASE INTENSA 18L"/>
    <s v="LATA"/>
    <n v="200"/>
    <x v="8"/>
    <n v="34"/>
    <n v="24"/>
    <n v="24"/>
    <n v="19"/>
    <n v="1.9584000000000001E-2"/>
    <x v="7"/>
    <n v="1200"/>
    <x v="12"/>
    <n v="10"/>
    <n v="120"/>
    <n v="400"/>
    <n v="520"/>
    <e v="#REF!"/>
    <e v="#REF!"/>
    <s v="A"/>
  </r>
  <r>
    <x v="0"/>
    <s v="TINTAS"/>
    <s v="TINTA ACRÍLICA"/>
    <s v="TINTA ACRÍLICA DECORA ACETINADO MARINE 18L"/>
    <s v="LATA"/>
    <n v="200"/>
    <x v="1"/>
    <n v="34"/>
    <n v="24"/>
    <n v="24"/>
    <n v="19"/>
    <n v="1.9584000000000001E-2"/>
    <x v="7"/>
    <n v="1200"/>
    <x v="12"/>
    <n v="10"/>
    <n v="120"/>
    <n v="400"/>
    <n v="520"/>
    <e v="#REF!"/>
    <e v="#REF!"/>
    <s v="A"/>
  </r>
  <r>
    <x v="0"/>
    <s v="TINTAS"/>
    <s v="TINTA ACRÍLICA"/>
    <s v="TINTA ACRÍLICA SEMI-BRILHO GELO 18L"/>
    <s v="LATA"/>
    <n v="196"/>
    <x v="3"/>
    <n v="34"/>
    <n v="24"/>
    <n v="24"/>
    <n v="19"/>
    <n v="1.9584000000000001E-2"/>
    <x v="7"/>
    <n v="1200"/>
    <x v="13"/>
    <n v="10"/>
    <n v="120"/>
    <n v="400"/>
    <n v="520"/>
    <e v="#REF!"/>
    <e v="#REF!"/>
    <s v="A"/>
  </r>
  <r>
    <x v="0"/>
    <s v="TINTAS"/>
    <s v="TINTA ACRÍLICA"/>
    <s v="TINTA ACRÍLICA PISOS AMARELO 18L"/>
    <s v="LATA"/>
    <n v="190"/>
    <x v="8"/>
    <n v="34"/>
    <n v="24"/>
    <n v="24"/>
    <n v="19"/>
    <n v="1.9584000000000001E-2"/>
    <x v="7"/>
    <n v="1200"/>
    <x v="14"/>
    <n v="10"/>
    <n v="120"/>
    <n v="400"/>
    <n v="520"/>
    <e v="#REF!"/>
    <e v="#REF!"/>
    <s v="A"/>
  </r>
  <r>
    <x v="0"/>
    <s v="TINTAS"/>
    <s v="TINTA ACRÍLICA"/>
    <s v="TINTA ACRÍLICA ECOLOGICA SEMIBRILHO PASTEL 18L"/>
    <s v="LATA"/>
    <n v="180"/>
    <x v="8"/>
    <n v="34"/>
    <n v="24"/>
    <n v="24"/>
    <n v="19"/>
    <n v="1.9584000000000001E-2"/>
    <x v="7"/>
    <n v="1200"/>
    <x v="15"/>
    <n v="10"/>
    <n v="120"/>
    <n v="400"/>
    <n v="520"/>
    <e v="#REF!"/>
    <e v="#REF!"/>
    <s v="A"/>
  </r>
  <r>
    <x v="0"/>
    <s v="CERÂMICAS"/>
    <s v="PLAQUETA EUROPEDRA CLASSIC "/>
    <s v="85485"/>
    <s v="CAIXA"/>
    <n v="898"/>
    <x v="9"/>
    <n v="22"/>
    <n v="22.8"/>
    <n v="11.4"/>
    <n v="20.350000000000001"/>
    <n v="5.7182400000000003E-3"/>
    <x v="8"/>
    <n v="240"/>
    <x v="16"/>
    <n v="30"/>
    <n v="8"/>
    <n v="240"/>
    <n v="248"/>
    <e v="#REF!"/>
    <e v="#REF!"/>
    <s v="A"/>
  </r>
  <r>
    <x v="0"/>
    <s v="CERÂMICAS"/>
    <s v="ETNA BIANCO MAXIGRES"/>
    <s v="79796"/>
    <s v="CAIXA"/>
    <n v="685.6"/>
    <x v="7"/>
    <n v="22"/>
    <n v="60"/>
    <n v="60"/>
    <n v="20.350000000000001"/>
    <n v="7.9200000000000007E-2"/>
    <x v="6"/>
    <n v="300"/>
    <x v="17"/>
    <n v="30"/>
    <n v="10"/>
    <n v="300"/>
    <n v="310"/>
    <e v="#REF!"/>
    <e v="#REF!"/>
    <s v="A"/>
  </r>
  <r>
    <x v="0"/>
    <s v="TINTAS"/>
    <s v="TINTA ACRÍLICA"/>
    <s v="TINTA ACRÍLICA FOSCO BRANCO 18L"/>
    <s v="LATA"/>
    <n v="170"/>
    <x v="3"/>
    <n v="34"/>
    <n v="24"/>
    <n v="24"/>
    <n v="19"/>
    <n v="1.9584000000000001E-2"/>
    <x v="7"/>
    <n v="1200"/>
    <x v="18"/>
    <n v="10"/>
    <n v="120"/>
    <n v="400"/>
    <n v="520"/>
    <e v="#REF!"/>
    <e v="#REF!"/>
    <s v="A"/>
  </r>
  <r>
    <x v="0"/>
    <s v="TINTAS"/>
    <s v="TINTA ACRÍLICA"/>
    <s v="TINTA ACRÍLICA DURA MAIS EXTERIORES BASE MÉDIA 18L"/>
    <s v="LATA"/>
    <n v="160"/>
    <x v="8"/>
    <n v="34"/>
    <n v="24"/>
    <n v="24"/>
    <n v="19"/>
    <n v="1.9584000000000001E-2"/>
    <x v="7"/>
    <n v="1200"/>
    <x v="19"/>
    <n v="10"/>
    <n v="120"/>
    <n v="400"/>
    <n v="520"/>
    <e v="#REF!"/>
    <e v="#REF!"/>
    <s v="A"/>
  </r>
  <r>
    <x v="0"/>
    <s v="TINTAS"/>
    <s v="TINTA ACRÍLICA"/>
    <s v="TINTA ACRÍLICA FACHADA BRANCO 3,6L"/>
    <s v="GALÃO"/>
    <n v="119.9"/>
    <x v="3"/>
    <n v="19"/>
    <n v="17"/>
    <n v="17"/>
    <n v="5.28"/>
    <n v="5.4910000000000002E-3"/>
    <x v="9"/>
    <n v="1600"/>
    <x v="20"/>
    <n v="10"/>
    <n v="160"/>
    <n v="533.33333333333337"/>
    <n v="693.33333333333337"/>
    <e v="#REF!"/>
    <e v="#REF!"/>
    <s v="A"/>
  </r>
  <r>
    <x v="0"/>
    <s v="TINTAS"/>
    <s v="TINTA ÓLEO"/>
    <s v="TINTA ÓLEO ECONÔMICA CORALAR VERMELHO RUBI 18L"/>
    <s v="LATA"/>
    <n v="105.9"/>
    <x v="1"/>
    <n v="34"/>
    <n v="24"/>
    <n v="24"/>
    <n v="19"/>
    <n v="1.9584000000000001E-2"/>
    <x v="10"/>
    <n v="1800"/>
    <x v="21"/>
    <n v="10"/>
    <n v="180"/>
    <n v="600"/>
    <n v="780"/>
    <e v="#REF!"/>
    <e v="#REF!"/>
    <s v="A"/>
  </r>
  <r>
    <x v="0"/>
    <s v="CERÂMICAS"/>
    <s v="PLAQUETA GEOPEDRA G15 "/>
    <s v="52145"/>
    <s v="CAIXA"/>
    <n v="778"/>
    <x v="9"/>
    <n v="22"/>
    <n v="11.5"/>
    <n v="11.5"/>
    <n v="20.350000000000001"/>
    <n v="2.9095000000000002E-3"/>
    <x v="11"/>
    <n v="240"/>
    <x v="22"/>
    <n v="30"/>
    <n v="8"/>
    <n v="240"/>
    <n v="248"/>
    <e v="#REF!"/>
    <e v="#REF!"/>
    <s v="A"/>
  </r>
  <r>
    <x v="0"/>
    <s v="TINTAS"/>
    <s v="VERNIZES"/>
    <s v="POLISTEN STAIN IMPREGNANTE PREMIUM TRANSPARENTE 3,6L  "/>
    <s v="GALÃO"/>
    <n v="76.599999999999994"/>
    <x v="5"/>
    <n v="19"/>
    <n v="17"/>
    <n v="17"/>
    <n v="5.28"/>
    <n v="5.4910000000000002E-3"/>
    <x v="4"/>
    <n v="2400"/>
    <x v="23"/>
    <n v="10"/>
    <n v="240"/>
    <n v="800"/>
    <n v="1040"/>
    <e v="#REF!"/>
    <e v="#REF!"/>
    <s v="A"/>
  </r>
  <r>
    <x v="0"/>
    <s v="TINTAS"/>
    <s v="TINTA ACRÍLICA"/>
    <s v="TINTA ACRÍLICA PISOS AZUL 18L"/>
    <s v="LATA"/>
    <n v="150"/>
    <x v="8"/>
    <n v="34"/>
    <n v="24"/>
    <n v="24"/>
    <n v="19"/>
    <n v="1.9584000000000001E-2"/>
    <x v="7"/>
    <n v="1200"/>
    <x v="24"/>
    <n v="10"/>
    <n v="120"/>
    <n v="400"/>
    <n v="520"/>
    <e v="#REF!"/>
    <e v="#REF!"/>
    <s v="A"/>
  </r>
  <r>
    <x v="0"/>
    <s v="TINTAS"/>
    <s v="TINTA ACRÍLICA"/>
    <s v="TINTA ACRÍLICA PARA GESSO BRANCO 18L"/>
    <s v="LATA"/>
    <n v="150"/>
    <x v="8"/>
    <n v="34"/>
    <n v="24"/>
    <n v="24"/>
    <n v="19"/>
    <n v="1.9584000000000001E-2"/>
    <x v="7"/>
    <n v="1200"/>
    <x v="24"/>
    <n v="10"/>
    <n v="120"/>
    <n v="400"/>
    <n v="520"/>
    <e v="#REF!"/>
    <e v="#REF!"/>
    <s v="A"/>
  </r>
  <r>
    <x v="0"/>
    <s v="TINTAS"/>
    <s v="TINTA ÓLEO"/>
    <s v="TINTA ÓLEO MAXX PVA CAPIM LIMÃO 18L"/>
    <s v="LATA"/>
    <n v="109.4"/>
    <x v="3"/>
    <n v="34"/>
    <n v="24"/>
    <n v="24"/>
    <n v="19"/>
    <n v="1.9584000000000001E-2"/>
    <x v="3"/>
    <n v="1600"/>
    <x v="25"/>
    <n v="10"/>
    <n v="160"/>
    <n v="533.33333333333337"/>
    <n v="693.33333333333337"/>
    <e v="#REF!"/>
    <e v="#REF!"/>
    <s v="A"/>
  </r>
  <r>
    <x v="0"/>
    <s v="TINTAS"/>
    <s v="TINTA ACRÍLICA"/>
    <s v="TINTA ACRÍLICA SUPER LAVÁVEL BRANCO 18L"/>
    <s v="LATA"/>
    <n v="145"/>
    <x v="1"/>
    <n v="34"/>
    <n v="24"/>
    <n v="24"/>
    <n v="19"/>
    <n v="1.9584000000000001E-2"/>
    <x v="7"/>
    <n v="1200"/>
    <x v="26"/>
    <n v="10"/>
    <n v="120"/>
    <n v="400"/>
    <n v="520"/>
    <e v="#REF!"/>
    <e v="#REF!"/>
    <s v="A"/>
  </r>
  <r>
    <x v="0"/>
    <s v="TINTAS"/>
    <s v="TINTA ÓLEO"/>
    <s v="TINTA ÓLEO CHEGA DE MOFO BRANCO CORAL 18L"/>
    <s v="LATA"/>
    <n v="105.9"/>
    <x v="1"/>
    <n v="34"/>
    <n v="24"/>
    <n v="24"/>
    <n v="19"/>
    <n v="1.9584000000000001E-2"/>
    <x v="3"/>
    <n v="1600"/>
    <x v="27"/>
    <n v="10"/>
    <n v="160"/>
    <n v="533.33333333333337"/>
    <n v="693.33333333333337"/>
    <e v="#REF!"/>
    <e v="#REF!"/>
    <s v="A"/>
  </r>
  <r>
    <x v="0"/>
    <s v="TINTAS"/>
    <s v="TINTA ÓLEO"/>
    <s v="TINTA ÓLEO ECONÔMICA CORALAR VERDE KIWI 18L"/>
    <s v="LATA"/>
    <n v="105.9"/>
    <x v="1"/>
    <n v="34"/>
    <n v="24"/>
    <n v="24"/>
    <n v="19"/>
    <n v="1.9584000000000001E-2"/>
    <x v="3"/>
    <n v="1600"/>
    <x v="27"/>
    <n v="10"/>
    <n v="160"/>
    <n v="533.33333333333337"/>
    <n v="693.33333333333337"/>
    <e v="#REF!"/>
    <e v="#REF!"/>
    <s v="A"/>
  </r>
  <r>
    <x v="0"/>
    <s v="TINTAS"/>
    <s v="TINTA ÓLEO"/>
    <s v="TINTA ÓLEO ECONÔMICA CORALAR CAMURÇA 18L"/>
    <s v="LATA"/>
    <n v="105.9"/>
    <x v="1"/>
    <n v="34"/>
    <n v="24"/>
    <n v="24"/>
    <n v="19"/>
    <n v="1.9584000000000001E-2"/>
    <x v="3"/>
    <n v="1600"/>
    <x v="27"/>
    <n v="10"/>
    <n v="160"/>
    <n v="533.33333333333337"/>
    <n v="693.33333333333337"/>
    <e v="#REF!"/>
    <e v="#REF!"/>
    <s v="A"/>
  </r>
  <r>
    <x v="0"/>
    <s v="ACESSÓRIOS PARA BANHEIRO"/>
    <s v="SABONETEIRA"/>
    <n v="65294"/>
    <s v="CAIXA "/>
    <n v="29.9"/>
    <x v="0"/>
    <n v="10"/>
    <n v="8"/>
    <n v="8"/>
    <n v="0.3"/>
    <n v="6.4000000000000005E-4"/>
    <x v="12"/>
    <n v="5468.75"/>
    <x v="28"/>
    <n v="10"/>
    <n v="546.875"/>
    <n v="1822.9166666666665"/>
    <n v="2369.7916666666665"/>
    <e v="#REF!"/>
    <e v="#REF!"/>
    <s v="A"/>
  </r>
  <r>
    <x v="0"/>
    <s v="ACESSÓRIOS PARA BANHEIRO"/>
    <s v="PORTA TOALHA"/>
    <s v="32569"/>
    <s v="CAIXA "/>
    <n v="49.9"/>
    <x v="0"/>
    <n v="10"/>
    <n v="8"/>
    <n v="10"/>
    <n v="1"/>
    <n v="8.0000000000000004E-4"/>
    <x v="13"/>
    <n v="3125"/>
    <x v="29"/>
    <n v="10"/>
    <n v="312.5"/>
    <n v="1041.6666666666667"/>
    <n v="1354.1666666666667"/>
    <e v="#REF!"/>
    <e v="#REF!"/>
    <s v="A"/>
  </r>
  <r>
    <x v="0"/>
    <s v="CERÂMICAS"/>
    <s v="REVESTIMENTO PARA FACHADAS LTC1717 "/>
    <s v="36589"/>
    <s v="CAIXA"/>
    <n v="630.4"/>
    <x v="10"/>
    <n v="22"/>
    <n v="17"/>
    <n v="17"/>
    <n v="20.350000000000001"/>
    <n v="6.3579999999999999E-3"/>
    <x v="14"/>
    <n v="240"/>
    <x v="30"/>
    <n v="30"/>
    <n v="8"/>
    <n v="240"/>
    <n v="248"/>
    <e v="#REF!"/>
    <e v="#REF!"/>
    <s v="A"/>
  </r>
  <r>
    <x v="0"/>
    <s v="TINTAS"/>
    <s v="TINTA ACRÍLICA"/>
    <s v="TINTA ACRÍLICA TELHAS CARAMELO 18L"/>
    <s v="LATA"/>
    <n v="120"/>
    <x v="8"/>
    <n v="34"/>
    <n v="24"/>
    <n v="24"/>
    <n v="19"/>
    <n v="1.9584000000000001E-2"/>
    <x v="7"/>
    <n v="1200"/>
    <x v="31"/>
    <n v="10"/>
    <n v="120"/>
    <n v="400"/>
    <n v="520"/>
    <e v="#REF!"/>
    <e v="#REF!"/>
    <s v="A"/>
  </r>
  <r>
    <x v="0"/>
    <s v="TINTAS"/>
    <s v="TINTA ACRÍLICA"/>
    <s v="TINTA ACRÍLICA PISOS VERDE 3,6L"/>
    <s v="GALÃO"/>
    <n v="84.5"/>
    <x v="8"/>
    <n v="19"/>
    <n v="17"/>
    <n v="17"/>
    <n v="5.28"/>
    <n v="5.4910000000000002E-3"/>
    <x v="9"/>
    <n v="1600"/>
    <x v="32"/>
    <n v="10"/>
    <n v="160"/>
    <n v="533.33333333333337"/>
    <n v="693.33333333333337"/>
    <e v="#REF!"/>
    <e v="#REF!"/>
    <s v="A"/>
  </r>
  <r>
    <x v="0"/>
    <s v="ACESSÓRIOS PARA BANHEIRO"/>
    <s v="LIXEIRA AUTOMATICA PARA PIA"/>
    <s v="21655"/>
    <s v="CAIXA "/>
    <n v="149.5"/>
    <x v="11"/>
    <n v="35"/>
    <n v="20"/>
    <n v="20"/>
    <n v="1.2"/>
    <n v="1.4E-2"/>
    <x v="15"/>
    <n v="892.85714285714289"/>
    <x v="33"/>
    <n v="10"/>
    <n v="89.285714285714292"/>
    <n v="297.61904761904765"/>
    <n v="386.90476190476193"/>
    <e v="#REF!"/>
    <e v="#REF!"/>
    <s v="A"/>
  </r>
  <r>
    <x v="0"/>
    <s v="TINTAS"/>
    <s v="SELADOR"/>
    <s v="SUVINIL SELADORA PARA MADEIRA 3,600L"/>
    <s v="GALÃO"/>
    <n v="79.900000000000006"/>
    <x v="3"/>
    <n v="19"/>
    <n v="17"/>
    <n v="17"/>
    <n v="5.28"/>
    <n v="5.4910000000000002E-3"/>
    <x v="9"/>
    <n v="1600"/>
    <x v="34"/>
    <n v="10"/>
    <n v="160"/>
    <n v="533.33333333333337"/>
    <n v="693.33333333333337"/>
    <e v="#REF!"/>
    <e v="#REF!"/>
    <s v="A"/>
  </r>
  <r>
    <x v="0"/>
    <s v="TINTAS"/>
    <s v="TINTA ÓLEO"/>
    <s v="TINTA ÓLEO GLASURIT LARANJA 18L"/>
    <s v="LATA"/>
    <n v="105"/>
    <x v="3"/>
    <n v="34"/>
    <n v="24"/>
    <n v="24"/>
    <n v="19"/>
    <n v="1.9584000000000001E-2"/>
    <x v="7"/>
    <n v="1200"/>
    <x v="35"/>
    <n v="10"/>
    <n v="120"/>
    <n v="400"/>
    <n v="520"/>
    <e v="#REF!"/>
    <e v="#REF!"/>
    <s v="A"/>
  </r>
  <r>
    <x v="0"/>
    <s v="ACESSÓRIOS PARA BANHEIRO"/>
    <s v="ASSENTO LAQUEADO"/>
    <s v="825859"/>
    <s v="CAIXA "/>
    <n v="78.75"/>
    <x v="12"/>
    <n v="3.3"/>
    <n v="44"/>
    <n v="38.200000000000003"/>
    <n v="1.58"/>
    <n v="5.5466400000000003E-3"/>
    <x v="16"/>
    <n v="1532.4592906696666"/>
    <x v="36"/>
    <n v="10"/>
    <n v="153.24592906696665"/>
    <n v="510.81976355655559"/>
    <n v="664.06569262352218"/>
    <e v="#REF!"/>
    <e v="#REF!"/>
    <s v="A"/>
  </r>
  <r>
    <x v="0"/>
    <s v="TINTAS"/>
    <s v="VERNIZES"/>
    <s v="VERNIZ SEMI BRILHO KNOTTING 3,6L"/>
    <s v="GALÃO"/>
    <n v="46.9"/>
    <x v="4"/>
    <n v="19"/>
    <n v="17"/>
    <n v="17"/>
    <n v="5.28"/>
    <n v="5.4910000000000002E-3"/>
    <x v="4"/>
    <n v="2400"/>
    <x v="37"/>
    <n v="10"/>
    <n v="240"/>
    <n v="800"/>
    <n v="1040"/>
    <e v="#REF!"/>
    <e v="#REF!"/>
    <s v="A"/>
  </r>
  <r>
    <x v="0"/>
    <s v="TINTAS"/>
    <s v="TINTA ESMALTE"/>
    <s v="TINTA ESMALTE CORALIT ZERO BRILHANTE BRANCO 3,6 L"/>
    <s v="GALÃO"/>
    <n v="69.900000000000006"/>
    <x v="1"/>
    <n v="19"/>
    <n v="17"/>
    <n v="17"/>
    <n v="5.28"/>
    <n v="5.4910000000000002E-3"/>
    <x v="9"/>
    <n v="1600"/>
    <x v="38"/>
    <n v="10"/>
    <n v="160"/>
    <n v="533.33333333333337"/>
    <n v="693.33333333333337"/>
    <e v="#REF!"/>
    <e v="#REF!"/>
    <s v="A"/>
  </r>
  <r>
    <x v="0"/>
    <s v="TINTAS"/>
    <s v="SELADOR"/>
    <s v="SUVINIL SELADOR ACRÍLICO 18L"/>
    <s v="LATA"/>
    <n v="89.9"/>
    <x v="3"/>
    <n v="34"/>
    <n v="24"/>
    <n v="24"/>
    <n v="31.1"/>
    <n v="1.9584000000000001E-2"/>
    <x v="7"/>
    <n v="1200"/>
    <x v="39"/>
    <n v="10"/>
    <n v="120"/>
    <n v="400"/>
    <n v="520"/>
    <e v="#REF!"/>
    <e v="#REF!"/>
    <s v="A"/>
  </r>
  <r>
    <x v="0"/>
    <s v="TINTAS"/>
    <s v="TINTA ESMALTE"/>
    <s v="TINTA ESMALTE ECO ACETINADO GELO 3,6L"/>
    <s v="GALÃO"/>
    <n v="86.9"/>
    <x v="13"/>
    <n v="19"/>
    <n v="17"/>
    <n v="17"/>
    <n v="5.28"/>
    <n v="5.4910000000000002E-3"/>
    <x v="17"/>
    <n v="1200"/>
    <x v="40"/>
    <n v="10"/>
    <n v="120"/>
    <n v="400"/>
    <n v="520"/>
    <e v="#REF!"/>
    <e v="#REF!"/>
    <s v="A"/>
  </r>
  <r>
    <x v="0"/>
    <s v="TINTAS"/>
    <s v="TINTA ESMALTE"/>
    <s v="TINTA ESMALTE ECO ACETINADO SERENO 3,6L"/>
    <s v="GALÃO"/>
    <n v="86.9"/>
    <x v="13"/>
    <n v="19"/>
    <n v="17"/>
    <n v="17"/>
    <n v="5.28"/>
    <n v="5.4910000000000002E-3"/>
    <x v="17"/>
    <n v="1200"/>
    <x v="40"/>
    <n v="10"/>
    <n v="120"/>
    <n v="400"/>
    <n v="520"/>
    <e v="#REF!"/>
    <e v="#REF!"/>
    <s v="A"/>
  </r>
  <r>
    <x v="0"/>
    <s v="TINTAS"/>
    <s v="TINTA ESMALTE"/>
    <s v="TINTA ESMALTE CORALIT ACETINADO BRANCO 3,6 L"/>
    <s v="GALÃO"/>
    <n v="63.9"/>
    <x v="1"/>
    <n v="19"/>
    <n v="17"/>
    <n v="17"/>
    <n v="5.28"/>
    <n v="5.4910000000000002E-3"/>
    <x v="9"/>
    <n v="1600"/>
    <x v="41"/>
    <n v="10"/>
    <n v="160"/>
    <n v="533.33333333333337"/>
    <n v="693.33333333333337"/>
    <e v="#REF!"/>
    <e v="#REF!"/>
    <s v="A"/>
  </r>
  <r>
    <x v="0"/>
    <s v="CERÂMICAS"/>
    <s v="CIMENTO COM TOZETO HD 50060"/>
    <s v="88391"/>
    <s v="CAIXA"/>
    <n v="338"/>
    <x v="14"/>
    <n v="22"/>
    <n v="50"/>
    <n v="50"/>
    <n v="20.350000000000001"/>
    <n v="5.5E-2"/>
    <x v="18"/>
    <n v="300"/>
    <x v="42"/>
    <n v="30"/>
    <n v="10"/>
    <n v="300"/>
    <n v="310"/>
    <e v="#REF!"/>
    <e v="#REF!"/>
    <s v="A"/>
  </r>
  <r>
    <x v="0"/>
    <s v="TINTAS"/>
    <s v="SELADOR"/>
    <s v="SELADOR ACRÍLICO CORAL PIGMENTADO BRANCO 18L"/>
    <s v="LATA"/>
    <n v="83.93"/>
    <x v="1"/>
    <n v="34"/>
    <n v="24"/>
    <n v="24"/>
    <n v="31.1"/>
    <n v="1.9584000000000001E-2"/>
    <x v="7"/>
    <n v="1200"/>
    <x v="43"/>
    <n v="10"/>
    <n v="120"/>
    <n v="400"/>
    <n v="520"/>
    <e v="#REF!"/>
    <e v="#REF!"/>
    <s v="A"/>
  </r>
  <r>
    <x v="0"/>
    <s v="CERÂMICAS"/>
    <s v="CARGO PLUS WHITE"/>
    <s v="53432"/>
    <s v="CAIXA"/>
    <n v="554"/>
    <x v="7"/>
    <n v="22"/>
    <n v="45"/>
    <n v="45"/>
    <n v="20.350000000000001"/>
    <n v="4.4549999999999999E-2"/>
    <x v="19"/>
    <n v="180"/>
    <x v="44"/>
    <n v="30"/>
    <n v="6"/>
    <n v="180"/>
    <n v="186"/>
    <e v="#REF!"/>
    <e v="#REF!"/>
    <s v="A"/>
  </r>
  <r>
    <x v="0"/>
    <s v="TINTAS"/>
    <s v="TINTA ESMALTE"/>
    <s v="TINTA ESMALTE ACETINADO GELO 3,6 L"/>
    <s v="GALÃO"/>
    <n v="81.900000000000006"/>
    <x v="3"/>
    <n v="19"/>
    <n v="17"/>
    <n v="17"/>
    <n v="5.28"/>
    <n v="5.4910000000000002E-3"/>
    <x v="17"/>
    <n v="1200"/>
    <x v="45"/>
    <n v="10"/>
    <n v="120"/>
    <n v="400"/>
    <n v="520"/>
    <e v="#REF!"/>
    <e v="#REF!"/>
    <s v="B"/>
  </r>
  <r>
    <x v="0"/>
    <s v="TINTAS"/>
    <s v="TINTA ESMALTE"/>
    <s v="TINTA ESMALTE ECO ALTO BRILHO BRANCO 3,6L"/>
    <s v="GALÃO"/>
    <n v="81.900000000000006"/>
    <x v="13"/>
    <n v="19"/>
    <n v="17"/>
    <n v="17"/>
    <n v="5.28"/>
    <n v="5.4910000000000002E-3"/>
    <x v="17"/>
    <n v="1200"/>
    <x v="45"/>
    <n v="10"/>
    <n v="120"/>
    <n v="400"/>
    <n v="520"/>
    <e v="#REF!"/>
    <e v="#REF!"/>
    <s v="B"/>
  </r>
  <r>
    <x v="0"/>
    <s v="CERÂMICAS"/>
    <s v="TECNOQUARTZ NAT. RE MAXIGRES"/>
    <s v="76708"/>
    <s v="CAIXA"/>
    <n v="538"/>
    <x v="7"/>
    <n v="22"/>
    <n v="60"/>
    <n v="60"/>
    <n v="20.350000000000001"/>
    <n v="7.9200000000000007E-2"/>
    <x v="20"/>
    <n v="180"/>
    <x v="46"/>
    <n v="30"/>
    <n v="6"/>
    <n v="180"/>
    <n v="186"/>
    <e v="#REF!"/>
    <e v="#REF!"/>
    <s v="B"/>
  </r>
  <r>
    <x v="0"/>
    <s v="TINTAS"/>
    <s v="TINTA ESMALTE"/>
    <s v="TINTA ESMALTE ACETINADO AREIA 3,6 L"/>
    <s v="GALÃO"/>
    <n v="79.900000000000006"/>
    <x v="3"/>
    <n v="19"/>
    <n v="17"/>
    <n v="17"/>
    <n v="5.28"/>
    <n v="5.4910000000000002E-3"/>
    <x v="17"/>
    <n v="1200"/>
    <x v="47"/>
    <n v="10"/>
    <n v="120"/>
    <n v="400"/>
    <n v="520"/>
    <e v="#REF!"/>
    <e v="#REF!"/>
    <s v="B"/>
  </r>
  <r>
    <x v="0"/>
    <s v="TINTAS"/>
    <s v="TINTA ESMALTE"/>
    <s v="TINTA ESMALTE BRILHANTE BRANCO 3,6 L"/>
    <s v="GALÃO"/>
    <n v="79.900000000000006"/>
    <x v="3"/>
    <n v="19"/>
    <n v="17"/>
    <n v="17"/>
    <n v="5.28"/>
    <n v="5.4910000000000002E-3"/>
    <x v="17"/>
    <n v="1200"/>
    <x v="47"/>
    <n v="10"/>
    <n v="120"/>
    <n v="400"/>
    <n v="520"/>
    <e v="#REF!"/>
    <e v="#REF!"/>
    <s v="B"/>
  </r>
  <r>
    <x v="0"/>
    <s v="TINTAS"/>
    <s v="TINTA ESMALTE"/>
    <s v="TINTA ESMALTE ECO ACETINADO BRANCO 3,6L"/>
    <s v="GALÃO"/>
    <n v="79.900000000000006"/>
    <x v="13"/>
    <n v="19"/>
    <n v="17"/>
    <n v="17"/>
    <n v="5.28"/>
    <n v="5.4910000000000002E-3"/>
    <x v="17"/>
    <n v="1200"/>
    <x v="47"/>
    <n v="10"/>
    <n v="120"/>
    <n v="400"/>
    <n v="520"/>
    <e v="#REF!"/>
    <e v="#REF!"/>
    <s v="B"/>
  </r>
  <r>
    <x v="0"/>
    <s v="ACESSÓRIOS PARA BANHEIRO"/>
    <s v="PORTA XAMPO"/>
    <s v="23658"/>
    <s v="CAIXA "/>
    <n v="39.9"/>
    <x v="0"/>
    <n v="15"/>
    <n v="10"/>
    <n v="15"/>
    <n v="0.4"/>
    <n v="2.2499999999999998E-3"/>
    <x v="21"/>
    <n v="2400.0000000000005"/>
    <x v="48"/>
    <n v="10"/>
    <n v="240.00000000000006"/>
    <n v="800.00000000000011"/>
    <n v="1040.0000000000002"/>
    <e v="#REF!"/>
    <e v="#REF!"/>
    <s v="B"/>
  </r>
  <r>
    <x v="0"/>
    <s v="CERÂMICAS"/>
    <s v="PD32770 MADEIRA PEI IV"/>
    <s v="70047"/>
    <s v="CAIXA"/>
    <n v="316.60000000000002"/>
    <x v="14"/>
    <n v="22"/>
    <n v="45"/>
    <n v="45"/>
    <n v="20.350000000000001"/>
    <n v="4.4549999999999999E-2"/>
    <x v="22"/>
    <n v="300"/>
    <x v="49"/>
    <n v="30"/>
    <n v="10"/>
    <n v="300"/>
    <n v="310"/>
    <e v="#REF!"/>
    <e v="#REF!"/>
    <s v="B"/>
  </r>
  <r>
    <x v="0"/>
    <s v="CERÂMICAS"/>
    <s v="PETWORK BRILHANTE "/>
    <s v="90595"/>
    <s v="CAIXA"/>
    <n v="312.2"/>
    <x v="14"/>
    <n v="22"/>
    <n v="45"/>
    <n v="45"/>
    <n v="20.350000000000001"/>
    <n v="4.4549999999999999E-2"/>
    <x v="22"/>
    <n v="300"/>
    <x v="50"/>
    <n v="30"/>
    <n v="10"/>
    <n v="300"/>
    <n v="310"/>
    <e v="#REF!"/>
    <e v="#REF!"/>
    <s v="B"/>
  </r>
  <r>
    <x v="0"/>
    <s v="TINTAS"/>
    <s v="TINTA ESMALTE"/>
    <s v="TINTA ESMALTE CORALIT FOSCO BRANCO 3,6 L"/>
    <s v="GALÃO"/>
    <n v="77.900000000000006"/>
    <x v="1"/>
    <n v="19"/>
    <n v="17"/>
    <n v="17"/>
    <n v="5.28"/>
    <n v="5.4910000000000002E-3"/>
    <x v="17"/>
    <n v="1200"/>
    <x v="51"/>
    <n v="10"/>
    <n v="120"/>
    <n v="400"/>
    <n v="520"/>
    <e v="#REF!"/>
    <e v="#REF!"/>
    <s v="B"/>
  </r>
  <r>
    <x v="0"/>
    <s v="ACESSÓRIOS PARA BANHEIRO"/>
    <s v="PAPELEIRA"/>
    <s v="21563"/>
    <s v="CAIXA "/>
    <n v="59.9"/>
    <x v="0"/>
    <n v="15"/>
    <n v="10"/>
    <n v="15"/>
    <n v="1"/>
    <n v="2.2499999999999998E-3"/>
    <x v="12"/>
    <n v="1555.5555555555557"/>
    <x v="52"/>
    <n v="10"/>
    <n v="155.55555555555557"/>
    <n v="518.51851851851859"/>
    <n v="674.07407407407413"/>
    <e v="#REF!"/>
    <e v="#REF!"/>
    <s v="B"/>
  </r>
  <r>
    <x v="0"/>
    <s v="PISOS"/>
    <s v="PISO VINÍLICO EM RÉGUA DURAFLOOR LVT LOFT"/>
    <s v="REF: 02193PISODAKAR00000001"/>
    <s v="CAIXA"/>
    <n v="119"/>
    <x v="15"/>
    <n v="0.4"/>
    <n v="122"/>
    <n v="20"/>
    <n v="9.9"/>
    <n v="9.7599999999999998E-4"/>
    <x v="23"/>
    <n v="760"/>
    <x v="53"/>
    <n v="20"/>
    <n v="38"/>
    <n v="506.66666666666663"/>
    <n v="544.66666666666663"/>
    <e v="#REF!"/>
    <e v="#REF!"/>
    <s v="B"/>
  </r>
  <r>
    <x v="0"/>
    <s v="CERÂMICAS"/>
    <s v="MADEIRA JACARANDA PEI III"/>
    <s v="64649"/>
    <s v="CAIXA"/>
    <n v="299.39999999999998"/>
    <x v="16"/>
    <n v="22"/>
    <n v="45"/>
    <n v="45"/>
    <n v="20.350000000000001"/>
    <n v="4.4549999999999999E-2"/>
    <x v="22"/>
    <n v="300"/>
    <x v="54"/>
    <n v="30"/>
    <n v="10"/>
    <n v="300"/>
    <n v="310"/>
    <e v="#REF!"/>
    <e v="#REF!"/>
    <s v="B"/>
  </r>
  <r>
    <x v="0"/>
    <s v="CERÂMICAS"/>
    <s v="MAXIGRES ROSSINI SNOW"/>
    <s v="88490"/>
    <s v="CAIXA"/>
    <n v="498"/>
    <x v="7"/>
    <n v="22"/>
    <n v="60"/>
    <n v="60"/>
    <n v="20.350000000000001"/>
    <n v="7.9200000000000007E-2"/>
    <x v="20"/>
    <n v="180"/>
    <x v="55"/>
    <n v="30"/>
    <n v="6"/>
    <n v="180"/>
    <n v="186"/>
    <e v="#REF!"/>
    <e v="#REF!"/>
    <s v="B"/>
  </r>
  <r>
    <x v="0"/>
    <s v="TINTAS"/>
    <s v="TINTA ESMALTE"/>
    <s v="TINTA ESMALTE BRILHANTE GELO 3,6 L"/>
    <s v="GALÃO"/>
    <n v="69.900000000000006"/>
    <x v="3"/>
    <n v="19"/>
    <n v="17"/>
    <n v="17"/>
    <n v="5.28"/>
    <n v="5.4910000000000002E-3"/>
    <x v="17"/>
    <n v="1200"/>
    <x v="56"/>
    <n v="10"/>
    <n v="120"/>
    <n v="400"/>
    <n v="520"/>
    <e v="#REF!"/>
    <e v="#REF!"/>
    <s v="B"/>
  </r>
  <r>
    <x v="0"/>
    <s v="CERÂMICAS"/>
    <s v="ARIZONA BE NAT"/>
    <s v="93090"/>
    <s v="CAIXA"/>
    <n v="465"/>
    <x v="17"/>
    <n v="22"/>
    <n v="45"/>
    <n v="45"/>
    <n v="20.350000000000001"/>
    <n v="4.4549999999999999E-2"/>
    <x v="19"/>
    <n v="180"/>
    <x v="57"/>
    <n v="30"/>
    <n v="6"/>
    <n v="180"/>
    <n v="186"/>
    <e v="#REF!"/>
    <e v="#REF!"/>
    <s v="B"/>
  </r>
  <r>
    <x v="0"/>
    <s v="CERÂMICAS"/>
    <s v="DESIGN PD32540 PEI IV"/>
    <s v=" 70348"/>
    <s v="CAIXA"/>
    <n v="278"/>
    <x v="14"/>
    <n v="22"/>
    <n v="45"/>
    <n v="45"/>
    <n v="20.350000000000001"/>
    <n v="4.4549999999999999E-2"/>
    <x v="22"/>
    <n v="300"/>
    <x v="58"/>
    <n v="30"/>
    <n v="10"/>
    <n v="300"/>
    <n v="310"/>
    <e v="#REF!"/>
    <e v="#REF!"/>
    <s v="B"/>
  </r>
  <r>
    <x v="0"/>
    <s v="TINTAS"/>
    <s v="MASSA CORRIDA"/>
    <s v="SUVINIL MASSA CORRIDA 18L"/>
    <s v="LATA"/>
    <n v="66.900000000000006"/>
    <x v="3"/>
    <n v="34"/>
    <n v="24"/>
    <n v="24"/>
    <n v="31.446000000000002"/>
    <n v="1.9584000000000001E-2"/>
    <x v="7"/>
    <n v="1200"/>
    <x v="59"/>
    <n v="10"/>
    <n v="120"/>
    <n v="400"/>
    <n v="520"/>
    <e v="#REF!"/>
    <e v="#REF!"/>
    <s v="B"/>
  </r>
  <r>
    <x v="0"/>
    <s v="CERÂMICAS"/>
    <s v="PORCELANATO BRILHANTE BORDA RETA BIANCO DELICATO"/>
    <s v="35645"/>
    <s v="CAIXA"/>
    <n v="363.8"/>
    <x v="17"/>
    <n v="6"/>
    <n v="80"/>
    <n v="80"/>
    <n v="42"/>
    <n v="3.8399999999999997E-2"/>
    <x v="24"/>
    <n v="200"/>
    <x v="60"/>
    <n v="30"/>
    <n v="6.666666666666667"/>
    <n v="200"/>
    <n v="206.66666666666666"/>
    <e v="#REF!"/>
    <e v="#REF!"/>
    <s v="B"/>
  </r>
  <r>
    <x v="0"/>
    <s v="ACESSÓRIOS PARA BANHEIRO"/>
    <s v="PRATELEIRA WENDEL"/>
    <s v="22365"/>
    <s v="CAIXA "/>
    <n v="30.9"/>
    <x v="18"/>
    <n v="14.5"/>
    <n v="24.5"/>
    <n v="9"/>
    <n v="10"/>
    <n v="3.19725E-3"/>
    <x v="25"/>
    <n v="2345.7658925639221"/>
    <x v="61"/>
    <n v="10"/>
    <n v="234.5765892563922"/>
    <n v="781.92196418797403"/>
    <n v="1016.4985534443663"/>
    <e v="#REF!"/>
    <e v="#REF!"/>
    <s v="B"/>
  </r>
  <r>
    <x v="0"/>
    <s v="CERÂMICAS"/>
    <s v="4719 PEI IV"/>
    <s v="71705"/>
    <s v="CAIXA"/>
    <n v="279.39999999999998"/>
    <x v="19"/>
    <n v="22"/>
    <n v="47"/>
    <n v="47"/>
    <n v="20.350000000000001"/>
    <n v="4.8598000000000002E-2"/>
    <x v="26"/>
    <n v="250"/>
    <x v="62"/>
    <n v="30"/>
    <n v="8.3333333333333339"/>
    <n v="250.00000000000003"/>
    <n v="258.33333333333337"/>
    <e v="#REF!"/>
    <e v="#REF!"/>
    <s v="B"/>
  </r>
  <r>
    <x v="0"/>
    <s v="CERÂMICAS"/>
    <s v=" DHAMA B.P."/>
    <s v="90255"/>
    <s v="CAIXA"/>
    <n v="276"/>
    <x v="20"/>
    <n v="22"/>
    <n v="32"/>
    <n v="45"/>
    <n v="20.350000000000001"/>
    <n v="3.168E-2"/>
    <x v="27"/>
    <n v="250"/>
    <x v="63"/>
    <n v="30"/>
    <n v="8.3333333333333339"/>
    <n v="250.00000000000003"/>
    <n v="258.33333333333337"/>
    <e v="#REF!"/>
    <e v="#REF!"/>
    <s v="B"/>
  </r>
  <r>
    <x v="0"/>
    <s v="PISOS"/>
    <s v="PISO VINÍLICO FADEMAC AMBIENTA RÚSTICO"/>
    <s v="REF: 000000000009301605"/>
    <s v="CAIXA"/>
    <n v="90"/>
    <x v="21"/>
    <n v="0.3"/>
    <n v="95"/>
    <n v="18.600000000000001"/>
    <n v="5.4"/>
    <n v="5.3010000000000004E-4"/>
    <x v="28"/>
    <n v="760"/>
    <x v="64"/>
    <n v="20"/>
    <n v="38"/>
    <n v="506.66666666666663"/>
    <n v="544.66666666666663"/>
    <e v="#REF!"/>
    <e v="#REF!"/>
    <s v="B"/>
  </r>
  <r>
    <x v="0"/>
    <s v="TINTAS"/>
    <s v="TINTA ÓLEO"/>
    <s v="TINTA ÓLEO SUVINIL BRANCO 3,6"/>
    <s v="GALÃO"/>
    <n v="55.5"/>
    <x v="3"/>
    <n v="19"/>
    <n v="17"/>
    <n v="17"/>
    <n v="5.28"/>
    <n v="5.4910000000000002E-3"/>
    <x v="17"/>
    <n v="1200"/>
    <x v="65"/>
    <n v="10"/>
    <n v="120"/>
    <n v="400"/>
    <n v="520"/>
    <e v="#REF!"/>
    <e v="#REF!"/>
    <s v="B"/>
  </r>
  <r>
    <x v="0"/>
    <s v="ACESSÓRIOS PARA BANHEIRO"/>
    <s v="PRATELEIRA NOCE"/>
    <s v="23658"/>
    <s v="CAIXA "/>
    <n v="24.9"/>
    <x v="18"/>
    <n v="14.5"/>
    <n v="24.5"/>
    <n v="9"/>
    <n v="10"/>
    <n v="3.19725E-3"/>
    <x v="16"/>
    <n v="2658.5346782391116"/>
    <x v="66"/>
    <n v="10"/>
    <n v="265.85346782391116"/>
    <n v="886.17822607970379"/>
    <n v="1152.031693903615"/>
    <e v="#REF!"/>
    <e v="#REF!"/>
    <s v="B"/>
  </r>
  <r>
    <x v="0"/>
    <s v="TINTAS"/>
    <s v="TINTA ÓLEO"/>
    <s v="TINTA ÓLEO SUVINIL MARROM CONHAQUE 3,6L"/>
    <s v="GALÃO"/>
    <n v="55"/>
    <x v="3"/>
    <n v="19"/>
    <n v="17"/>
    <n v="17"/>
    <n v="5.28"/>
    <n v="5.4910000000000002E-3"/>
    <x v="17"/>
    <n v="1200"/>
    <x v="67"/>
    <n v="10"/>
    <n v="120"/>
    <n v="400"/>
    <n v="520"/>
    <e v="#REF!"/>
    <e v="#REF!"/>
    <s v="B"/>
  </r>
  <r>
    <x v="0"/>
    <s v="PISOS"/>
    <s v="PISO LAMINADO EUCATEX "/>
    <s v="REF: 083886"/>
    <s v="CAIXA"/>
    <n v="83.45"/>
    <x v="22"/>
    <n v="7"/>
    <n v="135.69999999999999"/>
    <n v="19.7"/>
    <n v="18"/>
    <n v="1.8713029999999995E-2"/>
    <x v="29"/>
    <n v="760"/>
    <x v="68"/>
    <n v="20"/>
    <n v="38"/>
    <n v="506.66666666666663"/>
    <n v="544.66666666666663"/>
    <e v="#REF!"/>
    <e v="#REF!"/>
    <s v="B"/>
  </r>
  <r>
    <x v="0"/>
    <s v="CERÂMICAS"/>
    <s v="DESIGN PD 33150 PEI IV"/>
    <s v="73959"/>
    <s v="CAIXA"/>
    <n v="324.8"/>
    <x v="14"/>
    <n v="22"/>
    <n v="45"/>
    <n v="45"/>
    <n v="20.350000000000001"/>
    <n v="4.4549999999999999E-2"/>
    <x v="19"/>
    <n v="180"/>
    <x v="69"/>
    <n v="30"/>
    <n v="6"/>
    <n v="180"/>
    <n v="186"/>
    <e v="#REF!"/>
    <e v="#REF!"/>
    <s v="B"/>
  </r>
  <r>
    <x v="0"/>
    <s v="CERÂMICAS"/>
    <s v="MOSAICO GELO HD 26306"/>
    <s v=" 83994"/>
    <s v="CAIXA"/>
    <n v="318"/>
    <x v="23"/>
    <n v="22"/>
    <n v="53"/>
    <n v="53"/>
    <n v="20.350000000000001"/>
    <n v="6.1797999999999999E-2"/>
    <x v="30"/>
    <n v="180"/>
    <x v="70"/>
    <n v="30"/>
    <n v="6"/>
    <n v="180"/>
    <n v="186"/>
    <e v="#REF!"/>
    <e v="#REF!"/>
    <s v="B"/>
  </r>
  <r>
    <x v="0"/>
    <s v="LOUÇAS SANITÁRIAS"/>
    <s v="CONJUNTO MÓVEL PARA BANHEIRO"/>
    <s v="CMPB002"/>
    <s v="UNIDADE"/>
    <n v="1235.52"/>
    <x v="24"/>
    <n v="50"/>
    <n v="150"/>
    <n v="150"/>
    <n v="31"/>
    <n v="1.125"/>
    <x v="31"/>
    <n v="45"/>
    <x v="71"/>
    <n v="40"/>
    <n v="1.125"/>
    <n v="60"/>
    <n v="61.125"/>
    <e v="#REF!"/>
    <e v="#REF!"/>
    <s v="B"/>
  </r>
  <r>
    <x v="0"/>
    <s v="TINTAS"/>
    <s v="TINTA ÓLEO"/>
    <s v="TINTA ÓLEO SUVINIL AZUL DEL REY 3,6L"/>
    <s v="GALÃO"/>
    <n v="45.5"/>
    <x v="3"/>
    <n v="19"/>
    <n v="17"/>
    <n v="17"/>
    <n v="5.28"/>
    <n v="5.4910000000000002E-3"/>
    <x v="17"/>
    <n v="1200"/>
    <x v="72"/>
    <n v="10"/>
    <n v="120"/>
    <n v="400"/>
    <n v="520"/>
    <e v="#REF!"/>
    <e v="#REF!"/>
    <s v="B"/>
  </r>
  <r>
    <x v="0"/>
    <s v="PISOS"/>
    <s v="PISO LAMINADO"/>
    <s v="REF: 106976"/>
    <s v="CAIXA"/>
    <n v="71.150000000000006"/>
    <x v="25"/>
    <n v="7"/>
    <n v="129"/>
    <n v="19.399999999999999"/>
    <n v="17.5"/>
    <n v="1.7518200000000001E-2"/>
    <x v="32"/>
    <n v="760"/>
    <x v="73"/>
    <n v="20"/>
    <n v="38"/>
    <n v="506.66666666666663"/>
    <n v="544.66666666666663"/>
    <e v="#REF!"/>
    <e v="#REF!"/>
    <s v="B"/>
  </r>
  <r>
    <x v="0"/>
    <s v="TINTAS"/>
    <s v="TINTA ESMALTE"/>
    <s v="ESMALTE BRILHANTE BRANCO 3,6L"/>
    <s v="GALÃO"/>
    <n v="44.9"/>
    <x v="26"/>
    <n v="19"/>
    <n v="17"/>
    <n v="17"/>
    <n v="5.28"/>
    <n v="5.4910000000000002E-3"/>
    <x v="17"/>
    <n v="1200"/>
    <x v="74"/>
    <n v="10"/>
    <n v="120"/>
    <n v="400"/>
    <n v="520"/>
    <e v="#REF!"/>
    <e v="#REF!"/>
    <s v="B"/>
  </r>
  <r>
    <x v="0"/>
    <s v="CERÂMICAS"/>
    <s v="PEDRA MISTA HD 50060"/>
    <s v="88392"/>
    <s v="CAIXA"/>
    <n v="298"/>
    <x v="14"/>
    <n v="22"/>
    <n v="50"/>
    <n v="50"/>
    <n v="20.350000000000001"/>
    <n v="5.5E-2"/>
    <x v="33"/>
    <n v="180"/>
    <x v="75"/>
    <n v="30"/>
    <n v="6"/>
    <n v="180"/>
    <n v="186"/>
    <e v="#REF!"/>
    <e v="#REF!"/>
    <s v="B"/>
  </r>
  <r>
    <x v="0"/>
    <s v="CERÂMICAS"/>
    <s v="NATURALE LUX HD PEI IV"/>
    <s v="87799"/>
    <s v="CAIXA"/>
    <n v="298"/>
    <x v="16"/>
    <n v="22"/>
    <n v="53"/>
    <n v="53"/>
    <n v="20.350000000000001"/>
    <n v="6.1797999999999999E-2"/>
    <x v="30"/>
    <n v="180"/>
    <x v="75"/>
    <n v="30"/>
    <n v="6"/>
    <n v="180"/>
    <n v="186"/>
    <e v="#REF!"/>
    <e v="#REF!"/>
    <s v="B"/>
  </r>
  <r>
    <x v="0"/>
    <s v="ACESSÓRIOS PARA BANHEIRO"/>
    <s v="LIXEIRA INOX COM TAMPA"/>
    <s v="15155"/>
    <s v="CAIXA "/>
    <n v="126.7"/>
    <x v="11"/>
    <n v="40"/>
    <n v="25"/>
    <n v="25"/>
    <n v="1.2"/>
    <n v="2.5000000000000001E-2"/>
    <x v="34"/>
    <n v="420"/>
    <x v="76"/>
    <n v="10"/>
    <n v="42"/>
    <n v="140"/>
    <n v="182"/>
    <e v="#REF!"/>
    <e v="#REF!"/>
    <s v="B"/>
  </r>
  <r>
    <x v="0"/>
    <s v="PISOS"/>
    <s v="PISO LAMINADO CARVALHO"/>
    <s v="REF: 106978"/>
    <s v="CAIXA"/>
    <n v="70"/>
    <x v="27"/>
    <n v="8"/>
    <n v="129"/>
    <n v="19.600000000000001"/>
    <n v="20"/>
    <n v="2.0227200000000001E-2"/>
    <x v="35"/>
    <n v="760"/>
    <x v="77"/>
    <n v="20"/>
    <n v="38"/>
    <n v="506.66666666666663"/>
    <n v="544.66666666666663"/>
    <e v="#REF!"/>
    <e v="#REF!"/>
    <s v="B"/>
  </r>
  <r>
    <x v="0"/>
    <s v="CERÂMICAS"/>
    <s v="4360 PEI IV"/>
    <s v="37783"/>
    <s v="CAIXA"/>
    <n v="259.89999999999998"/>
    <x v="19"/>
    <n v="22"/>
    <n v="43"/>
    <n v="43"/>
    <n v="20.350000000000001"/>
    <n v="4.0677999999999999E-2"/>
    <x v="36"/>
    <n v="200"/>
    <x v="78"/>
    <n v="30"/>
    <n v="6.666666666666667"/>
    <n v="200"/>
    <n v="206.66666666666666"/>
    <e v="#REF!"/>
    <e v="#REF!"/>
    <s v="B"/>
  </r>
  <r>
    <x v="0"/>
    <s v="CERÂMICAS"/>
    <s v="4327 PEI IV"/>
    <s v="29458"/>
    <s v="CAIXA"/>
    <n v="280.2"/>
    <x v="19"/>
    <n v="22"/>
    <n v="43"/>
    <n v="43"/>
    <n v="20.350000000000001"/>
    <n v="4.0677999999999999E-2"/>
    <x v="37"/>
    <n v="180"/>
    <x v="79"/>
    <n v="30"/>
    <n v="6"/>
    <n v="180"/>
    <n v="186"/>
    <e v="#REF!"/>
    <e v="#REF!"/>
    <s v="B"/>
  </r>
  <r>
    <x v="0"/>
    <s v="CERÂMICAS"/>
    <s v="PORCELANATO BRILHANTE BORDA RETA CREMA PERLA"/>
    <s v="36521"/>
    <s v="CAIXA"/>
    <n v="251.8"/>
    <x v="17"/>
    <n v="6"/>
    <n v="80"/>
    <n v="80"/>
    <n v="45"/>
    <n v="3.8399999999999997E-2"/>
    <x v="24"/>
    <n v="200"/>
    <x v="80"/>
    <n v="30"/>
    <n v="6.666666666666667"/>
    <n v="200"/>
    <n v="206.66666666666666"/>
    <e v="#REF!"/>
    <e v="#REF!"/>
    <s v="B"/>
  </r>
  <r>
    <x v="0"/>
    <s v="ACESSÓRIOS PARA BANHEIRO"/>
    <s v="CABIDE DUPLO"/>
    <s v="36528"/>
    <s v="CAIXA "/>
    <n v="68.27"/>
    <x v="0"/>
    <n v="10"/>
    <n v="30"/>
    <n v="30"/>
    <n v="2"/>
    <n v="8.9999999999999993E-3"/>
    <x v="38"/>
    <n v="722.22222222222229"/>
    <x v="81"/>
    <n v="10"/>
    <n v="72.222222222222229"/>
    <n v="240.74074074074076"/>
    <n v="312.96296296296299"/>
    <e v="#REF!"/>
    <e v="#REF!"/>
    <s v="B"/>
  </r>
  <r>
    <x v="0"/>
    <s v="CERÂMICAS"/>
    <s v="CELTA GRIS PURO GRÊS FIT"/>
    <s v="84753"/>
    <s v="CAIXA"/>
    <n v="438"/>
    <x v="28"/>
    <n v="22"/>
    <n v="44.5"/>
    <n v="44.5"/>
    <n v="20.350000000000001"/>
    <n v="4.35655E-2"/>
    <x v="39"/>
    <n v="110"/>
    <x v="82"/>
    <n v="30"/>
    <n v="3.6666666666666665"/>
    <n v="110"/>
    <n v="113.66666666666667"/>
    <e v="#REF!"/>
    <e v="#REF!"/>
    <s v="B"/>
  </r>
  <r>
    <x v="0"/>
    <s v="CERÂMICAS"/>
    <s v="RIMINI PEI V"/>
    <s v="80305"/>
    <s v="CAIXA"/>
    <n v="265.8"/>
    <x v="29"/>
    <n v="22"/>
    <n v="45"/>
    <n v="45"/>
    <n v="20.350000000000001"/>
    <n v="4.4549999999999999E-2"/>
    <x v="19"/>
    <n v="180"/>
    <x v="83"/>
    <n v="30"/>
    <n v="6"/>
    <n v="180"/>
    <n v="186"/>
    <e v="#REF!"/>
    <e v="#REF!"/>
    <s v="B"/>
  </r>
  <r>
    <x v="0"/>
    <s v="CERÂMICAS"/>
    <s v="43112 PEI IV"/>
    <s v="61011"/>
    <s v="CAIXA"/>
    <n v="264"/>
    <x v="19"/>
    <n v="22"/>
    <n v="43"/>
    <n v="43"/>
    <n v="20.350000000000001"/>
    <n v="4.0677999999999999E-2"/>
    <x v="37"/>
    <n v="180"/>
    <x v="84"/>
    <n v="30"/>
    <n v="6"/>
    <n v="180"/>
    <n v="186"/>
    <e v="#REF!"/>
    <e v="#REF!"/>
    <s v="B"/>
  </r>
  <r>
    <x v="0"/>
    <s v="CERÂMICAS"/>
    <s v="PORCELANATO BRILHANTE BORDA RETA CRISTAL WHITE"/>
    <s v="12345"/>
    <s v="CAIXA"/>
    <n v="235.8"/>
    <x v="30"/>
    <n v="6"/>
    <n v="100"/>
    <n v="100"/>
    <n v="53.13"/>
    <n v="0.06"/>
    <x v="40"/>
    <n v="200"/>
    <x v="85"/>
    <n v="30"/>
    <n v="6.666666666666667"/>
    <n v="200"/>
    <n v="206.66666666666666"/>
    <e v="#REF!"/>
    <e v="#REF!"/>
    <s v="B"/>
  </r>
  <r>
    <x v="0"/>
    <s v="ACESSÓRIOS PARA BANHEIRO"/>
    <s v="ASSENTO LAQUEADO"/>
    <s v="215859"/>
    <s v="CAIXA "/>
    <n v="93.28"/>
    <x v="12"/>
    <n v="3.3"/>
    <n v="36"/>
    <n v="42"/>
    <n v="1.58"/>
    <n v="4.9895999999999994E-3"/>
    <x v="13"/>
    <n v="501.04216770883443"/>
    <x v="86"/>
    <n v="10"/>
    <n v="50.10421677088344"/>
    <n v="167.01405590294482"/>
    <n v="217.11827267382824"/>
    <e v="#REF!"/>
    <e v="#REF!"/>
    <s v="B"/>
  </r>
  <r>
    <x v="0"/>
    <s v="CERÂMICAS"/>
    <s v="RAVENA BEGE PEI IV "/>
    <s v="80304"/>
    <s v="CAIXA"/>
    <n v="259.60000000000002"/>
    <x v="29"/>
    <n v="22"/>
    <n v="45"/>
    <n v="45"/>
    <n v="20.350000000000001"/>
    <n v="4.4549999999999999E-2"/>
    <x v="19"/>
    <n v="180"/>
    <x v="87"/>
    <n v="30"/>
    <n v="6"/>
    <n v="180"/>
    <n v="186"/>
    <e v="#REF!"/>
    <e v="#REF!"/>
    <s v="B"/>
  </r>
  <r>
    <x v="0"/>
    <s v="CERÂMICAS"/>
    <s v="4301 PEI V"/>
    <s v="33124"/>
    <s v="CAIXA"/>
    <n v="259.39999999999998"/>
    <x v="19"/>
    <n v="22"/>
    <n v="43"/>
    <n v="43"/>
    <n v="20.350000000000001"/>
    <n v="4.0677999999999999E-2"/>
    <x v="37"/>
    <n v="180"/>
    <x v="88"/>
    <n v="30"/>
    <n v="6"/>
    <n v="180"/>
    <n v="186"/>
    <e v="#REF!"/>
    <e v="#REF!"/>
    <s v="B"/>
  </r>
  <r>
    <x v="0"/>
    <s v="CERÂMICAS"/>
    <s v="PORCELANATO ACETINADO BORDA RETA BAUHAUS CEMENT"/>
    <s v="96586"/>
    <s v="CAIXA"/>
    <n v="219.8"/>
    <x v="2"/>
    <n v="6"/>
    <n v="60"/>
    <n v="120"/>
    <n v="50"/>
    <n v="4.3200000000000002E-2"/>
    <x v="41"/>
    <n v="200"/>
    <x v="89"/>
    <n v="30"/>
    <n v="6.666666666666667"/>
    <n v="200"/>
    <n v="206.66666666666666"/>
    <e v="#REF!"/>
    <e v="#REF!"/>
    <s v="B"/>
  </r>
  <r>
    <x v="0"/>
    <s v="ACESSÓRIOS PARA BANHEIRO"/>
    <s v="PRATELEIRA GRIJIO"/>
    <s v="21326"/>
    <s v="CAIXA "/>
    <n v="30.9"/>
    <x v="18"/>
    <n v="14.5"/>
    <n v="24.5"/>
    <n v="9"/>
    <n v="10"/>
    <n v="3.19725E-3"/>
    <x v="42"/>
    <n v="1407.4595355383533"/>
    <x v="90"/>
    <n v="10"/>
    <n v="140.74595355383534"/>
    <n v="469.15317851278445"/>
    <n v="609.89913206661981"/>
    <e v="#REF!"/>
    <e v="#REF!"/>
    <s v="C"/>
  </r>
  <r>
    <x v="0"/>
    <s v="PISOS"/>
    <s v="PISO VINÍLICO SCANDIAN MONTANA CARVALHO"/>
    <s v="REF: GMP9930"/>
    <s v="CAIXA"/>
    <n v="56.3"/>
    <x v="31"/>
    <n v="0.3"/>
    <n v="94"/>
    <n v="18.399999999999999"/>
    <n v="518.88"/>
    <n v="5.1887999999999999E-4"/>
    <x v="43"/>
    <n v="760"/>
    <x v="91"/>
    <n v="20"/>
    <n v="38"/>
    <n v="506.66666666666663"/>
    <n v="544.66666666666663"/>
    <e v="#REF!"/>
    <e v="#REF!"/>
    <s v="C"/>
  </r>
  <r>
    <x v="0"/>
    <s v="CERÂMICAS"/>
    <s v="PULPIS BEIGE"/>
    <s v="81386"/>
    <s v="CAIXA"/>
    <n v="614.4"/>
    <x v="7"/>
    <n v="22"/>
    <n v="60"/>
    <n v="60"/>
    <n v="20.350000000000001"/>
    <n v="7.9200000000000007E-2"/>
    <x v="44"/>
    <n v="65"/>
    <x v="92"/>
    <n v="30"/>
    <n v="2.1666666666666665"/>
    <n v="65"/>
    <n v="67.166666666666671"/>
    <e v="#REF!"/>
    <e v="#REF!"/>
    <s v="C"/>
  </r>
  <r>
    <x v="0"/>
    <s v="LOUÇAS SANITÁRIAS"/>
    <s v="CONJUNTO MÓVEL PARA BANHEIRO"/>
    <s v="CMPB005"/>
    <s v="UNIDADE"/>
    <n v="877.95500000000004"/>
    <x v="24"/>
    <n v="50"/>
    <n v="150"/>
    <n v="150"/>
    <n v="23"/>
    <n v="1.125"/>
    <x v="31"/>
    <n v="45"/>
    <x v="93"/>
    <n v="40"/>
    <n v="1.125"/>
    <n v="60"/>
    <n v="61.125"/>
    <e v="#REF!"/>
    <e v="#REF!"/>
    <s v="C"/>
  </r>
  <r>
    <x v="0"/>
    <s v="CERÂMICAS"/>
    <s v=" CIMENTO COM TOZETO HD 50060"/>
    <s v="88391"/>
    <s v="CAIXA"/>
    <n v="338"/>
    <x v="14"/>
    <n v="22"/>
    <n v="50"/>
    <n v="50"/>
    <n v="20.350000000000001"/>
    <n v="5.5E-2"/>
    <x v="45"/>
    <n v="110"/>
    <x v="94"/>
    <n v="30"/>
    <n v="3.6666666666666665"/>
    <n v="110"/>
    <n v="113.66666666666667"/>
    <e v="#REF!"/>
    <e v="#REF!"/>
    <s v="C"/>
  </r>
  <r>
    <x v="0"/>
    <s v="ACESSÓRIOS PARA BANHEIRO"/>
    <s v="PRATELEIRA BRANCA"/>
    <s v="23599"/>
    <s v="CAIXA "/>
    <n v="33.9"/>
    <x v="18"/>
    <n v="40"/>
    <n v="15.4"/>
    <n v="9"/>
    <n v="10"/>
    <n v="5.5440000000000003E-3"/>
    <x v="46"/>
    <n v="1082.2510822510822"/>
    <x v="95"/>
    <n v="10"/>
    <n v="108.22510822510822"/>
    <n v="360.75036075036076"/>
    <n v="468.97546897546897"/>
    <e v="#REF!"/>
    <e v="#REF!"/>
    <s v="C"/>
  </r>
  <r>
    <x v="0"/>
    <s v="TINTAS"/>
    <s v="SELADOR"/>
    <s v="SELADOR ACRÍLICO CORAL DULUX BRANCA 18L"/>
    <s v="LATA"/>
    <n v="29.9"/>
    <x v="1"/>
    <n v="34"/>
    <n v="24"/>
    <n v="24"/>
    <n v="31.1"/>
    <n v="1.9584000000000001E-2"/>
    <x v="7"/>
    <n v="1200"/>
    <x v="96"/>
    <n v="10"/>
    <n v="120"/>
    <n v="400"/>
    <n v="520"/>
    <e v="#REF!"/>
    <e v="#REF!"/>
    <s v="C"/>
  </r>
  <r>
    <x v="0"/>
    <s v="CERÂMICAS"/>
    <s v="4338 PEI IV "/>
    <s v="63757"/>
    <s v="CAIXA"/>
    <n v="198"/>
    <x v="19"/>
    <n v="22"/>
    <n v="43"/>
    <n v="43"/>
    <n v="20.350000000000001"/>
    <n v="4.0677999999999999E-2"/>
    <x v="37"/>
    <n v="180"/>
    <x v="97"/>
    <n v="30"/>
    <n v="6"/>
    <n v="180"/>
    <n v="186"/>
    <e v="#REF!"/>
    <e v="#REF!"/>
    <s v="C"/>
  </r>
  <r>
    <x v="0"/>
    <s v="PISOS"/>
    <s v="PISO PVC"/>
    <s v="REF: 86704555"/>
    <s v="CAIXA"/>
    <n v="44.9"/>
    <x v="32"/>
    <n v="2"/>
    <n v="30"/>
    <n v="30"/>
    <n v="18"/>
    <n v="1.8E-3"/>
    <x v="47"/>
    <n v="760"/>
    <x v="98"/>
    <n v="20"/>
    <n v="38"/>
    <n v="506.66666666666663"/>
    <n v="544.66666666666663"/>
    <e v="#REF!"/>
    <e v="#REF!"/>
    <s v="C"/>
  </r>
  <r>
    <x v="0"/>
    <s v="CERÂMICAS"/>
    <s v="PLANETA PEI IV"/>
    <s v="23964"/>
    <s v="CAIXA"/>
    <n v="298.8"/>
    <x v="33"/>
    <n v="22"/>
    <n v="45"/>
    <n v="45"/>
    <n v="20.350000000000001"/>
    <n v="4.4549999999999999E-2"/>
    <x v="48"/>
    <n v="110"/>
    <x v="99"/>
    <n v="30"/>
    <n v="3.6666666666666665"/>
    <n v="110"/>
    <n v="113.66666666666667"/>
    <e v="#REF!"/>
    <e v="#REF!"/>
    <s v="C"/>
  </r>
  <r>
    <x v="0"/>
    <s v="LOUÇAS SANITÁRIAS"/>
    <s v="CONJUNTO MÓVEL PARA BANHEIRO"/>
    <s v="CMPB001"/>
    <s v="UNIDADE"/>
    <n v="1302.665"/>
    <x v="24"/>
    <n v="50"/>
    <n v="150"/>
    <n v="150"/>
    <n v="41"/>
    <n v="1.125"/>
    <x v="49"/>
    <n v="25"/>
    <x v="100"/>
    <n v="40"/>
    <n v="0.625"/>
    <n v="33.333333333333336"/>
    <n v="33.958333333333336"/>
    <e v="#REF!"/>
    <e v="#REF!"/>
    <s v="C"/>
  </r>
  <r>
    <x v="0"/>
    <s v="CERÂMICAS"/>
    <s v="NÓRDICO SNOW PURO GRÊS FIT"/>
    <s v="84760"/>
    <s v="CAIXA"/>
    <n v="499.2"/>
    <x v="28"/>
    <n v="22"/>
    <n v="44.5"/>
    <n v="44.5"/>
    <n v="20.350000000000001"/>
    <n v="4.35655E-2"/>
    <x v="50"/>
    <n v="65"/>
    <x v="101"/>
    <n v="30"/>
    <n v="2.1666666666666665"/>
    <n v="65"/>
    <n v="67.166666666666671"/>
    <e v="#REF!"/>
    <e v="#REF!"/>
    <s v="C"/>
  </r>
  <r>
    <x v="0"/>
    <s v="ACESSÓRIOS PARA BANHEIRO"/>
    <s v="LIXEIRA INOX COM PEDAL"/>
    <s v="39445"/>
    <s v="CAIXA "/>
    <n v="120.8"/>
    <x v="11"/>
    <n v="40"/>
    <n v="27"/>
    <n v="27"/>
    <n v="1.3"/>
    <n v="2.9159999999999998E-2"/>
    <x v="25"/>
    <n v="257.20164609053501"/>
    <x v="102"/>
    <n v="10"/>
    <n v="25.720164609053501"/>
    <n v="85.733882030178336"/>
    <n v="111.45404663923183"/>
    <e v="#REF!"/>
    <e v="#REF!"/>
    <s v="C"/>
  </r>
  <r>
    <x v="0"/>
    <s v="CERÂMICAS"/>
    <s v=" 43131 PEI V"/>
    <s v=" 80318"/>
    <s v="CAIXA"/>
    <n v="281.39999999999998"/>
    <x v="19"/>
    <n v="22"/>
    <n v="43"/>
    <n v="43"/>
    <n v="20.350000000000001"/>
    <n v="4.0677999999999999E-2"/>
    <x v="51"/>
    <n v="110"/>
    <x v="103"/>
    <n v="30"/>
    <n v="3.6666666666666665"/>
    <n v="110"/>
    <n v="113.66666666666667"/>
    <e v="#REF!"/>
    <e v="#REF!"/>
    <s v="C"/>
  </r>
  <r>
    <x v="0"/>
    <s v="CERÂMICAS"/>
    <s v=" IBIZA"/>
    <s v="59643"/>
    <s v="CAIXA"/>
    <n v="279.39999999999998"/>
    <x v="33"/>
    <n v="22"/>
    <n v="45"/>
    <n v="45"/>
    <n v="20.350000000000001"/>
    <n v="4.4549999999999999E-2"/>
    <x v="48"/>
    <n v="110"/>
    <x v="104"/>
    <n v="30"/>
    <n v="3.6666666666666665"/>
    <n v="110"/>
    <n v="113.66666666666667"/>
    <e v="#REF!"/>
    <e v="#REF!"/>
    <s v="C"/>
  </r>
  <r>
    <x v="0"/>
    <s v="CERÂMICAS"/>
    <s v="4719 PEI IV"/>
    <s v="71705"/>
    <s v="CAIXA"/>
    <n v="279.39999999999998"/>
    <x v="19"/>
    <n v="22"/>
    <n v="47"/>
    <n v="47"/>
    <n v="20.350000000000001"/>
    <n v="4.8598000000000002E-2"/>
    <x v="52"/>
    <n v="110"/>
    <x v="104"/>
    <n v="30"/>
    <n v="3.6666666666666665"/>
    <n v="110"/>
    <n v="113.66666666666667"/>
    <e v="#REF!"/>
    <e v="#REF!"/>
    <s v="C"/>
  </r>
  <r>
    <x v="0"/>
    <s v="CERÂMICAS"/>
    <s v="MADEIRA MARRON HD 50100"/>
    <s v="88388"/>
    <s v="CAIXA"/>
    <n v="466"/>
    <x v="14"/>
    <n v="22"/>
    <n v="50"/>
    <n v="50"/>
    <n v="20.350000000000001"/>
    <n v="5.5E-2"/>
    <x v="53"/>
    <n v="65"/>
    <x v="105"/>
    <n v="30"/>
    <n v="2.1666666666666665"/>
    <n v="65"/>
    <n v="67.166666666666671"/>
    <e v="#REF!"/>
    <e v="#REF!"/>
    <s v="C"/>
  </r>
  <r>
    <x v="0"/>
    <s v="LOUÇAS SANITÁRIAS"/>
    <s v="CONJUNTO MÓVEL PARA BANHEIRO"/>
    <s v="CMPB003"/>
    <s v="UNIDADE"/>
    <n v="1180.2049999999999"/>
    <x v="24"/>
    <n v="50"/>
    <n v="150"/>
    <n v="150"/>
    <n v="36"/>
    <n v="1.125"/>
    <x v="49"/>
    <n v="25"/>
    <x v="106"/>
    <n v="40"/>
    <n v="0.625"/>
    <n v="33.333333333333336"/>
    <n v="33.958333333333336"/>
    <e v="#REF!"/>
    <e v="#REF!"/>
    <s v="C"/>
  </r>
  <r>
    <x v="0"/>
    <s v="LOUÇAS SANITÁRIAS"/>
    <s v="CONJUNTO MÓVEL PARA BANHEIRO"/>
    <s v="CMPB004"/>
    <s v="UNIDADE"/>
    <n v="1153.2950000000001"/>
    <x v="24"/>
    <n v="50"/>
    <n v="150"/>
    <n v="150"/>
    <n v="36"/>
    <n v="1.125"/>
    <x v="49"/>
    <n v="25"/>
    <x v="107"/>
    <n v="40"/>
    <n v="0.625"/>
    <n v="33.333333333333336"/>
    <n v="33.958333333333336"/>
    <e v="#REF!"/>
    <e v="#REF!"/>
    <s v="C"/>
  </r>
  <r>
    <x v="0"/>
    <s v="ACESSÓRIOS PARA BANHEIRO"/>
    <s v="LIXEIRA OVAL BRANCA"/>
    <s v="21515"/>
    <s v="CAIXA "/>
    <n v="47.9"/>
    <x v="11"/>
    <n v="40"/>
    <n v="25"/>
    <n v="25"/>
    <n v="1.1000000000000001"/>
    <n v="2.5000000000000001E-2"/>
    <x v="54"/>
    <n v="580"/>
    <x v="108"/>
    <n v="10"/>
    <n v="58"/>
    <n v="193.33333333333331"/>
    <n v="251.33333333333331"/>
    <e v="#REF!"/>
    <e v="#REF!"/>
    <s v="C"/>
  </r>
  <r>
    <x v="0"/>
    <s v="PISOS"/>
    <s v="JUNTA DE DILATAÇÃO "/>
    <s v="REF: 106974"/>
    <s v="CAIXA"/>
    <n v="34"/>
    <x v="34"/>
    <n v="2"/>
    <n v="180"/>
    <n v="4"/>
    <n v="16"/>
    <n v="1.4400000000000001E-3"/>
    <x v="55"/>
    <n v="760"/>
    <x v="109"/>
    <n v="20"/>
    <n v="38"/>
    <n v="506.66666666666663"/>
    <n v="544.66666666666663"/>
    <e v="#REF!"/>
    <e v="#REF!"/>
    <s v="C"/>
  </r>
  <r>
    <x v="0"/>
    <s v="LOUÇAS SANITÁRIAS"/>
    <s v="VASO SANITÁRIO HAPPENING BRANCO"/>
    <s v="VS HB019"/>
    <s v="UNIDADE"/>
    <n v="519.93499999999995"/>
    <x v="35"/>
    <n v="60"/>
    <n v="60"/>
    <n v="60"/>
    <n v="29.7"/>
    <n v="0.216"/>
    <x v="56"/>
    <n v="45"/>
    <x v="110"/>
    <n v="40"/>
    <n v="1.125"/>
    <n v="60"/>
    <n v="61.125"/>
    <e v="#REF!"/>
    <e v="#REF!"/>
    <s v="C"/>
  </r>
  <r>
    <x v="0"/>
    <s v="PISOS"/>
    <s v="PISO VINÍLICO PAVIFLEX NATURAL INTENSITY "/>
    <s v="REF: 000000000009211901"/>
    <s v="CAIXA"/>
    <n v="30.6"/>
    <x v="36"/>
    <n v="0.2"/>
    <n v="30"/>
    <n v="30"/>
    <n v="180"/>
    <n v="1.8000000000000001E-4"/>
    <x v="57"/>
    <n v="760"/>
    <x v="111"/>
    <n v="20"/>
    <n v="38"/>
    <n v="506.66666666666663"/>
    <n v="544.66666666666663"/>
    <e v="#REF!"/>
    <e v="#REF!"/>
    <s v="C"/>
  </r>
  <r>
    <x v="0"/>
    <s v="LOUÇAS SANITÁRIAS"/>
    <s v="CONJUNTO MÓVEL PARA BANHEIRO"/>
    <s v="CMPB006"/>
    <s v="UNIDADE"/>
    <n v="877.30499999999995"/>
    <x v="37"/>
    <n v="40"/>
    <n v="140"/>
    <n v="140"/>
    <n v="39.4"/>
    <n v="0.78400000000000003"/>
    <x v="58"/>
    <n v="25"/>
    <x v="112"/>
    <n v="40"/>
    <n v="0.625"/>
    <n v="33.333333333333336"/>
    <n v="33.958333333333336"/>
    <e v="#REF!"/>
    <e v="#REF!"/>
    <s v="C"/>
  </r>
  <r>
    <x v="0"/>
    <s v="LOUÇAS SANITÁRIAS"/>
    <s v="CONJUNTO MÓVEL PARA BANHEIRO"/>
    <s v="CMPB008"/>
    <s v="UNIDADE"/>
    <n v="877.17499999999995"/>
    <x v="37"/>
    <n v="40"/>
    <n v="140"/>
    <n v="140"/>
    <n v="37"/>
    <n v="0.78400000000000003"/>
    <x v="58"/>
    <n v="25"/>
    <x v="113"/>
    <n v="40"/>
    <n v="0.625"/>
    <n v="33.333333333333336"/>
    <n v="33.958333333333336"/>
    <e v="#REF!"/>
    <e v="#REF!"/>
    <s v="C"/>
  </r>
  <r>
    <x v="0"/>
    <s v="LOUÇAS SANITÁRIAS"/>
    <s v="CONJUNTO MÓVEL PARA BANHEIRO"/>
    <s v="CMPB007"/>
    <s v="UNIDADE"/>
    <n v="876.91499999999996"/>
    <x v="37"/>
    <n v="40"/>
    <n v="140"/>
    <n v="140"/>
    <n v="39.9"/>
    <n v="0.78400000000000003"/>
    <x v="58"/>
    <n v="25"/>
    <x v="114"/>
    <n v="40"/>
    <n v="0.625"/>
    <n v="33.333333333333336"/>
    <n v="33.958333333333336"/>
    <e v="#REF!"/>
    <e v="#REF!"/>
    <s v="C"/>
  </r>
  <r>
    <x v="0"/>
    <s v="LOUÇAS SANITÁRIAS"/>
    <s v="CONJUNTO MÓVEL PARA BANHEIRO"/>
    <s v="CMPB009"/>
    <s v="UNIDADE"/>
    <n v="871.45500000000004"/>
    <x v="37"/>
    <n v="40"/>
    <n v="140"/>
    <n v="140"/>
    <n v="38.5"/>
    <n v="0.78400000000000003"/>
    <x v="58"/>
    <n v="25"/>
    <x v="115"/>
    <n v="40"/>
    <n v="0.625"/>
    <n v="33.333333333333336"/>
    <n v="33.958333333333336"/>
    <e v="#REF!"/>
    <e v="#REF!"/>
    <s v="C"/>
  </r>
  <r>
    <x v="0"/>
    <s v="PISOS"/>
    <s v="TERMINAL PARA RODAPÉ"/>
    <s v="REF: 110503"/>
    <s v="CAIXA"/>
    <n v="28.6"/>
    <x v="38"/>
    <n v="1"/>
    <n v="180"/>
    <n v="3.5"/>
    <n v="6.3"/>
    <n v="6.3000000000000003E-4"/>
    <x v="59"/>
    <n v="760"/>
    <x v="116"/>
    <n v="20"/>
    <n v="38"/>
    <n v="506.66666666666663"/>
    <n v="544.66666666666663"/>
    <e v="#REF!"/>
    <e v="#REF!"/>
    <s v="C"/>
  </r>
  <r>
    <x v="0"/>
    <s v="CERÂMICAS"/>
    <s v="PORCELANATO BRILHANTE BORDA RETA WHITE"/>
    <s v="56789"/>
    <s v="CAIXA"/>
    <n v="107.8"/>
    <x v="30"/>
    <n v="6"/>
    <n v="60"/>
    <n v="60"/>
    <n v="28.38"/>
    <n v="2.1600000000000001E-2"/>
    <x v="60"/>
    <n v="200"/>
    <x v="117"/>
    <n v="30"/>
    <n v="6.666666666666667"/>
    <n v="200"/>
    <n v="206.66666666666666"/>
    <e v="#REF!"/>
    <e v="#REF!"/>
    <s v="C"/>
  </r>
  <r>
    <x v="0"/>
    <s v="CERÂMICAS"/>
    <s v="BALI PEI IV"/>
    <s v=" 81356"/>
    <s v="CAIXA"/>
    <n v="352.4"/>
    <x v="16"/>
    <n v="22"/>
    <n v="53"/>
    <n v="53"/>
    <n v="20.350000000000001"/>
    <n v="6.1797999999999999E-2"/>
    <x v="61"/>
    <n v="60"/>
    <x v="118"/>
    <n v="30"/>
    <n v="2"/>
    <n v="60"/>
    <n v="62"/>
    <e v="#REF!"/>
    <e v="#REF!"/>
    <s v="C"/>
  </r>
  <r>
    <x v="0"/>
    <s v="PISOS"/>
    <s v="PERFIL PISO PAREDE MARFIM"/>
    <s v="REF: 106957"/>
    <s v="PEÇA"/>
    <n v="26.9"/>
    <x v="27"/>
    <n v="1"/>
    <n v="70"/>
    <n v="3.5"/>
    <n v="5.95"/>
    <n v="2.4499999999999999E-4"/>
    <x v="62"/>
    <n v="760"/>
    <x v="119"/>
    <n v="20"/>
    <n v="38"/>
    <n v="506.66666666666663"/>
    <n v="544.66666666666663"/>
    <e v="#REF!"/>
    <e v="#REF!"/>
    <s v="C"/>
  </r>
  <r>
    <x v="0"/>
    <s v="PISOS"/>
    <s v="PERFIL PISO PAREDE "/>
    <s v="REF: 106958"/>
    <s v="PEÇA"/>
    <n v="26.8"/>
    <x v="39"/>
    <n v="1"/>
    <n v="180"/>
    <n v="3.5"/>
    <n v="6.3"/>
    <n v="6.3000000000000003E-4"/>
    <x v="59"/>
    <n v="760"/>
    <x v="120"/>
    <n v="20"/>
    <n v="38"/>
    <n v="506.66666666666663"/>
    <n v="544.66666666666663"/>
    <e v="#REF!"/>
    <e v="#REF!"/>
    <s v="C"/>
  </r>
  <r>
    <x v="0"/>
    <s v="CERÂMICAS"/>
    <s v="TRAÇOS 22013"/>
    <s v="61317"/>
    <s v="CAIXA"/>
    <n v="339.4"/>
    <x v="23"/>
    <n v="22"/>
    <n v="45"/>
    <n v="45"/>
    <n v="20.350000000000001"/>
    <n v="4.4549999999999999E-2"/>
    <x v="63"/>
    <n v="60"/>
    <x v="121"/>
    <n v="30"/>
    <n v="2"/>
    <n v="60"/>
    <n v="62"/>
    <e v="#REF!"/>
    <e v="#REF!"/>
    <s v="C"/>
  </r>
  <r>
    <x v="0"/>
    <s v="CERÂMICAS"/>
    <s v="4726 FIX PEI IV"/>
    <s v="71702"/>
    <s v="CAIXA"/>
    <n v="319.39999999999998"/>
    <x v="19"/>
    <n v="22"/>
    <n v="47"/>
    <n v="47"/>
    <n v="20.350000000000001"/>
    <n v="4.8598000000000002E-2"/>
    <x v="64"/>
    <n v="60"/>
    <x v="122"/>
    <n v="30"/>
    <n v="2"/>
    <n v="60"/>
    <n v="62"/>
    <e v="#REF!"/>
    <e v="#REF!"/>
    <s v="C"/>
  </r>
  <r>
    <x v="0"/>
    <s v="PISOS"/>
    <s v="ASSOALHO E PAREDE DE EUCALIPTO"/>
    <s v="REF: 150927"/>
    <s v="CAIXA"/>
    <n v="25"/>
    <x v="40"/>
    <n v="6"/>
    <n v="10"/>
    <n v="8"/>
    <n v="480"/>
    <n v="4.8000000000000001E-4"/>
    <x v="65"/>
    <n v="760"/>
    <x v="123"/>
    <n v="20"/>
    <n v="38"/>
    <n v="506.66666666666663"/>
    <n v="544.66666666666663"/>
    <e v="#REF!"/>
    <e v="#REF!"/>
    <s v="C"/>
  </r>
  <r>
    <x v="0"/>
    <s v="CERÂMICAS"/>
    <s v="BARCELONA"/>
    <s v="90259"/>
    <s v="CAIXA"/>
    <n v="276"/>
    <x v="20"/>
    <n v="22"/>
    <n v="45"/>
    <n v="45"/>
    <n v="20.350000000000001"/>
    <n v="4.4549999999999999E-2"/>
    <x v="66"/>
    <n v="65"/>
    <x v="124"/>
    <n v="30"/>
    <n v="2.1666666666666665"/>
    <n v="65"/>
    <n v="67.166666666666671"/>
    <e v="#REF!"/>
    <e v="#REF!"/>
    <s v="C"/>
  </r>
  <r>
    <x v="0"/>
    <s v="LOUÇAS SANITÁRIAS"/>
    <s v="VASO SANITÁRIO DAMA SENSO"/>
    <s v="VS DS014"/>
    <s v="UNIDADE"/>
    <n v="389.935"/>
    <x v="35"/>
    <n v="60"/>
    <n v="60"/>
    <n v="60"/>
    <n v="28.7"/>
    <n v="0.216"/>
    <x v="56"/>
    <n v="45"/>
    <x v="125"/>
    <n v="40"/>
    <n v="1.125"/>
    <n v="60"/>
    <n v="61.125"/>
    <e v="#REF!"/>
    <e v="#REF!"/>
    <s v="C"/>
  </r>
  <r>
    <x v="0"/>
    <s v="CERÂMICAS"/>
    <s v="PORCELANATO ACETINADO BORDA ARREDONDADA NEW YORK CEMENT"/>
    <s v="24213"/>
    <s v="CAIXA"/>
    <n v="83.8"/>
    <x v="2"/>
    <n v="6"/>
    <n v="45"/>
    <n v="45"/>
    <n v="30"/>
    <n v="1.2149999999999999E-2"/>
    <x v="67"/>
    <n v="200"/>
    <x v="126"/>
    <n v="30"/>
    <n v="6.666666666666667"/>
    <n v="200"/>
    <n v="206.66666666666666"/>
    <e v="#REF!"/>
    <e v="#REF!"/>
    <s v="C"/>
  </r>
  <r>
    <x v="0"/>
    <s v="LOUÇAS SANITÁRIAS"/>
    <s v="MICTÓRIO COM SIFÃO INTEGRADO BRANCO GELO"/>
    <s v="MSI BG013"/>
    <s v="UNIDADE"/>
    <n v="362.63499999999999"/>
    <x v="41"/>
    <n v="50"/>
    <n v="45"/>
    <n v="50"/>
    <n v="13.9"/>
    <n v="0.1125"/>
    <x v="68"/>
    <n v="45"/>
    <x v="127"/>
    <n v="40"/>
    <n v="1.125"/>
    <n v="60"/>
    <n v="61.125"/>
    <e v="#REF!"/>
    <e v="#REF!"/>
    <s v="C"/>
  </r>
  <r>
    <x v="0"/>
    <s v="CERÂMICAS"/>
    <s v=" BARILOCHE PEI IV"/>
    <s v="33238"/>
    <s v="CAIXA"/>
    <n v="267.39999999999998"/>
    <x v="20"/>
    <n v="22"/>
    <n v="45"/>
    <n v="45"/>
    <n v="20.350000000000001"/>
    <n v="4.4549999999999999E-2"/>
    <x v="63"/>
    <n v="60"/>
    <x v="128"/>
    <n v="30"/>
    <n v="2"/>
    <n v="60"/>
    <n v="62"/>
    <e v="#REF!"/>
    <e v="#REF!"/>
    <s v="C"/>
  </r>
  <r>
    <x v="0"/>
    <s v="LOUÇAS SANITÁRIAS"/>
    <s v="MICTÓRIO COM SIFÃO INTEGRADO BRANCO GELO"/>
    <s v="MSMB 047"/>
    <s v="UNIDADE"/>
    <n v="334.685"/>
    <x v="41"/>
    <n v="50"/>
    <n v="45"/>
    <n v="50"/>
    <n v="14.4"/>
    <n v="0.1125"/>
    <x v="68"/>
    <n v="45"/>
    <x v="129"/>
    <n v="40"/>
    <n v="1.125"/>
    <n v="60"/>
    <n v="61.125"/>
    <e v="#REF!"/>
    <e v="#REF!"/>
    <s v="C"/>
  </r>
  <r>
    <x v="0"/>
    <s v="LOUÇAS SANITÁRIAS"/>
    <s v="VASO SANITÁRIO MERIDIAN BRANCO"/>
    <s v="VS MB014"/>
    <s v="UNIDADE"/>
    <n v="328.83499999999998"/>
    <x v="35"/>
    <n v="60"/>
    <n v="60"/>
    <n v="60"/>
    <n v="26.7"/>
    <n v="0.216"/>
    <x v="56"/>
    <n v="45"/>
    <x v="130"/>
    <n v="40"/>
    <n v="1.125"/>
    <n v="60"/>
    <n v="61.125"/>
    <e v="#REF!"/>
    <e v="#REF!"/>
    <s v="C"/>
  </r>
  <r>
    <x v="0"/>
    <s v="LOUÇAS SANITÁRIAS"/>
    <s v="MICTÓRIO COM SIFÃO INTEGRADO BRANCO GELO"/>
    <s v="MSMB 046"/>
    <s v="UNIDADE"/>
    <n v="317.78500000000003"/>
    <x v="41"/>
    <n v="50"/>
    <n v="45"/>
    <n v="50"/>
    <n v="13.4"/>
    <n v="0.1125"/>
    <x v="68"/>
    <n v="45"/>
    <x v="131"/>
    <n v="40"/>
    <n v="1.125"/>
    <n v="60"/>
    <n v="61.125"/>
    <e v="#REF!"/>
    <e v="#REF!"/>
    <s v="C"/>
  </r>
  <r>
    <x v="0"/>
    <s v="LOUÇAS SANITÁRIAS"/>
    <s v="MICTÓRIO COM SIFÃO INTEGRADO BRANCO GELO"/>
    <s v="MSMB 048"/>
    <s v="UNIDADE"/>
    <n v="289.83499999999998"/>
    <x v="41"/>
    <n v="50"/>
    <n v="45"/>
    <n v="50"/>
    <n v="12.4"/>
    <n v="0.1125"/>
    <x v="68"/>
    <n v="45"/>
    <x v="132"/>
    <n v="40"/>
    <n v="1.125"/>
    <n v="60"/>
    <n v="61.125"/>
    <e v="#REF!"/>
    <e v="#REF!"/>
    <s v="C"/>
  </r>
  <r>
    <x v="0"/>
    <s v="LOUÇAS SANITÁRIAS"/>
    <s v="MICTÓRIO COM SIFRÃO INTEGRADO CREME "/>
    <s v="MSI C045"/>
    <s v="UNIDADE"/>
    <n v="278.78500000000003"/>
    <x v="41"/>
    <n v="50"/>
    <n v="45"/>
    <n v="50"/>
    <n v="12.8"/>
    <n v="0.1125"/>
    <x v="68"/>
    <n v="45"/>
    <x v="133"/>
    <n v="40"/>
    <n v="1.125"/>
    <n v="60"/>
    <n v="61.125"/>
    <e v="#REF!"/>
    <e v="#REF!"/>
    <s v="C"/>
  </r>
  <r>
    <x v="0"/>
    <s v="ACESSÓRIOS PARA BANHEIRO"/>
    <s v="ARMÁRIO RIVIERA"/>
    <s v="12548"/>
    <s v="CAIXA "/>
    <n v="559"/>
    <x v="42"/>
    <n v="90"/>
    <n v="60"/>
    <n v="60"/>
    <n v="10"/>
    <n v="0.32400000000000001"/>
    <x v="69"/>
    <n v="21.604938271604937"/>
    <x v="134"/>
    <n v="10"/>
    <n v="2.1604938271604937"/>
    <n v="7.2016460905349788"/>
    <n v="9.3621399176954725"/>
    <e v="#REF!"/>
    <e v="#REF!"/>
    <s v="C"/>
  </r>
  <r>
    <x v="0"/>
    <s v="PISOS"/>
    <s v="RODAPÉ FIBRAPISO ESTILO CARVALHO NATURAL"/>
    <s v="REF: 109278"/>
    <s v="CAIXA"/>
    <n v="14.5"/>
    <x v="43"/>
    <n v="1.8"/>
    <n v="180"/>
    <n v="8"/>
    <n v="25"/>
    <n v="2.5920000000000001E-3"/>
    <x v="70"/>
    <n v="760"/>
    <x v="135"/>
    <n v="20"/>
    <n v="38"/>
    <n v="506.66666666666663"/>
    <n v="544.66666666666663"/>
    <e v="#REF!"/>
    <e v="#REF!"/>
    <s v="C"/>
  </r>
  <r>
    <x v="0"/>
    <s v="ACESSÓRIOS PARA BANHEIRO"/>
    <s v="BOX DE CORRER ELEGANCE"/>
    <s v="786459"/>
    <s v="CAIXA "/>
    <n v="1039"/>
    <x v="18"/>
    <n v="145"/>
    <n v="60"/>
    <n v="60"/>
    <n v="5"/>
    <n v="0.52200000000000002"/>
    <x v="71"/>
    <n v="10.536398467432949"/>
    <x v="136"/>
    <n v="10"/>
    <n v="1.053639846743295"/>
    <n v="3.5121328224776498"/>
    <n v="4.5657726692209444"/>
    <e v="#REF!"/>
    <e v="#REF!"/>
    <s v="C"/>
  </r>
  <r>
    <x v="0"/>
    <s v="LOUÇAS SANITÁRIAS"/>
    <s v="MICTÓRIO INOX"/>
    <s v="MI001"/>
    <s v="UNIDADE"/>
    <n v="357.17500000000001"/>
    <x v="44"/>
    <n v="48"/>
    <n v="100"/>
    <n v="30"/>
    <n v="7.15"/>
    <n v="0.14399999999999999"/>
    <x v="72"/>
    <n v="30"/>
    <x v="137"/>
    <n v="40"/>
    <n v="0.75"/>
    <n v="40"/>
    <n v="40.75"/>
    <e v="#REF!"/>
    <e v="#REF!"/>
    <s v="C"/>
  </r>
  <r>
    <x v="0"/>
    <s v="ACESSÓRIOS PARA BANHEIRO"/>
    <s v="BOX DE CORRER VERSATIK"/>
    <s v="636459"/>
    <s v="CAIXA "/>
    <n v="838"/>
    <x v="18"/>
    <n v="145"/>
    <n v="60"/>
    <n v="60"/>
    <n v="5"/>
    <n v="0.52200000000000002"/>
    <x v="38"/>
    <n v="12.452107279693486"/>
    <x v="138"/>
    <n v="10"/>
    <n v="1.2452107279693485"/>
    <n v="4.1507024265644956"/>
    <n v="5.3959131545338437"/>
    <e v="#REF!"/>
    <e v="#REF!"/>
    <s v="C"/>
  </r>
  <r>
    <x v="0"/>
    <s v="PISOS"/>
    <s v="MANTA PARA PISO LAMINADO"/>
    <s v="REF: 109253"/>
    <s v="CAIXA"/>
    <n v="13.2"/>
    <x v="45"/>
    <n v="5"/>
    <n v="200"/>
    <n v="0.7"/>
    <n v="7"/>
    <n v="6.9999999999999999E-4"/>
    <x v="73"/>
    <n v="760"/>
    <x v="139"/>
    <n v="20"/>
    <n v="38"/>
    <n v="506.66666666666663"/>
    <n v="544.66666666666663"/>
    <e v="#REF!"/>
    <e v="#REF!"/>
    <s v="C"/>
  </r>
  <r>
    <x v="0"/>
    <s v="ACESSÓRIOS PARA BANHEIRO"/>
    <s v="ESPELHO DIAL BORDA BRANCA"/>
    <s v="24612"/>
    <s v="CAIXA "/>
    <n v="745"/>
    <x v="46"/>
    <n v="140"/>
    <n v="68"/>
    <n v="68"/>
    <n v="4"/>
    <n v="0.64736000000000005"/>
    <x v="16"/>
    <n v="13.130252100840336"/>
    <x v="140"/>
    <n v="10"/>
    <n v="1.3130252100840336"/>
    <n v="4.3767507002801125"/>
    <n v="5.6897759103641459"/>
    <e v="#REF!"/>
    <e v="#REF!"/>
    <s v="C"/>
  </r>
  <r>
    <x v="0"/>
    <s v="CERÂMICAS"/>
    <s v="PORCELANATO ACETINADO BORDA ARREDONDADA OVIEDO BEIGE"/>
    <s v="78542"/>
    <s v="CAIXA"/>
    <n v="45.8"/>
    <x v="47"/>
    <n v="6"/>
    <n v="45"/>
    <n v="45"/>
    <n v="30"/>
    <n v="1.2149999999999999E-2"/>
    <x v="67"/>
    <n v="200"/>
    <x v="141"/>
    <n v="30"/>
    <n v="6.666666666666667"/>
    <n v="200"/>
    <n v="206.66666666666666"/>
    <e v="#REF!"/>
    <e v="#REF!"/>
    <s v="C"/>
  </r>
  <r>
    <x v="0"/>
    <s v="LOUÇAS SANITÁRIAS"/>
    <s v="VASO SANITÁRIO FIT PRETO"/>
    <s v="VSF PR017"/>
    <s v="UNIDADE"/>
    <n v="202.73500000000001"/>
    <x v="48"/>
    <n v="50"/>
    <n v="60"/>
    <n v="50"/>
    <n v="27.8"/>
    <n v="0.15"/>
    <x v="74"/>
    <n v="45"/>
    <x v="142"/>
    <n v="40"/>
    <n v="1.125"/>
    <n v="60"/>
    <n v="61.125"/>
    <e v="#REF!"/>
    <e v="#REF!"/>
    <s v="C"/>
  </r>
  <r>
    <x v="0"/>
    <s v="LOUÇAS SANITÁRIAS"/>
    <s v="COLUNA PARA LAVATÓRIO OXFORD BRANCO GELO"/>
    <s v="CPL OBG001"/>
    <s v="UNIDADE"/>
    <n v="181.285"/>
    <x v="41"/>
    <n v="165"/>
    <n v="30"/>
    <n v="28"/>
    <n v="12.4"/>
    <n v="0.1386"/>
    <x v="75"/>
    <n v="45"/>
    <x v="143"/>
    <n v="40"/>
    <n v="1.125"/>
    <n v="60"/>
    <n v="61.125"/>
    <e v="#REF!"/>
    <e v="#REF!"/>
    <s v="C"/>
  </r>
  <r>
    <x v="0"/>
    <s v="LOUÇAS SANITÁRIAS"/>
    <s v="VASO SANITÁRIO FIT PEGAMON"/>
    <s v="VSF P015"/>
    <s v="UNIDADE"/>
    <n v="179.33500000000001"/>
    <x v="48"/>
    <n v="50"/>
    <n v="60"/>
    <n v="50"/>
    <n v="25.7"/>
    <n v="0.15"/>
    <x v="74"/>
    <n v="45"/>
    <x v="144"/>
    <n v="40"/>
    <n v="1.125"/>
    <n v="60"/>
    <n v="61.125"/>
    <e v="#REF!"/>
    <e v="#REF!"/>
    <s v="C"/>
  </r>
  <r>
    <x v="0"/>
    <s v="ACESSÓRIOS PARA BANHEIRO"/>
    <s v="ESPELHO BISOTADO"/>
    <s v="25551"/>
    <s v="CAIXA "/>
    <n v="414"/>
    <x v="46"/>
    <n v="85"/>
    <n v="55"/>
    <n v="55"/>
    <n v="1.3"/>
    <n v="0.25712499999999999"/>
    <x v="76"/>
    <n v="19.445794846864366"/>
    <x v="145"/>
    <n v="10"/>
    <n v="1.9445794846864366"/>
    <n v="6.4819316156214555"/>
    <n v="8.4265111003078914"/>
    <e v="#REF!"/>
    <e v="#REF!"/>
    <s v="C"/>
  </r>
  <r>
    <x v="0"/>
    <s v="FAIXAS"/>
    <s v="RODAPÉ BOTTICELLI "/>
    <s v="REF: 20027 ET"/>
    <s v="CAIXA"/>
    <n v="160.25"/>
    <x v="49"/>
    <n v="5"/>
    <n v="60"/>
    <n v="10"/>
    <n v="3"/>
    <n v="3.0000000000000001E-3"/>
    <x v="77"/>
    <n v="50"/>
    <x v="146"/>
    <n v="30"/>
    <n v="1.6666666666666667"/>
    <n v="50"/>
    <n v="51.666666666666664"/>
    <e v="#REF!"/>
    <e v="#REF!"/>
    <s v="C"/>
  </r>
  <r>
    <x v="0"/>
    <s v="LOUÇAS SANITÁRIAS"/>
    <s v="CUBA PARA LAVATÓRIO NEXO BRANCA"/>
    <s v="CBL NB031"/>
    <s v="UNIDADE"/>
    <n v="262.53500000000003"/>
    <x v="35"/>
    <n v="26"/>
    <n v="45"/>
    <n v="50"/>
    <n v="7.6"/>
    <n v="5.8500000000000003E-2"/>
    <x v="78"/>
    <n v="30"/>
    <x v="147"/>
    <n v="40"/>
    <n v="0.75"/>
    <n v="40"/>
    <n v="40.75"/>
    <e v="#REF!"/>
    <e v="#REF!"/>
    <s v="C"/>
  </r>
  <r>
    <x v="0"/>
    <s v="PISOS"/>
    <s v="PISO VINÍLICO RESIDENCIAL EM MANTA SCANDIAN HOME"/>
    <s v="REF: PV0215"/>
    <s v="CAIXA"/>
    <n v="10.25"/>
    <x v="50"/>
    <n v="0.7"/>
    <n v="1250"/>
    <n v="200"/>
    <n v="17.5"/>
    <n v="0.17499999999999999"/>
    <x v="79"/>
    <n v="760"/>
    <x v="148"/>
    <n v="20"/>
    <n v="38"/>
    <n v="506.66666666666663"/>
    <n v="544.66666666666663"/>
    <e v="#REF!"/>
    <e v="#REF!"/>
    <s v="C"/>
  </r>
  <r>
    <x v="0"/>
    <s v="LOUÇAS SANITÁRIAS"/>
    <s v="VASO SANITÁRIO RIVIERA PERGAMON"/>
    <s v="VSR P001"/>
    <s v="UNIDADE"/>
    <n v="172.83500000000001"/>
    <x v="48"/>
    <n v="50"/>
    <n v="60"/>
    <n v="50"/>
    <n v="26.7"/>
    <n v="0.15"/>
    <x v="74"/>
    <n v="45"/>
    <x v="149"/>
    <n v="40"/>
    <n v="1.125"/>
    <n v="60"/>
    <n v="61.125"/>
    <e v="#REF!"/>
    <e v="#REF!"/>
    <s v="C"/>
  </r>
  <r>
    <x v="0"/>
    <s v="PISOS"/>
    <s v="RODAPÉ ART MOSAICOS CLASSIC BEGE "/>
    <s v="REF: RD 7060.01"/>
    <s v="CAIXA"/>
    <n v="10.199999999999999"/>
    <x v="51"/>
    <n v="0.8"/>
    <n v="60"/>
    <n v="7"/>
    <n v="336"/>
    <n v="3.3599999999999998E-4"/>
    <x v="80"/>
    <n v="760"/>
    <x v="150"/>
    <n v="20"/>
    <n v="38"/>
    <n v="506.66666666666663"/>
    <n v="544.66666666666663"/>
    <e v="#REF!"/>
    <e v="#REF!"/>
    <s v="C"/>
  </r>
  <r>
    <x v="0"/>
    <s v="ACESSÓRIOS PARA BANHEIRO"/>
    <s v="BOX DE CORRER VIDRO EM S SATIN"/>
    <s v="895259"/>
    <s v="CAIXA "/>
    <n v="870.9"/>
    <x v="18"/>
    <n v="145"/>
    <n v="60"/>
    <n v="60"/>
    <n v="5"/>
    <n v="0.52200000000000002"/>
    <x v="42"/>
    <n v="8.6206896551724128"/>
    <x v="151"/>
    <n v="10"/>
    <n v="0.86206896551724133"/>
    <n v="2.8735632183908044"/>
    <n v="3.735632183908046"/>
    <e v="#REF!"/>
    <e v="#REF!"/>
    <s v="C"/>
  </r>
  <r>
    <x v="0"/>
    <s v="LOUÇAS SANITÁRIAS"/>
    <s v="MICTÓRIO INOX"/>
    <s v="MI002"/>
    <s v="UNIDADE"/>
    <n v="357.82499999999999"/>
    <x v="44"/>
    <n v="48"/>
    <n v="120"/>
    <n v="30"/>
    <n v="8.6050000000000004"/>
    <n v="0.17280000000000001"/>
    <x v="81"/>
    <n v="20"/>
    <x v="152"/>
    <n v="40"/>
    <n v="0.5"/>
    <n v="26.666666666666664"/>
    <n v="27.166666666666664"/>
    <e v="#REF!"/>
    <e v="#REF!"/>
    <s v="C"/>
  </r>
  <r>
    <x v="0"/>
    <s v="ACESSÓRIOS PARA BANHEIRO"/>
    <s v="BOX DE CORRER VIDRO"/>
    <s v="895859"/>
    <s v="CAIXA "/>
    <n v="562.9"/>
    <x v="18"/>
    <n v="145"/>
    <n v="60"/>
    <n v="60"/>
    <n v="5"/>
    <n v="0.52200000000000002"/>
    <x v="38"/>
    <n v="12.452107279693486"/>
    <x v="153"/>
    <n v="10"/>
    <n v="1.2452107279693485"/>
    <n v="4.1507024265644956"/>
    <n v="5.3959131545338437"/>
    <e v="#REF!"/>
    <e v="#REF!"/>
    <s v="C"/>
  </r>
  <r>
    <x v="0"/>
    <s v="ACESSÓRIOS PARA BANHEIRO"/>
    <s v="CAIXA DE DESCARGA SEM ENGATE CINZA"/>
    <s v="25644"/>
    <s v="CAIXA "/>
    <n v="17.59"/>
    <x v="18"/>
    <n v="35"/>
    <n v="30"/>
    <n v="30"/>
    <n v="1"/>
    <n v="3.15E-2"/>
    <x v="15"/>
    <n v="396.82539682539681"/>
    <x v="154"/>
    <n v="10"/>
    <n v="39.682539682539684"/>
    <n v="132.27513227513225"/>
    <n v="171.95767195767195"/>
    <e v="#REF!"/>
    <e v="#REF!"/>
    <s v="C"/>
  </r>
  <r>
    <x v="0"/>
    <s v="FAIXAS"/>
    <s v="FAIXA GEO AZUL"/>
    <s v="REF. 32305 "/>
    <s v="CAIXA"/>
    <n v="154.9"/>
    <x v="52"/>
    <n v="2"/>
    <n v="27"/>
    <n v="6"/>
    <n v="324"/>
    <n v="3.2400000000000001E-4"/>
    <x v="82"/>
    <n v="45"/>
    <x v="155"/>
    <n v="30"/>
    <n v="1.5"/>
    <n v="45"/>
    <n v="46.5"/>
    <e v="#REF!"/>
    <e v="#REF!"/>
    <s v="C"/>
  </r>
  <r>
    <x v="0"/>
    <s v="LOUÇAS SANITÁRIAS"/>
    <s v="CUBA PARA LAVATÓRIO SEMI ENCAIXE BRANCA"/>
    <s v="CBL SEB024"/>
    <s v="UNIDADE"/>
    <n v="345.73500000000001"/>
    <x v="48"/>
    <n v="30"/>
    <n v="55"/>
    <n v="50"/>
    <n v="8.6"/>
    <n v="8.2500000000000004E-2"/>
    <x v="83"/>
    <n v="20"/>
    <x v="156"/>
    <n v="40"/>
    <n v="0.5"/>
    <n v="26.666666666666664"/>
    <n v="27.166666666666664"/>
    <e v="#REF!"/>
    <e v="#REF!"/>
    <s v="C"/>
  </r>
  <r>
    <x v="0"/>
    <s v="FAIXAS"/>
    <s v="PASTILHA JATOBÁ PRETA"/>
    <s v="REF: 104154"/>
    <s v="CAIXA"/>
    <n v="182.7"/>
    <x v="53"/>
    <n v="2"/>
    <n v="5"/>
    <n v="2"/>
    <n v="20"/>
    <n v="2.0000000000000002E-5"/>
    <x v="84"/>
    <n v="35"/>
    <x v="157"/>
    <n v="30"/>
    <n v="1.1666666666666667"/>
    <n v="35"/>
    <n v="36.166666666666664"/>
    <e v="#REF!"/>
    <e v="#REF!"/>
    <s v="C"/>
  </r>
  <r>
    <x v="0"/>
    <s v="LOUÇAS SANITÁRIAS"/>
    <s v="VASO SANITÁRIO INFANTIL BRANCO"/>
    <s v="VS IB01"/>
    <s v="UNIDADE"/>
    <n v="137.73500000000001"/>
    <x v="48"/>
    <n v="50"/>
    <n v="60"/>
    <n v="50"/>
    <n v="26"/>
    <n v="0.15"/>
    <x v="74"/>
    <n v="45"/>
    <x v="158"/>
    <n v="40"/>
    <n v="1.125"/>
    <n v="60"/>
    <n v="61.125"/>
    <e v="#REF!"/>
    <e v="#REF!"/>
    <s v="C"/>
  </r>
  <r>
    <x v="0"/>
    <s v="ACESSÓRIOS PARA BANHEIRO"/>
    <s v="ARMÁRIO BADEN"/>
    <s v="12545"/>
    <s v="CAIXA "/>
    <n v="499"/>
    <x v="42"/>
    <n v="80"/>
    <n v="60"/>
    <n v="60"/>
    <n v="8"/>
    <n v="0.28799999999999998"/>
    <x v="12"/>
    <n v="12.152777777777779"/>
    <x v="159"/>
    <n v="10"/>
    <n v="1.2152777777777779"/>
    <n v="4.0509259259259265"/>
    <n v="5.2662037037037042"/>
    <e v="#REF!"/>
    <e v="#REF!"/>
    <s v="C"/>
  </r>
  <r>
    <x v="0"/>
    <s v="FAIXAS"/>
    <s v="SOLEIRA ESPELHO DE PVC PLASBIL"/>
    <s v="REF: 109395"/>
    <s v="CAIXA"/>
    <n v="115.9"/>
    <x v="54"/>
    <n v="18"/>
    <n v="600"/>
    <n v="20"/>
    <n v="1"/>
    <n v="0.216"/>
    <x v="85"/>
    <n v="50"/>
    <x v="160"/>
    <n v="30"/>
    <n v="1.6666666666666667"/>
    <n v="50"/>
    <n v="51.666666666666664"/>
    <e v="#REF!"/>
    <e v="#REF!"/>
    <s v="C"/>
  </r>
  <r>
    <x v="0"/>
    <s v="ACESSÓRIOS PARA BANHEIRO"/>
    <s v="ESPELHO BIANCO"/>
    <s v="22121"/>
    <s v="CAIXA "/>
    <n v="340"/>
    <x v="46"/>
    <n v="163"/>
    <n v="53"/>
    <n v="53"/>
    <n v="4"/>
    <n v="0.45786700000000002"/>
    <x v="25"/>
    <n v="16.380302576949202"/>
    <x v="161"/>
    <n v="10"/>
    <n v="1.6380302576949202"/>
    <n v="5.4601008589830666"/>
    <n v="7.0981311166779868"/>
    <e v="#REF!"/>
    <e v="#REF!"/>
    <s v="C"/>
  </r>
  <r>
    <x v="0"/>
    <s v="LOUÇAS SANITÁRIAS"/>
    <s v="CUBA PARA LAVATÓRIO SENTIRE BRANCA"/>
    <s v="CBL SB001"/>
    <s v="UNIDADE"/>
    <n v="276.83499999999998"/>
    <x v="28"/>
    <n v="27"/>
    <n v="50"/>
    <n v="50"/>
    <n v="9.3000000000000007"/>
    <n v="6.7500000000000004E-2"/>
    <x v="86"/>
    <n v="20"/>
    <x v="162"/>
    <n v="40"/>
    <n v="0.5"/>
    <n v="26.666666666666664"/>
    <n v="27.166666666666664"/>
    <e v="#REF!"/>
    <e v="#REF!"/>
    <s v="C"/>
  </r>
  <r>
    <x v="0"/>
    <s v="ACESSÓRIOS PARA BANHEIRO"/>
    <s v="BOX DE CORRER VIDRO FUMÊ"/>
    <s v="525859"/>
    <s v="CAIXA "/>
    <n v="478"/>
    <x v="18"/>
    <n v="145"/>
    <n v="60"/>
    <n v="60"/>
    <n v="5"/>
    <n v="0.52200000000000002"/>
    <x v="21"/>
    <n v="10.344827586206897"/>
    <x v="163"/>
    <n v="10"/>
    <n v="1.0344827586206897"/>
    <n v="3.4482758620689657"/>
    <n v="4.4827586206896557"/>
    <e v="#REF!"/>
    <e v="#REF!"/>
    <s v="C"/>
  </r>
  <r>
    <x v="0"/>
    <s v="LOUÇAS SANITÁRIAS"/>
    <s v="VASO SANITÁRIO FLAMINGO"/>
    <s v="VSF 01"/>
    <s v="UNIDADE"/>
    <n v="100.035"/>
    <x v="28"/>
    <n v="55"/>
    <n v="60"/>
    <n v="55"/>
    <n v="24.8"/>
    <n v="0.18149999999999999"/>
    <x v="87"/>
    <n v="45"/>
    <x v="164"/>
    <n v="40"/>
    <n v="1.125"/>
    <n v="60"/>
    <n v="61.125"/>
    <e v="#REF!"/>
    <e v="#REF!"/>
    <s v="C"/>
  </r>
  <r>
    <x v="0"/>
    <s v="LOUÇAS SANITÁRIAS"/>
    <s v="CAIXA ACOPLADA LIFE ECOFLUSH "/>
    <s v="CAE LE002"/>
    <s v="UNIDADE"/>
    <n v="168.935"/>
    <x v="48"/>
    <n v="40"/>
    <n v="45"/>
    <n v="38"/>
    <n v="9.6999999999999993"/>
    <n v="6.8400000000000002E-2"/>
    <x v="88"/>
    <n v="25"/>
    <x v="165"/>
    <n v="40"/>
    <n v="0.625"/>
    <n v="33.333333333333336"/>
    <n v="33.958333333333336"/>
    <e v="#REF!"/>
    <e v="#REF!"/>
    <s v="C"/>
  </r>
  <r>
    <x v="0"/>
    <s v="ACESSÓRIOS PARA BANHEIRO"/>
    <s v="BOX  DE CORRER VIDRO VERDE"/>
    <s v="789859"/>
    <s v="CAIXA "/>
    <n v="489"/>
    <x v="18"/>
    <n v="145"/>
    <n v="60"/>
    <n v="60"/>
    <n v="5"/>
    <n v="0.52200000000000002"/>
    <x v="42"/>
    <n v="8.6206896551724128"/>
    <x v="166"/>
    <n v="10"/>
    <n v="0.86206896551724133"/>
    <n v="2.8735632183908044"/>
    <n v="3.735632183908046"/>
    <e v="#REF!"/>
    <e v="#REF!"/>
    <s v="C"/>
  </r>
  <r>
    <x v="0"/>
    <s v="ACESSÓRIOS PARA BANHEIRO"/>
    <s v="TAPETE MICROFIBRA"/>
    <s v="55655"/>
    <s v="SACO"/>
    <n v="45.9"/>
    <x v="55"/>
    <n v="50"/>
    <n v="70"/>
    <n v="50"/>
    <n v="1"/>
    <n v="0.17499999999999999"/>
    <x v="89"/>
    <n v="88.571428571428584"/>
    <x v="167"/>
    <n v="10"/>
    <n v="8.8571428571428577"/>
    <n v="29.523809523809529"/>
    <n v="38.380952380952387"/>
    <e v="#REF!"/>
    <e v="#REF!"/>
    <s v="C"/>
  </r>
  <r>
    <x v="0"/>
    <s v="LOUÇAS SANITÁRIAS"/>
    <s v="CUBA PARA LAVATÓRIO FIRENZE CREME"/>
    <s v="CBL FC001"/>
    <s v="UNIDADE"/>
    <n v="90.284999999999997"/>
    <x v="56"/>
    <n v="28"/>
    <n v="50"/>
    <n v="50"/>
    <n v="12.5"/>
    <n v="7.0000000000000007E-2"/>
    <x v="90"/>
    <n v="45"/>
    <x v="168"/>
    <n v="40"/>
    <n v="1.125"/>
    <n v="60"/>
    <n v="61.125"/>
    <e v="#REF!"/>
    <e v="#REF!"/>
    <s v="C"/>
  </r>
  <r>
    <x v="0"/>
    <s v="LOUÇAS SANITÁRIAS"/>
    <s v="CUBA PARA LAVATÓRIO INVERNO BRANCA"/>
    <s v="CBL IB001"/>
    <s v="UNIDADE"/>
    <n v="155.935"/>
    <x v="28"/>
    <n v="27"/>
    <n v="50"/>
    <n v="50"/>
    <n v="9.4"/>
    <n v="6.7500000000000004E-2"/>
    <x v="91"/>
    <n v="25"/>
    <x v="169"/>
    <n v="40"/>
    <n v="0.625"/>
    <n v="33.333333333333336"/>
    <n v="33.958333333333336"/>
    <e v="#REF!"/>
    <e v="#REF!"/>
    <s v="C"/>
  </r>
  <r>
    <x v="0"/>
    <s v="FAIXAS"/>
    <s v="RODAPÉ MÁRMORE CREMA"/>
    <s v="REF: 20124ET"/>
    <s v="CAIXA"/>
    <n v="75.349999999999994"/>
    <x v="57"/>
    <n v="4"/>
    <n v="58"/>
    <n v="15"/>
    <n v="3.48"/>
    <n v="3.48E-3"/>
    <x v="92"/>
    <n v="50"/>
    <x v="170"/>
    <n v="30"/>
    <n v="1.6666666666666667"/>
    <n v="50"/>
    <n v="51.666666666666664"/>
    <e v="#REF!"/>
    <e v="#REF!"/>
    <s v="C"/>
  </r>
  <r>
    <x v="0"/>
    <s v="LOUÇAS SANITÁRIAS"/>
    <s v="CAIXA ACOPLADA ECOFLUSH THEMA"/>
    <s v="CAE ET001"/>
    <s v="UNIDADE"/>
    <n v="149.435"/>
    <x v="28"/>
    <n v="40"/>
    <n v="40"/>
    <n v="40"/>
    <n v="11.4"/>
    <n v="6.4000000000000001E-2"/>
    <x v="93"/>
    <n v="25"/>
    <x v="171"/>
    <n v="40"/>
    <n v="0.625"/>
    <n v="33.333333333333336"/>
    <n v="33.958333333333336"/>
    <e v="#REF!"/>
    <e v="#REF!"/>
    <s v="C"/>
  </r>
  <r>
    <x v="0"/>
    <s v="ACESSÓRIOS PARA BANHEIRO"/>
    <s v="BOX DE CORRER "/>
    <s v="785859"/>
    <s v="CAIXA "/>
    <n v="418.9"/>
    <x v="18"/>
    <n v="145"/>
    <n v="60"/>
    <n v="60"/>
    <n v="5"/>
    <n v="0.52200000000000002"/>
    <x v="42"/>
    <n v="8.6206896551724128"/>
    <x v="172"/>
    <n v="10"/>
    <n v="0.86206896551724133"/>
    <n v="2.8735632183908044"/>
    <n v="3.735632183908046"/>
    <e v="#REF!"/>
    <e v="#REF!"/>
    <s v="C"/>
  </r>
  <r>
    <x v="0"/>
    <s v="LOUÇAS SANITÁRIAS"/>
    <s v="COLUNA PARA LAVATÓRIO RIVIERA ÁGUA MARINHA"/>
    <s v="CPL RAM001"/>
    <s v="UNIDADE"/>
    <n v="79.234999999999999"/>
    <x v="48"/>
    <n v="170"/>
    <n v="32"/>
    <n v="30"/>
    <n v="12.8"/>
    <n v="0.16320000000000001"/>
    <x v="94"/>
    <n v="45"/>
    <x v="173"/>
    <n v="40"/>
    <n v="1.125"/>
    <n v="60"/>
    <n v="61.125"/>
    <e v="#REF!"/>
    <e v="#REF!"/>
    <s v="C"/>
  </r>
  <r>
    <x v="0"/>
    <s v="PISOS"/>
    <s v="MANTA PARA PISO"/>
    <s v="REF: 078758"/>
    <s v="CAIXA"/>
    <n v="4.5"/>
    <x v="22"/>
    <n v="2"/>
    <n v="120"/>
    <n v="50"/>
    <n v="12"/>
    <n v="1.2E-2"/>
    <x v="95"/>
    <n v="760"/>
    <x v="174"/>
    <n v="20"/>
    <n v="38"/>
    <n v="506.66666666666663"/>
    <n v="544.66666666666663"/>
    <e v="#REF!"/>
    <e v="#REF!"/>
    <s v="C"/>
  </r>
  <r>
    <x v="0"/>
    <s v="LOUÇAS SANITÁRIAS"/>
    <s v="VASO SANITÁRIO PARATI CINZA"/>
    <s v="VS PC041"/>
    <s v="UNIDADE"/>
    <n v="75.334999999999994"/>
    <x v="58"/>
    <n v="48"/>
    <n v="55"/>
    <n v="48"/>
    <n v="24.8"/>
    <n v="0.12672"/>
    <x v="96"/>
    <n v="45"/>
    <x v="175"/>
    <n v="40"/>
    <n v="1.125"/>
    <n v="60"/>
    <n v="61.125"/>
    <e v="#REF!"/>
    <e v="#REF!"/>
    <s v="C"/>
  </r>
  <r>
    <x v="0"/>
    <s v="LOUÇAS SANITÁRIAS"/>
    <s v="VASO SANITÁRIO PARATI BEGE AREIA"/>
    <s v="VS PBA014"/>
    <s v="UNIDADE"/>
    <n v="75.334999999999994"/>
    <x v="58"/>
    <n v="48"/>
    <n v="55"/>
    <n v="48"/>
    <n v="22.8"/>
    <n v="0.12672"/>
    <x v="96"/>
    <n v="45"/>
    <x v="175"/>
    <n v="40"/>
    <n v="1.125"/>
    <n v="60"/>
    <n v="61.125"/>
    <e v="#REF!"/>
    <e v="#REF!"/>
    <s v="C"/>
  </r>
  <r>
    <x v="0"/>
    <s v="PISOS"/>
    <s v="RODAPÉ CERÂMICO CEUSA UNIVERSAL BLANCO"/>
    <s v="REF: 078223"/>
    <s v="CAIXA"/>
    <n v="4.3600000000000003"/>
    <x v="59"/>
    <n v="3"/>
    <n v="40.799999999999997"/>
    <n v="8"/>
    <n v="9.6999999999999993"/>
    <n v="9.7919999999999995E-4"/>
    <x v="97"/>
    <n v="760"/>
    <x v="176"/>
    <n v="20"/>
    <n v="38"/>
    <n v="506.66666666666663"/>
    <n v="544.66666666666663"/>
    <e v="#REF!"/>
    <e v="#REF!"/>
    <s v="C"/>
  </r>
  <r>
    <x v="0"/>
    <s v="PISOS"/>
    <s v="TERMINAL PARA RODAPÉ"/>
    <s v="REF: 089010"/>
    <s v="CAIXA"/>
    <n v="4.13"/>
    <x v="54"/>
    <n v="1"/>
    <n v="5"/>
    <n v="3"/>
    <n v="15"/>
    <n v="1.5E-5"/>
    <x v="98"/>
    <n v="760"/>
    <x v="177"/>
    <n v="20"/>
    <n v="38"/>
    <n v="506.66666666666663"/>
    <n v="544.66666666666663"/>
    <e v="#REF!"/>
    <e v="#REF!"/>
    <s v="C"/>
  </r>
  <r>
    <x v="0"/>
    <s v="FAIXAS"/>
    <s v="PASTILHA "/>
    <s v="REF: METAL COPPER"/>
    <s v="CAIXA"/>
    <n v="69.099999999999994"/>
    <x v="60"/>
    <n v="0.5"/>
    <n v="30"/>
    <n v="30"/>
    <n v="450"/>
    <n v="4.4999999999999999E-4"/>
    <x v="99"/>
    <n v="45"/>
    <x v="178"/>
    <n v="30"/>
    <n v="1.5"/>
    <n v="45"/>
    <n v="46.5"/>
    <e v="#REF!"/>
    <e v="#REF!"/>
    <s v="C"/>
  </r>
  <r>
    <x v="0"/>
    <s v="ACESSÓRIOS PARA BANHEIRO"/>
    <s v="BOX DE CORRER VIDRO EM S"/>
    <s v="684459"/>
    <s v="CAIXA "/>
    <n v="626.9"/>
    <x v="18"/>
    <n v="145"/>
    <n v="60"/>
    <n v="60"/>
    <n v="5"/>
    <n v="0.52200000000000002"/>
    <x v="13"/>
    <n v="4.7892720306513406"/>
    <x v="179"/>
    <n v="10"/>
    <n v="0.47892720306513403"/>
    <n v="1.5964240102171134"/>
    <n v="2.0753512132822474"/>
    <e v="#REF!"/>
    <e v="#REF!"/>
    <s v="C"/>
  </r>
  <r>
    <x v="0"/>
    <s v="LOUÇAS SANITÁRIAS"/>
    <s v="CAIXA ACOPLADA ETNA BR DUPLO ACIONAMENTO"/>
    <s v="CAE DA044"/>
    <s v="UNIDADE"/>
    <n v="117"/>
    <x v="56"/>
    <n v="40"/>
    <n v="35"/>
    <n v="40"/>
    <n v="10.3"/>
    <n v="5.6000000000000001E-2"/>
    <x v="100"/>
    <n v="25"/>
    <x v="180"/>
    <n v="40"/>
    <n v="0.625"/>
    <n v="33.333333333333336"/>
    <n v="33.958333333333336"/>
    <e v="#REF!"/>
    <e v="#REF!"/>
    <s v="C"/>
  </r>
  <r>
    <x v="0"/>
    <s v="ACESSÓRIOS PARA BANHEIRO"/>
    <s v="ESPELHO DIAL"/>
    <s v="54213"/>
    <s v="CAIXA "/>
    <n v="840"/>
    <x v="46"/>
    <n v="120"/>
    <n v="60"/>
    <n v="60"/>
    <n v="3"/>
    <n v="0.432"/>
    <x v="101"/>
    <n v="3.4722222222222223"/>
    <x v="181"/>
    <n v="10"/>
    <n v="0.34722222222222221"/>
    <n v="1.1574074074074074"/>
    <n v="1.5046296296296298"/>
    <e v="#REF!"/>
    <e v="#REF!"/>
    <s v="C"/>
  </r>
  <r>
    <x v="0"/>
    <s v="LOUÇAS SANITÁRIAS"/>
    <s v="MICTÓRIO SIFONADO COM MECANISMO BRANCO"/>
    <s v="MSMB 045"/>
    <s v="UNIDADE"/>
    <n v="112.38500000000001"/>
    <x v="56"/>
    <n v="50"/>
    <n v="40"/>
    <n v="50"/>
    <n v="10.15"/>
    <n v="0.1"/>
    <x v="13"/>
    <n v="25"/>
    <x v="182"/>
    <n v="40"/>
    <n v="0.625"/>
    <n v="33.333333333333336"/>
    <n v="33.958333333333336"/>
    <e v="#REF!"/>
    <e v="#REF!"/>
    <s v="C"/>
  </r>
  <r>
    <x v="0"/>
    <s v="LOUÇAS SANITÁRIAS"/>
    <s v="MICTÓRIO SIFONADO BRANCO"/>
    <s v="MSB 017"/>
    <s v="UNIDADE"/>
    <n v="111.08499999999999"/>
    <x v="48"/>
    <n v="48"/>
    <n v="50"/>
    <n v="45"/>
    <n v="10.15"/>
    <n v="0.108"/>
    <x v="102"/>
    <n v="25"/>
    <x v="183"/>
    <n v="40"/>
    <n v="0.625"/>
    <n v="33.333333333333336"/>
    <n v="33.958333333333336"/>
    <e v="#REF!"/>
    <e v="#REF!"/>
    <s v="C"/>
  </r>
  <r>
    <x v="0"/>
    <s v="ACESSÓRIOS PARA BANHEIRO"/>
    <s v="TAPETES LUXO PARA PÉS"/>
    <s v="54855"/>
    <s v="SACO"/>
    <n v="22.9"/>
    <x v="55"/>
    <n v="45"/>
    <n v="70"/>
    <n v="45"/>
    <n v="1"/>
    <n v="0.14174999999999999"/>
    <x v="18"/>
    <n v="116.40211640211642"/>
    <x v="184"/>
    <n v="10"/>
    <n v="11.640211640211643"/>
    <n v="38.80070546737214"/>
    <n v="50.440917107583786"/>
    <e v="#REF!"/>
    <e v="#REF!"/>
    <s v="C"/>
  </r>
  <r>
    <x v="0"/>
    <s v="FAIXAS"/>
    <s v="RODAPÉ ANG"/>
    <s v="REF: LTCRA249595"/>
    <s v="CAIXA"/>
    <n v="52.8"/>
    <x v="10"/>
    <n v="0.9"/>
    <n v="230"/>
    <n v="12"/>
    <n v="24"/>
    <n v="2.4840000000000001E-3"/>
    <x v="103"/>
    <n v="50"/>
    <x v="185"/>
    <n v="30"/>
    <n v="1.6666666666666667"/>
    <n v="50"/>
    <n v="51.666666666666664"/>
    <e v="#REF!"/>
    <e v="#REF!"/>
    <s v="C"/>
  </r>
  <r>
    <x v="0"/>
    <s v="ACESSÓRIOS PARA BANHEIRO"/>
    <s v="CAIXA DE DESCARGA 6,8 LITROS"/>
    <s v="55774"/>
    <s v="CAIXA "/>
    <n v="17.899999999999999"/>
    <x v="18"/>
    <n v="35"/>
    <n v="30"/>
    <n v="30"/>
    <n v="2"/>
    <n v="3.15E-2"/>
    <x v="42"/>
    <n v="142.85714285714286"/>
    <x v="186"/>
    <n v="10"/>
    <n v="14.285714285714286"/>
    <n v="47.61904761904762"/>
    <n v="61.904761904761905"/>
    <e v="#REF!"/>
    <e v="#REF!"/>
    <s v="C"/>
  </r>
  <r>
    <x v="0"/>
    <s v="ACESSÓRIOS PARA BANHEIRO"/>
    <s v="BOX DE CORRER VIDRO INCOLOR"/>
    <s v="569859"/>
    <s v="CAIXA "/>
    <n v="377"/>
    <x v="18"/>
    <n v="145"/>
    <n v="60"/>
    <n v="60"/>
    <n v="5"/>
    <n v="0.52200000000000002"/>
    <x v="12"/>
    <n v="6.7049808429118771"/>
    <x v="187"/>
    <n v="10"/>
    <n v="0.67049808429118773"/>
    <n v="2.234993614303959"/>
    <n v="2.9054916985951467"/>
    <e v="#REF!"/>
    <e v="#REF!"/>
    <s v="C"/>
  </r>
  <r>
    <x v="0"/>
    <s v="FAIXAS"/>
    <s v="RODAPÉ GRANILITE PALHA BOLD"/>
    <s v="REF: 20126ET"/>
    <s v="CAIXA"/>
    <n v="49.8"/>
    <x v="57"/>
    <n v="5"/>
    <n v="50"/>
    <n v="20"/>
    <n v="5"/>
    <n v="5.0000000000000001E-3"/>
    <x v="104"/>
    <n v="50"/>
    <x v="188"/>
    <n v="30"/>
    <n v="1.6666666666666667"/>
    <n v="50"/>
    <n v="51.666666666666664"/>
    <e v="#REF!"/>
    <e v="#REF!"/>
    <s v="C"/>
  </r>
  <r>
    <x v="0"/>
    <s v="ACESSÓRIOS PARA BANHEIRO"/>
    <s v="CAIXA DE DESCARGA SEM ENGATE BRANCO"/>
    <s v="15848"/>
    <s v="CAIXA "/>
    <n v="21.9"/>
    <x v="18"/>
    <n v="35"/>
    <n v="30"/>
    <n v="30"/>
    <n v="1.5"/>
    <n v="3.15E-2"/>
    <x v="12"/>
    <n v="111.11111111111111"/>
    <x v="189"/>
    <n v="10"/>
    <n v="11.111111111111111"/>
    <n v="37.037037037037038"/>
    <n v="48.148148148148152"/>
    <e v="#REF!"/>
    <e v="#REF!"/>
    <s v="C"/>
  </r>
  <r>
    <x v="0"/>
    <s v="LOUÇAS SANITÁRIAS"/>
    <s v="CUBA PARA LAVATÓRIO SABATINI PALHA II5-01"/>
    <s v="CBL SPII5"/>
    <s v="UNIDADE"/>
    <n v="94.185000000000002"/>
    <x v="56"/>
    <n v="28"/>
    <n v="50"/>
    <n v="59"/>
    <n v="11.6"/>
    <n v="8.2600000000000007E-2"/>
    <x v="105"/>
    <n v="25"/>
    <x v="190"/>
    <n v="40"/>
    <n v="0.625"/>
    <n v="33.333333333333336"/>
    <n v="33.958333333333336"/>
    <e v="#REF!"/>
    <e v="#REF!"/>
    <s v="C"/>
  </r>
  <r>
    <x v="0"/>
    <s v="LOUÇAS SANITÁRIAS"/>
    <s v="COLUNA PARA LAVATÓRIO THEMA CINZA PLATINA"/>
    <s v="CPL TCP01"/>
    <s v="UNIDADE"/>
    <n v="76.635000000000005"/>
    <x v="28"/>
    <n v="140"/>
    <n v="30"/>
    <n v="25"/>
    <n v="7.8"/>
    <n v="0.105"/>
    <x v="106"/>
    <n v="30"/>
    <x v="191"/>
    <n v="40"/>
    <n v="0.75"/>
    <n v="40"/>
    <n v="40.75"/>
    <e v="#REF!"/>
    <e v="#REF!"/>
    <s v="C"/>
  </r>
  <r>
    <x v="0"/>
    <s v="ACESSÓRIOS PARA BANHEIRO"/>
    <s v="BOX DE CORRER ACRÍLICO FUMÊ"/>
    <s v="213259"/>
    <s v="CAIXA "/>
    <n v="332"/>
    <x v="18"/>
    <n v="145"/>
    <n v="60"/>
    <n v="60"/>
    <n v="5"/>
    <n v="0.52200000000000002"/>
    <x v="12"/>
    <n v="6.7049808429118771"/>
    <x v="192"/>
    <n v="10"/>
    <n v="0.67049808429118773"/>
    <n v="2.234993614303959"/>
    <n v="2.9054916985951467"/>
    <e v="#REF!"/>
    <e v="#REF!"/>
    <s v="C"/>
  </r>
  <r>
    <x v="0"/>
    <s v="FAIXAS"/>
    <s v="RODAPÉ MODERNO"/>
    <s v="REF: 419419"/>
    <s v="CAIXA"/>
    <n v="43.9"/>
    <x v="61"/>
    <n v="0.7"/>
    <n v="240"/>
    <n v="15"/>
    <n v="25"/>
    <n v="2.5200000000000001E-3"/>
    <x v="107"/>
    <n v="50"/>
    <x v="193"/>
    <n v="30"/>
    <n v="1.6666666666666667"/>
    <n v="50"/>
    <n v="51.666666666666664"/>
    <e v="#REF!"/>
    <e v="#REF!"/>
    <s v="C"/>
  </r>
  <r>
    <x v="0"/>
    <s v="LOUÇAS SANITÁRIAS"/>
    <s v="VASO SANITÁRIO PARATI BRANCO"/>
    <s v="VS PB012"/>
    <s v="UNIDADE"/>
    <n v="48.75"/>
    <x v="58"/>
    <n v="48"/>
    <n v="55"/>
    <n v="48"/>
    <n v="21.8"/>
    <n v="0.12672"/>
    <x v="96"/>
    <n v="45"/>
    <x v="194"/>
    <n v="40"/>
    <n v="1.125"/>
    <n v="60"/>
    <n v="61.125"/>
    <e v="#REF!"/>
    <e v="#REF!"/>
    <s v="C"/>
  </r>
  <r>
    <x v="0"/>
    <s v="LOUÇAS SANITÁRIAS"/>
    <s v="CUBA PARA LAVATÓRIO AZALEA PERGAMON"/>
    <s v="CBL AP025"/>
    <s v="UNIDADE"/>
    <n v="70.784999999999997"/>
    <x v="48"/>
    <n v="30"/>
    <n v="55"/>
    <n v="50"/>
    <n v="7.9"/>
    <n v="8.2500000000000004E-2"/>
    <x v="108"/>
    <n v="30"/>
    <x v="195"/>
    <n v="40"/>
    <n v="0.75"/>
    <n v="40"/>
    <n v="40.75"/>
    <e v="#REF!"/>
    <e v="#REF!"/>
    <s v="C"/>
  </r>
  <r>
    <x v="0"/>
    <s v="FAIXAS"/>
    <s v="RODAPÉ YORK WHITE"/>
    <s v="REF: 5452"/>
    <s v="CAIXA"/>
    <n v="59.35"/>
    <x v="62"/>
    <n v="3"/>
    <n v="60"/>
    <n v="11"/>
    <n v="18"/>
    <n v="1.98E-3"/>
    <x v="109"/>
    <n v="35"/>
    <x v="196"/>
    <n v="30"/>
    <n v="1.1666666666666667"/>
    <n v="35"/>
    <n v="36.166666666666664"/>
    <e v="#REF!"/>
    <e v="#REF!"/>
    <s v="C"/>
  </r>
  <r>
    <x v="0"/>
    <s v="ACESSÓRIOS PARA BANHEIRO"/>
    <s v="CAIXA DE DESCARGA SEM ENGATE"/>
    <s v="145259"/>
    <s v="CAIXA "/>
    <n v="17.899999999999999"/>
    <x v="18"/>
    <n v="35"/>
    <n v="30"/>
    <n v="30"/>
    <n v="2"/>
    <n v="3.15E-2"/>
    <x v="12"/>
    <n v="111.11111111111111"/>
    <x v="197"/>
    <n v="10"/>
    <n v="11.111111111111111"/>
    <n v="37.037037037037038"/>
    <n v="48.148148148148152"/>
    <e v="#REF!"/>
    <e v="#REF!"/>
    <s v="C"/>
  </r>
  <r>
    <x v="0"/>
    <s v="ACESSÓRIOS PARA BANHEIRO"/>
    <s v="ESPELHO VISIONE"/>
    <s v="24616"/>
    <s v="CAIXA "/>
    <n v="480"/>
    <x v="46"/>
    <n v="140"/>
    <n v="68"/>
    <n v="68"/>
    <n v="3"/>
    <n v="0.64736000000000005"/>
    <x v="13"/>
    <n v="3.8618388531883339"/>
    <x v="198"/>
    <n v="10"/>
    <n v="0.38618388531883341"/>
    <n v="1.2872796177294445"/>
    <n v="1.6734635030482781"/>
    <e v="#REF!"/>
    <e v="#REF!"/>
    <s v="C"/>
  </r>
  <r>
    <x v="0"/>
    <s v="LOUÇAS SANITÁRIAS"/>
    <s v="COLUNA PARA LAVATÓRIO SABATINI BRANCO"/>
    <s v="CPLB SB001"/>
    <s v="UNIDADE"/>
    <n v="59.734999999999999"/>
    <x v="56"/>
    <n v="140"/>
    <n v="30"/>
    <n v="20"/>
    <n v="8.4"/>
    <n v="8.4000000000000005E-2"/>
    <x v="110"/>
    <n v="30"/>
    <x v="199"/>
    <n v="40"/>
    <n v="0.75"/>
    <n v="40"/>
    <n v="40.75"/>
    <e v="#REF!"/>
    <e v="#REF!"/>
    <s v="C"/>
  </r>
  <r>
    <x v="0"/>
    <s v="FAIXAS"/>
    <s v="SOLEIRA GRANITO PRETO SÃO GABRIEL "/>
    <s v="REF: 87749025"/>
    <s v="CAIXA"/>
    <n v="49.9"/>
    <x v="63"/>
    <n v="2"/>
    <n v="82"/>
    <n v="15"/>
    <n v="24"/>
    <n v="2.4599999999999999E-3"/>
    <x v="111"/>
    <n v="35"/>
    <x v="200"/>
    <n v="30"/>
    <n v="1.1666666666666667"/>
    <n v="35"/>
    <n v="36.166666666666664"/>
    <e v="#REF!"/>
    <e v="#REF!"/>
    <s v="C"/>
  </r>
  <r>
    <x v="0"/>
    <s v="ACESSÓRIOS PARA BANHEIRO"/>
    <s v="BOX DE CORRER VIDRO ULTRA WHITE"/>
    <s v="214459"/>
    <s v="CAIXA "/>
    <n v="592.9"/>
    <x v="18"/>
    <n v="145"/>
    <n v="60"/>
    <n v="60"/>
    <n v="5"/>
    <n v="0.52200000000000002"/>
    <x v="101"/>
    <n v="2.8735632183908044"/>
    <x v="201"/>
    <n v="10"/>
    <n v="0.28735632183908044"/>
    <n v="0.95785440613026807"/>
    <n v="1.2452107279693485"/>
    <e v="#REF!"/>
    <e v="#REF!"/>
    <s v="C"/>
  </r>
  <r>
    <x v="0"/>
    <s v="FAIXAS"/>
    <s v="SOLEIRA ART MOSAICOS XADREZ BLACK "/>
    <s v="REF: SP5002.01"/>
    <s v="CAIXA"/>
    <n v="34"/>
    <x v="64"/>
    <n v="8"/>
    <n v="90"/>
    <n v="14"/>
    <n v="10"/>
    <n v="1.008E-2"/>
    <x v="112"/>
    <n v="50"/>
    <x v="202"/>
    <n v="30"/>
    <n v="1.6666666666666667"/>
    <n v="50"/>
    <n v="51.666666666666664"/>
    <e v="#REF!"/>
    <e v="#REF!"/>
    <s v="C"/>
  </r>
  <r>
    <x v="0"/>
    <s v="LOUÇAS SANITÁRIAS"/>
    <s v="CUBA PARA LAVATÓRIO OVAL BRANCA"/>
    <s v="CBL OB001"/>
    <s v="UNIDADE"/>
    <n v="52.585000000000001"/>
    <x v="48"/>
    <n v="30"/>
    <n v="55"/>
    <n v="50"/>
    <n v="8.5"/>
    <n v="8.2500000000000004E-2"/>
    <x v="108"/>
    <n v="30"/>
    <x v="203"/>
    <n v="40"/>
    <n v="0.75"/>
    <n v="40"/>
    <n v="40.75"/>
    <e v="#REF!"/>
    <e v="#REF!"/>
    <s v="C"/>
  </r>
  <r>
    <x v="0"/>
    <s v="LOUÇAS SANITÁRIAS"/>
    <s v="CUBA PARA LAVATÓRIO FIT PERGAMON "/>
    <s v="CBL FP025"/>
    <s v="UNIDADE"/>
    <n v="74.685000000000002"/>
    <x v="48"/>
    <n v="30"/>
    <n v="55"/>
    <n v="50"/>
    <n v="8.8000000000000007"/>
    <n v="8.2500000000000004E-2"/>
    <x v="83"/>
    <n v="20"/>
    <x v="204"/>
    <n v="40"/>
    <n v="0.5"/>
    <n v="26.666666666666664"/>
    <n v="27.166666666666664"/>
    <e v="#REF!"/>
    <e v="#REF!"/>
    <s v="C"/>
  </r>
  <r>
    <x v="0"/>
    <s v="FAIXAS"/>
    <s v="FAIXA CHIC"/>
    <s v="REF.: 35225"/>
    <s v="CAIXA"/>
    <n v="41.5"/>
    <x v="52"/>
    <n v="3.4"/>
    <n v="35"/>
    <n v="8.5"/>
    <n v="16"/>
    <n v="1.0115E-3"/>
    <x v="113"/>
    <n v="35"/>
    <x v="205"/>
    <n v="30"/>
    <n v="1.1666666666666667"/>
    <n v="35"/>
    <n v="36.166666666666664"/>
    <e v="#REF!"/>
    <e v="#REF!"/>
    <s v="C"/>
  </r>
  <r>
    <x v="0"/>
    <s v="FAIXAS"/>
    <s v="PASTILHA DE VIDRO AZUL E ESPELHO"/>
    <s v="REF: INF- 173"/>
    <s v="CAIXA"/>
    <n v="29.9"/>
    <x v="65"/>
    <n v="0.4"/>
    <n v="30"/>
    <n v="30"/>
    <n v="360"/>
    <n v="3.6000000000000002E-4"/>
    <x v="114"/>
    <n v="45"/>
    <x v="206"/>
    <n v="30"/>
    <n v="1.5"/>
    <n v="45"/>
    <n v="46.5"/>
    <e v="#REF!"/>
    <e v="#REF!"/>
    <s v="C"/>
  </r>
  <r>
    <x v="0"/>
    <s v="LOUÇAS SANITÁRIAS"/>
    <s v="CUBA PARA LAVATÓRIO PARATI BRANCO"/>
    <s v="CBL PB0014"/>
    <s v="UNIDADE"/>
    <n v="43.484999999999999"/>
    <x v="58"/>
    <n v="28"/>
    <n v="50"/>
    <n v="48"/>
    <n v="7.4"/>
    <n v="6.7199999999999996E-2"/>
    <x v="115"/>
    <n v="30"/>
    <x v="207"/>
    <n v="40"/>
    <n v="0.75"/>
    <n v="40"/>
    <n v="40.75"/>
    <e v="#REF!"/>
    <e v="#REF!"/>
    <s v="C"/>
  </r>
  <r>
    <x v="0"/>
    <s v="FAIXAS"/>
    <s v="SOLEIRA ART MOSAICOS LISTRA BEGE "/>
    <s v="REF: SP5001.02"/>
    <s v="CAIXA"/>
    <n v="36.4"/>
    <x v="64"/>
    <n v="0.8"/>
    <n v="90"/>
    <n v="14"/>
    <n v="10"/>
    <n v="1.008E-3"/>
    <x v="116"/>
    <n v="35"/>
    <x v="208"/>
    <n v="30"/>
    <n v="1.1666666666666667"/>
    <n v="35"/>
    <n v="36.166666666666664"/>
    <e v="#REF!"/>
    <e v="#REF!"/>
    <s v="C"/>
  </r>
  <r>
    <x v="0"/>
    <s v="LOUÇAS SANITÁRIAS"/>
    <s v="CUBA PARA LAVATÓRIO SAVEIRO CINZA PRATA"/>
    <s v="CBL  CP001"/>
    <s v="UNIDADE"/>
    <n v="49.335000000000001"/>
    <x v="48"/>
    <n v="30"/>
    <n v="55"/>
    <n v="50"/>
    <n v="9.8000000000000007"/>
    <n v="8.2500000000000004E-2"/>
    <x v="117"/>
    <n v="25"/>
    <x v="209"/>
    <n v="40"/>
    <n v="0.625"/>
    <n v="33.333333333333336"/>
    <n v="33.958333333333336"/>
    <e v="#REF!"/>
    <e v="#REF!"/>
    <s v="C"/>
  </r>
  <r>
    <x v="0"/>
    <s v="LOUÇAS SANITÁRIAS"/>
    <s v="COLUNA PARA LAVATÓRIO AZALEA BRANCA"/>
    <s v="CPL AB01"/>
    <s v="UNIDADE"/>
    <n v="36.335000000000001"/>
    <x v="48"/>
    <n v="170"/>
    <n v="32"/>
    <n v="30"/>
    <n v="8.6"/>
    <n v="0.16320000000000001"/>
    <x v="118"/>
    <n v="30"/>
    <x v="210"/>
    <n v="40"/>
    <n v="0.75"/>
    <n v="40"/>
    <n v="40.75"/>
    <e v="#REF!"/>
    <e v="#REF!"/>
    <s v="C"/>
  </r>
  <r>
    <x v="0"/>
    <s v="FAIXAS"/>
    <s v="SOLEIRA MÁRMORE BRANCO "/>
    <s v="REF:  86717183"/>
    <s v="CAIXA"/>
    <n v="30.9"/>
    <x v="66"/>
    <n v="2"/>
    <n v="82"/>
    <n v="14"/>
    <n v="22"/>
    <n v="2.2959999999999999E-3"/>
    <x v="119"/>
    <n v="35"/>
    <x v="211"/>
    <n v="30"/>
    <n v="1.1666666666666667"/>
    <n v="35"/>
    <n v="36.166666666666664"/>
    <e v="#REF!"/>
    <e v="#REF!"/>
    <s v="C"/>
  </r>
  <r>
    <x v="0"/>
    <s v="FAIXAS"/>
    <s v="VIDRO AZUL 1 ANTIDERRAPANTE"/>
    <s v="REF: 179812"/>
    <s v="CAIXA"/>
    <n v="28"/>
    <x v="67"/>
    <n v="2.2999999999999998"/>
    <n v="29.5"/>
    <n v="29.5"/>
    <n v="20"/>
    <n v="2.0015749999999998E-3"/>
    <x v="120"/>
    <n v="35"/>
    <x v="212"/>
    <n v="30"/>
    <n v="1.1666666666666667"/>
    <n v="35"/>
    <n v="36.166666666666664"/>
    <e v="#REF!"/>
    <e v="#REF!"/>
    <s v="C"/>
  </r>
  <r>
    <x v="0"/>
    <s v="FAIXAS"/>
    <s v="FAIXA CORDON CREMA UNIVERSAL "/>
    <s v="REF: 74010"/>
    <s v="CAIXA"/>
    <n v="19.100000000000001"/>
    <x v="68"/>
    <n v="3.2"/>
    <n v="33"/>
    <n v="2"/>
    <n v="211.2"/>
    <n v="2.1120000000000001E-4"/>
    <x v="121"/>
    <n v="45"/>
    <x v="213"/>
    <n v="30"/>
    <n v="1.5"/>
    <n v="45"/>
    <n v="46.5"/>
    <e v="#REF!"/>
    <e v="#REF!"/>
    <s v="C"/>
  </r>
  <r>
    <x v="0"/>
    <s v="FAIXAS"/>
    <s v="PASTILHA DE VIDRO EXTRA PLACA"/>
    <s v="REF: 1262173"/>
    <s v="CAIXA"/>
    <n v="18.899999999999999"/>
    <x v="69"/>
    <n v="0.3"/>
    <n v="30"/>
    <n v="30"/>
    <n v="270"/>
    <n v="2.7E-4"/>
    <x v="122"/>
    <n v="45"/>
    <x v="214"/>
    <n v="30"/>
    <n v="1.5"/>
    <n v="45"/>
    <n v="46.5"/>
    <e v="#REF!"/>
    <e v="#REF!"/>
    <s v="C"/>
  </r>
  <r>
    <x v="0"/>
    <s v="FAIXAS"/>
    <s v="FAIXA ATLAS BLU UNIVERSAL"/>
    <s v="REF: 61009"/>
    <s v="CAIXA"/>
    <n v="18.899999999999999"/>
    <x v="68"/>
    <n v="3.2"/>
    <n v="33"/>
    <n v="2"/>
    <n v="211.2"/>
    <n v="2.1120000000000001E-4"/>
    <x v="121"/>
    <n v="45"/>
    <x v="214"/>
    <n v="30"/>
    <n v="1.5"/>
    <n v="45"/>
    <n v="46.5"/>
    <e v="#REF!"/>
    <e v="#REF!"/>
    <s v="C"/>
  </r>
  <r>
    <x v="0"/>
    <s v="FAIXAS"/>
    <s v="FAIXAS LONDON BRANCO "/>
    <s v="REF: 81357"/>
    <s v="CAIXA"/>
    <n v="15.75"/>
    <x v="57"/>
    <n v="3"/>
    <n v="30"/>
    <n v="5"/>
    <n v="450"/>
    <n v="4.4999999999999999E-4"/>
    <x v="99"/>
    <n v="45"/>
    <x v="215"/>
    <n v="30"/>
    <n v="1.5"/>
    <n v="45"/>
    <n v="46.5"/>
    <e v="#REF!"/>
    <e v="#REF!"/>
    <s v="C"/>
  </r>
  <r>
    <x v="0"/>
    <s v="ACESSÓRIOS PARA BANHEIRO"/>
    <s v="CAIXA DE DESCARGA 9 LITROS"/>
    <s v="68489"/>
    <s v="CAIXA "/>
    <n v="21.9"/>
    <x v="18"/>
    <n v="35"/>
    <n v="30"/>
    <n v="30"/>
    <n v="1.5"/>
    <n v="3.15E-2"/>
    <x v="123"/>
    <n v="31.746031746031747"/>
    <x v="216"/>
    <n v="10"/>
    <n v="3.1746031746031749"/>
    <n v="10.582010582010582"/>
    <n v="13.756613756613756"/>
    <e v="#REF!"/>
    <e v="#REF!"/>
    <s v="C"/>
  </r>
  <r>
    <x v="0"/>
    <s v="FAIXAS"/>
    <s v="PASTILHA MAJOPAR PRETO"/>
    <s v="REF: 31215"/>
    <s v="CAIXA"/>
    <n v="13.3"/>
    <x v="70"/>
    <n v="32"/>
    <n v="30"/>
    <n v="45"/>
    <n v="43.2"/>
    <n v="4.3200000000000002E-2"/>
    <x v="124"/>
    <n v="50"/>
    <x v="217"/>
    <n v="30"/>
    <n v="1.6666666666666667"/>
    <n v="50"/>
    <n v="51.666666666666664"/>
    <e v="#REF!"/>
    <e v="#REF!"/>
    <s v="C"/>
  </r>
  <r>
    <x v="0"/>
    <s v="LOUÇAS SANITÁRIAS"/>
    <s v="COLUNA PARA LAVATÓRIO BRANCA IC301"/>
    <s v="CPLB IC300"/>
    <s v="UNIDADE"/>
    <n v="21.385000000000002"/>
    <x v="56"/>
    <n v="140"/>
    <n v="30"/>
    <n v="20"/>
    <n v="7"/>
    <n v="8.4000000000000005E-2"/>
    <x v="110"/>
    <n v="30"/>
    <x v="218"/>
    <n v="40"/>
    <n v="0.75"/>
    <n v="40"/>
    <n v="40.75"/>
    <e v="#REF!"/>
    <e v="#REF!"/>
    <s v="C"/>
  </r>
  <r>
    <x v="0"/>
    <s v="LOUÇAS SANITÁRIAS"/>
    <s v="COLUNA PARA LAVATÓRIO GELO C10"/>
    <s v="CPLG C10"/>
    <s v="UNIDADE"/>
    <n v="25.285"/>
    <x v="41"/>
    <n v="165"/>
    <n v="30"/>
    <n v="28"/>
    <n v="9.4"/>
    <n v="0.1386"/>
    <x v="125"/>
    <n v="25"/>
    <x v="219"/>
    <n v="40"/>
    <n v="0.625"/>
    <n v="33.333333333333336"/>
    <n v="33.958333333333336"/>
    <e v="#REF!"/>
    <e v="#REF!"/>
    <s v="C"/>
  </r>
  <r>
    <x v="0"/>
    <s v="FAIXAS"/>
    <s v="PASTILHA DE VIDRO CRISTAL"/>
    <s v="REF: 1103 "/>
    <s v="CAIXA"/>
    <n v="12.99"/>
    <x v="71"/>
    <n v="0.4"/>
    <n v="30"/>
    <n v="30"/>
    <n v="360"/>
    <n v="3.6000000000000002E-4"/>
    <x v="114"/>
    <n v="45"/>
    <x v="220"/>
    <n v="30"/>
    <n v="1.5"/>
    <n v="45"/>
    <n v="46.5"/>
    <e v="#REF!"/>
    <e v="#REF!"/>
    <s v="C"/>
  </r>
  <r>
    <x v="0"/>
    <s v="FAIXAS"/>
    <s v="FAIXA ISABELA REVESTIMENTOS "/>
    <s v="REF: PP 1701.01"/>
    <s v="CAIXA"/>
    <n v="12.67"/>
    <x v="72"/>
    <n v="0.8"/>
    <n v="30"/>
    <n v="5"/>
    <n v="120"/>
    <n v="1.2E-4"/>
    <x v="126"/>
    <n v="45"/>
    <x v="221"/>
    <n v="30"/>
    <n v="1.5"/>
    <n v="45"/>
    <n v="46.5"/>
    <e v="#REF!"/>
    <e v="#REF!"/>
    <s v="C"/>
  </r>
  <r>
    <x v="0"/>
    <s v="FAIXAS"/>
    <s v="FAIXAS UNIVERSAL"/>
    <s v="REF. F1001 "/>
    <s v="CAIXA"/>
    <n v="11.9"/>
    <x v="73"/>
    <n v="3"/>
    <n v="30"/>
    <n v="8"/>
    <n v="7.2"/>
    <n v="7.2000000000000005E-4"/>
    <x v="127"/>
    <n v="45"/>
    <x v="222"/>
    <n v="30"/>
    <n v="1.5"/>
    <n v="45"/>
    <n v="46.5"/>
    <e v="#REF!"/>
    <e v="#REF!"/>
    <s v="C"/>
  </r>
  <r>
    <x v="0"/>
    <s v="FAIXAS"/>
    <s v="VIDRO MIX AMARELO"/>
    <s v="REF: AA067"/>
    <s v="CAIXA"/>
    <n v="14.9"/>
    <x v="74"/>
    <n v="2.5"/>
    <n v="31.5"/>
    <n v="31.5"/>
    <n v="24"/>
    <n v="2.4806250000000002E-3"/>
    <x v="128"/>
    <n v="35"/>
    <x v="223"/>
    <n v="30"/>
    <n v="1.1666666666666667"/>
    <n v="35"/>
    <n v="36.166666666666664"/>
    <e v="#REF!"/>
    <e v="#REF!"/>
    <s v="C"/>
  </r>
  <r>
    <x v="0"/>
    <s v="FAIXAS"/>
    <s v="VIDRO"/>
    <s v="REF: FAIXA PETALA "/>
    <s v="CAIXA"/>
    <n v="9.9"/>
    <x v="75"/>
    <n v="1.5"/>
    <n v="30"/>
    <n v="5"/>
    <n v="225"/>
    <n v="2.2499999999999999E-4"/>
    <x v="129"/>
    <n v="45"/>
    <x v="224"/>
    <n v="30"/>
    <n v="1.5"/>
    <n v="45"/>
    <n v="46.5"/>
    <e v="#REF!"/>
    <e v="#REF!"/>
    <s v="C"/>
  </r>
  <r>
    <x v="0"/>
    <s v="FAIXAS"/>
    <s v="VIDRO"/>
    <s v="REF: FAIXA FLORAL"/>
    <s v="CAIXA"/>
    <n v="9.9"/>
    <x v="75"/>
    <n v="1.2"/>
    <n v="29"/>
    <n v="5"/>
    <n v="174"/>
    <n v="1.74E-4"/>
    <x v="130"/>
    <n v="45"/>
    <x v="224"/>
    <n v="30"/>
    <n v="1.5"/>
    <n v="45"/>
    <n v="46.5"/>
    <e v="#REF!"/>
    <e v="#REF!"/>
    <s v="C"/>
  </r>
  <r>
    <x v="0"/>
    <s v="FAIXAS"/>
    <s v="FAIXA ISABELA REVESTIMENTOS BEIGE"/>
    <s v="REF: PP1704.01"/>
    <s v="CAIXA"/>
    <n v="9.24"/>
    <x v="76"/>
    <n v="7"/>
    <n v="30"/>
    <n v="9"/>
    <n v="18"/>
    <n v="1.89E-3"/>
    <x v="131"/>
    <n v="35"/>
    <x v="225"/>
    <n v="30"/>
    <n v="1.1666666666666667"/>
    <n v="35"/>
    <n v="36.166666666666664"/>
    <e v="#REF!"/>
    <e v="#REF!"/>
    <s v="C"/>
  </r>
  <r>
    <x v="0"/>
    <s v="FAIXAS"/>
    <s v="VIDRO COLOR"/>
    <s v="REF: 60265"/>
    <s v="CAIXA"/>
    <n v="6"/>
    <x v="67"/>
    <n v="2"/>
    <n v="31.6"/>
    <n v="31.6"/>
    <n v="19"/>
    <n v="1.9971200000000002E-3"/>
    <x v="132"/>
    <n v="35"/>
    <x v="226"/>
    <n v="30"/>
    <n v="1.1666666666666667"/>
    <n v="35"/>
    <n v="36.166666666666664"/>
    <e v="#REF!"/>
    <e v="#REF!"/>
    <s v="C"/>
  </r>
  <r>
    <x v="1"/>
    <s v="PASSEIO"/>
    <s v="ÓLEO"/>
    <s v="EVOLUTION SXR"/>
    <s v="CAIXA "/>
    <n v="950"/>
    <x v="77"/>
    <n v="70"/>
    <n v="120"/>
    <n v="50"/>
    <n v="11"/>
    <n v="0.42"/>
    <x v="133"/>
    <n v="72"/>
    <x v="64"/>
    <n v="22"/>
    <n v="3.2727272727272729"/>
    <n v="52.8"/>
    <n v="56.072727272727271"/>
    <n v="50.627664613927053"/>
    <n v="50.627664613927053"/>
    <s v="A"/>
  </r>
  <r>
    <x v="1"/>
    <s v="PASSEIO"/>
    <s v="ÓLEO"/>
    <s v="HELIX HX6"/>
    <s v="CAIXA "/>
    <n v="850"/>
    <x v="78"/>
    <n v="70"/>
    <n v="120"/>
    <n v="50"/>
    <n v="11"/>
    <n v="0.42"/>
    <x v="133"/>
    <n v="72"/>
    <x v="227"/>
    <n v="22"/>
    <n v="3.2727272727272729"/>
    <n v="52.8"/>
    <n v="56.072727272727271"/>
    <n v="45.298436759829464"/>
    <n v="95.926101373756524"/>
    <s v="A"/>
  </r>
  <r>
    <x v="1"/>
    <s v="PASSEIO"/>
    <s v="ÓLEO"/>
    <s v="MOBIL SUPER 20W-50"/>
    <s v="CAIXA "/>
    <n v="790"/>
    <x v="79"/>
    <n v="70"/>
    <n v="120"/>
    <n v="50"/>
    <n v="11"/>
    <n v="0.42"/>
    <x v="133"/>
    <n v="72"/>
    <x v="228"/>
    <n v="22"/>
    <n v="3.2727272727272729"/>
    <n v="52.8"/>
    <n v="56.072727272727271"/>
    <n v="42.100900047370914"/>
    <n v="138.02700142112744"/>
    <s v="A"/>
  </r>
  <r>
    <x v="1"/>
    <s v="PASSEIO"/>
    <s v="PNEU"/>
    <s v="175/70R13 P400"/>
    <s v="PEÇA"/>
    <n v="600"/>
    <x v="80"/>
    <n v="57.52"/>
    <n v="57.52"/>
    <n v="17.5"/>
    <n v="6"/>
    <n v="5.7899632000000006E-2"/>
    <x v="134"/>
    <n v="90"/>
    <x v="229"/>
    <n v="22"/>
    <n v="4.0909090909090908"/>
    <n v="66"/>
    <n v="70.090909090909093"/>
    <n v="39.969208905731882"/>
    <n v="177.99621032685931"/>
    <s v="A"/>
  </r>
  <r>
    <x v="1"/>
    <s v="PASSEIO"/>
    <s v="ÓLEO"/>
    <s v="QUARTZ 5000"/>
    <s v="CAIXA "/>
    <n v="700"/>
    <x v="81"/>
    <n v="70"/>
    <n v="120"/>
    <n v="50"/>
    <n v="11"/>
    <n v="0.42"/>
    <x v="133"/>
    <n v="72"/>
    <x v="230"/>
    <n v="22"/>
    <n v="3.2727272727272729"/>
    <n v="52.8"/>
    <n v="56.072727272727271"/>
    <n v="37.304594978683092"/>
    <n v="215.30080530554241"/>
    <s v="A"/>
  </r>
  <r>
    <x v="1"/>
    <s v="PASSEIO"/>
    <s v="ÓLEO"/>
    <s v="TOP TURBO"/>
    <s v="CAIXA "/>
    <n v="624"/>
    <x v="82"/>
    <n v="70"/>
    <n v="120"/>
    <n v="50"/>
    <n v="11"/>
    <n v="0.42"/>
    <x v="133"/>
    <n v="72"/>
    <x v="231"/>
    <n v="22"/>
    <n v="3.2727272727272729"/>
    <n v="52.8"/>
    <n v="56.072727272727271"/>
    <n v="33.254381809568926"/>
    <n v="248.55518711511132"/>
    <s v="A"/>
  </r>
  <r>
    <x v="1"/>
    <s v="PASSEIO"/>
    <s v="PNEU"/>
    <s v="165/70R13 F600"/>
    <s v="PEÇA"/>
    <n v="400"/>
    <x v="83"/>
    <n v="56"/>
    <n v="56"/>
    <n v="17"/>
    <n v="6"/>
    <n v="5.3311999999999998E-2"/>
    <x v="135"/>
    <n v="95"/>
    <x v="232"/>
    <n v="22"/>
    <n v="4.3181818181818183"/>
    <n v="69.666666666666657"/>
    <n v="73.98484848484847"/>
    <n v="28.126480341070582"/>
    <n v="276.68166745618191"/>
    <s v="A"/>
  </r>
  <r>
    <x v="1"/>
    <s v="PASSEIO"/>
    <s v="PNEU"/>
    <s v="165-380 ALFA"/>
    <s v="PEÇA"/>
    <n v="365"/>
    <x v="80"/>
    <n v="56.12"/>
    <n v="56.12"/>
    <n v="16.5"/>
    <n v="5"/>
    <n v="5.1965997599999994E-2"/>
    <x v="136"/>
    <n v="100"/>
    <x v="233"/>
    <n v="22"/>
    <n v="4.5454545454545459"/>
    <n v="73.333333333333343"/>
    <n v="77.87878787878789"/>
    <n v="27.016224538133585"/>
    <n v="303.69789199431551"/>
    <s v="A"/>
  </r>
  <r>
    <x v="1"/>
    <s v="PASSEIO"/>
    <s v="PNEU"/>
    <s v="205/60R16 CONTACT"/>
    <s v="PEÇA"/>
    <n v="500"/>
    <x v="84"/>
    <n v="65"/>
    <n v="65"/>
    <n v="20"/>
    <n v="10"/>
    <n v="8.4500000000000006E-2"/>
    <x v="137"/>
    <n v="72"/>
    <x v="234"/>
    <n v="22"/>
    <n v="3.2727272727272729"/>
    <n v="52.8"/>
    <n v="56.072727272727271"/>
    <n v="26.646139270487922"/>
    <n v="330.34403126480345"/>
    <s v="A"/>
  </r>
  <r>
    <x v="1"/>
    <s v="PASSEIO"/>
    <s v="PNEU"/>
    <s v="175/70R13 FORMULA"/>
    <s v="PEÇA"/>
    <n v="400"/>
    <x v="80"/>
    <n v="57.52"/>
    <n v="57.52"/>
    <n v="17.5"/>
    <n v="6"/>
    <n v="5.7899632000000006E-2"/>
    <x v="138"/>
    <n v="72"/>
    <x v="235"/>
    <n v="22"/>
    <n v="3.2727272727272729"/>
    <n v="52.8"/>
    <n v="56.072727272727271"/>
    <n v="21.316911416390337"/>
    <n v="351.66094268119377"/>
    <s v="A"/>
  </r>
  <r>
    <x v="1"/>
    <s v="PASSEIO"/>
    <s v="PNEU"/>
    <s v="165/70R13 CINTURATO"/>
    <s v="PEÇA"/>
    <n v="300"/>
    <x v="80"/>
    <n v="56.12"/>
    <n v="56.12"/>
    <n v="16.5"/>
    <n v="6"/>
    <n v="5.1965997599999994E-2"/>
    <x v="139"/>
    <n v="90"/>
    <x v="236"/>
    <n v="22"/>
    <n v="4.0909090909090908"/>
    <n v="66"/>
    <n v="70.090909090909093"/>
    <n v="19.984604452865941"/>
    <n v="371.64554713405971"/>
    <s v="A"/>
  </r>
  <r>
    <x v="1"/>
    <s v="PASSEIO"/>
    <s v="PNEU"/>
    <s v="185/60R14 82H"/>
    <s v="PEÇA"/>
    <n v="350"/>
    <x v="85"/>
    <n v="58"/>
    <n v="58"/>
    <n v="11"/>
    <n v="7.31"/>
    <n v="3.7004000000000002E-2"/>
    <x v="140"/>
    <n v="72"/>
    <x v="237"/>
    <n v="22"/>
    <n v="3.2727272727272729"/>
    <n v="52.8"/>
    <n v="56.072727272727271"/>
    <n v="18.652297489341546"/>
    <n v="390.29784462340126"/>
    <s v="A"/>
  </r>
  <r>
    <x v="1"/>
    <s v="PASSEIO"/>
    <s v="PNEU"/>
    <s v="165/70R13 SPIDER"/>
    <s v="PEÇA"/>
    <n v="190"/>
    <x v="80"/>
    <n v="56.12"/>
    <n v="56.12"/>
    <n v="16.5"/>
    <n v="5"/>
    <n v="5.1965997599999994E-2"/>
    <x v="136"/>
    <n v="100"/>
    <x v="123"/>
    <n v="22"/>
    <n v="4.5454545454545459"/>
    <n v="73.333333333333343"/>
    <n v="77.87878787878789"/>
    <n v="14.063240170535291"/>
    <n v="404.36108479393653"/>
    <s v="B"/>
  </r>
  <r>
    <x v="1"/>
    <s v="PASSEIO"/>
    <s v="BATERIA"/>
    <s v="MI70KD"/>
    <s v="PEÇA"/>
    <n v="445"/>
    <x v="86"/>
    <n v="15"/>
    <n v="30"/>
    <n v="15"/>
    <n v="5"/>
    <n v="6.7499999999999999E-3"/>
    <x v="141"/>
    <n v="40"/>
    <x v="238"/>
    <n v="22"/>
    <n v="1.8181818181818181"/>
    <n v="29.333333333333332"/>
    <n v="31.151515151515149"/>
    <n v="13.175035528185694"/>
    <n v="417.5361203221222"/>
    <s v="B"/>
  </r>
  <r>
    <x v="1"/>
    <s v="PASSEIO"/>
    <s v="PNEU"/>
    <s v="205/65 R15 TIMBER"/>
    <s v="PEÇA"/>
    <n v="200"/>
    <x v="87"/>
    <n v="65"/>
    <n v="65"/>
    <n v="21"/>
    <n v="10.43"/>
    <n v="8.8724999999999998E-2"/>
    <x v="142"/>
    <n v="72"/>
    <x v="239"/>
    <n v="22"/>
    <n v="3.2727272727272729"/>
    <n v="52.8"/>
    <n v="56.072727272727271"/>
    <n v="10.658455708195168"/>
    <n v="428.19457603031736"/>
    <s v="B"/>
  </r>
  <r>
    <x v="1"/>
    <s v="PASSEIO"/>
    <s v="PNEU"/>
    <s v="195/55R16 ENERGY"/>
    <s v="PEÇA"/>
    <n v="200"/>
    <x v="88"/>
    <n v="60"/>
    <n v="65"/>
    <n v="20"/>
    <n v="9"/>
    <n v="7.8E-2"/>
    <x v="143"/>
    <n v="72"/>
    <x v="239"/>
    <n v="22"/>
    <n v="3.2727272727272729"/>
    <n v="52.8"/>
    <n v="56.072727272727271"/>
    <n v="10.658455708195168"/>
    <n v="438.85303173851253"/>
    <s v="B"/>
  </r>
  <r>
    <x v="1"/>
    <s v="PASSEIO"/>
    <s v="BATERIA"/>
    <s v="MI60GD"/>
    <s v="PEÇA"/>
    <n v="350"/>
    <x v="86"/>
    <n v="15"/>
    <n v="30"/>
    <n v="15"/>
    <n v="5"/>
    <n v="6.7499999999999999E-3"/>
    <x v="141"/>
    <n v="40"/>
    <x v="240"/>
    <n v="22"/>
    <n v="1.8181818181818181"/>
    <n v="29.333333333333332"/>
    <n v="31.151515151515149"/>
    <n v="10.362387494078636"/>
    <n v="449.21541923259116"/>
    <s v="C"/>
  </r>
  <r>
    <x v="1"/>
    <s v="PASSEIO"/>
    <s v="PNEU"/>
    <s v="195/60 R15 88H"/>
    <s v="PEÇA"/>
    <n v="190"/>
    <x v="88"/>
    <n v="60"/>
    <n v="60"/>
    <n v="20"/>
    <n v="9"/>
    <n v="7.1999999999999995E-2"/>
    <x v="144"/>
    <n v="72"/>
    <x v="241"/>
    <n v="22"/>
    <n v="3.2727272727272729"/>
    <n v="52.8"/>
    <n v="56.072727272727271"/>
    <n v="10.125532922785411"/>
    <n v="459.34095215537656"/>
    <s v="C"/>
  </r>
  <r>
    <x v="1"/>
    <s v="PASSEIO"/>
    <s v="BATERIA"/>
    <s v="MI50JD"/>
    <s v="PEÇA"/>
    <n v="290"/>
    <x v="86"/>
    <n v="15"/>
    <n v="30"/>
    <n v="15"/>
    <n v="5"/>
    <n v="6.7499999999999999E-3"/>
    <x v="141"/>
    <n v="40"/>
    <x v="242"/>
    <n v="22"/>
    <n v="1.8181818181818181"/>
    <n v="29.333333333333332"/>
    <n v="31.151515151515149"/>
    <n v="8.5859782093794408"/>
    <n v="467.926930364756"/>
    <s v="C"/>
  </r>
  <r>
    <x v="1"/>
    <s v="PASSEIO"/>
    <s v="BATERIA"/>
    <s v="M40-SD"/>
    <s v="PEÇA"/>
    <n v="245"/>
    <x v="86"/>
    <n v="15"/>
    <n v="30"/>
    <n v="15"/>
    <n v="5"/>
    <n v="6.7499999999999999E-3"/>
    <x v="141"/>
    <n v="40"/>
    <x v="243"/>
    <n v="22"/>
    <n v="1.8181818181818181"/>
    <n v="29.333333333333332"/>
    <n v="31.151515151515149"/>
    <n v="7.2536712458550454"/>
    <n v="475.18060161061106"/>
    <s v="C"/>
  </r>
  <r>
    <x v="1"/>
    <s v="PASSEIO"/>
    <s v="BATERIA"/>
    <s v="MP135BD"/>
    <s v="PEÇA"/>
    <n v="210"/>
    <x v="86"/>
    <n v="15"/>
    <n v="30"/>
    <n v="15"/>
    <n v="5"/>
    <n v="6.7499999999999999E-3"/>
    <x v="141"/>
    <n v="40"/>
    <x v="244"/>
    <n v="22"/>
    <n v="1.8181818181818181"/>
    <n v="29.333333333333332"/>
    <n v="31.151515151515149"/>
    <n v="6.2174324964471817"/>
    <n v="481.39803410705827"/>
    <s v="C"/>
  </r>
  <r>
    <x v="2"/>
    <s v="FORNO E FOGÃO"/>
    <s v="COOK TOP"/>
    <s v="IC60"/>
    <s v="CAIXA"/>
    <n v="2199"/>
    <x v="89"/>
    <n v="6.5"/>
    <n v="52"/>
    <n v="59"/>
    <n v="11.1"/>
    <n v="1.9942000000000001E-2"/>
    <x v="145"/>
    <n v="597"/>
    <x v="245"/>
    <n v="40"/>
    <n v="14.925000000000001"/>
    <n v="796"/>
    <n v="810.92499999999995"/>
    <n v="971.69809924206538"/>
    <n v="971.69809924206538"/>
    <s v="A"/>
  </r>
  <r>
    <x v="2"/>
    <s v="CLIMATIZAÇÃO"/>
    <s v="AR CONDICIONADO 22500 BTU"/>
    <s v="AC 0004"/>
    <s v="UNIDADE"/>
    <n v="871"/>
    <x v="90"/>
    <n v="50"/>
    <n v="80"/>
    <n v="75"/>
    <n v="46"/>
    <n v="0.3"/>
    <x v="146"/>
    <n v="1300"/>
    <x v="246"/>
    <n v="40"/>
    <n v="32.5"/>
    <n v="1733.3333333333335"/>
    <n v="1765.8333333333335"/>
    <n v="838.09509711037424"/>
    <n v="1809.7931963524397"/>
    <s v="A"/>
  </r>
  <r>
    <x v="2"/>
    <s v="FORNO E FOGÃO"/>
    <s v="COIFA"/>
    <s v="90CIT"/>
    <s v="CAIXA"/>
    <n v="4059"/>
    <x v="89"/>
    <n v="109"/>
    <n v="50"/>
    <n v="90"/>
    <n v="27.9"/>
    <n v="0.49049999999999999"/>
    <x v="147"/>
    <n v="250"/>
    <x v="247"/>
    <n v="40"/>
    <n v="6.25"/>
    <n v="333.33333333333337"/>
    <n v="339.58333333333337"/>
    <n v="751.08805068687832"/>
    <n v="2560.8812470393182"/>
    <s v="A"/>
  </r>
  <r>
    <x v="2"/>
    <s v="FORNO E FOGÃO"/>
    <s v="COIFA"/>
    <s v="90BS"/>
    <s v="CAIXA"/>
    <n v="3109"/>
    <x v="89"/>
    <n v="133.19999999999999"/>
    <n v="40"/>
    <n v="90"/>
    <n v="28"/>
    <n v="0.47951999999999995"/>
    <x v="148"/>
    <n v="300"/>
    <x v="248"/>
    <n v="40"/>
    <n v="7.5"/>
    <n v="400"/>
    <n v="407.5"/>
    <n v="690.35705826622461"/>
    <n v="3251.2383053055428"/>
    <s v="A"/>
  </r>
  <r>
    <x v="2"/>
    <s v="PORTATEIS PARA BELEZA"/>
    <s v="BARBEADOR"/>
    <s v="BARBEADOR SENSO TOUCH 3D PHILIPS WET &amp; DRY RQ1285/17 BIVOLT"/>
    <s v="CAIXA"/>
    <n v="630"/>
    <x v="91"/>
    <n v="20"/>
    <n v="7"/>
    <n v="15"/>
    <n v="0.32300000000000001"/>
    <n v="2.0999999999999999E-3"/>
    <x v="149"/>
    <n v="1440"/>
    <x v="249"/>
    <n v="10"/>
    <n v="144"/>
    <n v="480"/>
    <n v="624"/>
    <n v="671.48270961629567"/>
    <n v="3922.7210149218386"/>
    <s v="A"/>
  </r>
  <r>
    <x v="2"/>
    <s v="LINHA BRANCA"/>
    <s v="REFRIGERADOR FROST FREE"/>
    <s v="100664"/>
    <s v="PEÇA"/>
    <n v="2429.1"/>
    <x v="92"/>
    <n v="189"/>
    <n v="68.2"/>
    <n v="71.099999999999994"/>
    <n v="92"/>
    <n v="0.91646477999999987"/>
    <x v="150"/>
    <n v="350"/>
    <x v="250"/>
    <n v="30"/>
    <n v="11.666666666666666"/>
    <n v="350"/>
    <n v="361.66666666666669"/>
    <n v="629.28188654666042"/>
    <n v="4552.0029014684987"/>
    <s v="A"/>
  </r>
  <r>
    <x v="2"/>
    <s v="FORNO E FOGÃO"/>
    <s v="COIFA"/>
    <s v="90CT"/>
    <s v="CAIXA"/>
    <n v="2159"/>
    <x v="89"/>
    <n v="114.5"/>
    <n v="50"/>
    <n v="90"/>
    <n v="19"/>
    <n v="0.51524999999999999"/>
    <x v="151"/>
    <n v="350"/>
    <x v="251"/>
    <n v="40"/>
    <n v="8.75"/>
    <n v="466.66666666666663"/>
    <n v="475.41666666666663"/>
    <n v="559.3098649928944"/>
    <n v="5111.312766461393"/>
    <s v="A"/>
  </r>
  <r>
    <x v="2"/>
    <s v="FORNO E FOGÃO"/>
    <s v="MICROONDAS"/>
    <s v="MB38X"/>
    <s v="CAIXA"/>
    <n v="2119"/>
    <x v="89"/>
    <n v="32.6"/>
    <n v="45.1"/>
    <n v="52"/>
    <n v="18"/>
    <n v="7.6453520000000025E-2"/>
    <x v="152"/>
    <n v="350"/>
    <x v="252"/>
    <n v="40"/>
    <n v="8.75"/>
    <n v="466.66666666666663"/>
    <n v="475.41666666666663"/>
    <n v="548.94747749881572"/>
    <n v="5660.2602439602088"/>
    <s v="A"/>
  </r>
  <r>
    <x v="2"/>
    <s v="CLIMATIZAÇÃO"/>
    <s v="AR CONDICIONADO DIGITAL 18000 BTUS"/>
    <s v="ACD 0001"/>
    <s v="UNIDADE"/>
    <n v="497.185"/>
    <x v="93"/>
    <n v="40"/>
    <n v="75"/>
    <n v="60"/>
    <n v="38"/>
    <n v="0.18"/>
    <x v="153"/>
    <n v="1300"/>
    <x v="253"/>
    <n v="40"/>
    <n v="32.5"/>
    <n v="1733.3333333333335"/>
    <n v="1765.8333333333335"/>
    <n v="478.40219386546664"/>
    <n v="6138.6624378256756"/>
    <s v="A"/>
  </r>
  <r>
    <x v="2"/>
    <s v="FORNO E FOGÃO"/>
    <s v="COIFA"/>
    <s v="60CV"/>
    <s v="CAIXA"/>
    <n v="1439"/>
    <x v="89"/>
    <n v="113"/>
    <n v="50"/>
    <n v="60"/>
    <n v="15.5"/>
    <n v="0.33900000000000002"/>
    <x v="154"/>
    <n v="394"/>
    <x v="254"/>
    <n v="40"/>
    <n v="9.85"/>
    <n v="525.33333333333326"/>
    <n v="535.18333333333328"/>
    <n v="419.65152771198484"/>
    <n v="6558.3139655376608"/>
    <s v="A"/>
  </r>
  <r>
    <x v="2"/>
    <s v="CLIMATIZAÇÃO"/>
    <s v="AR CONDICIONADO SPLIT CYCLONE 7500 BTU"/>
    <s v="ACSC001"/>
    <s v="UNIDADE"/>
    <n v="422.37"/>
    <x v="94"/>
    <n v="35"/>
    <n v="40"/>
    <n v="80"/>
    <n v="40"/>
    <n v="0.112"/>
    <x v="155"/>
    <n v="1300"/>
    <x v="255"/>
    <n v="40"/>
    <n v="32.5"/>
    <n v="1733.3333333333335"/>
    <n v="1765.8333333333335"/>
    <n v="406.41357768829937"/>
    <n v="6964.7275432259603"/>
    <s v="A"/>
  </r>
  <r>
    <x v="2"/>
    <s v="PORTATEIS PARA BELEZA"/>
    <s v="BARBEADOR"/>
    <s v="BARBEADOR SENSO TOUCH PHILIPS WET &amp; DRY RQ 1145/17 BIVOLT"/>
    <s v="CAIXA"/>
    <n v="377"/>
    <x v="91"/>
    <n v="20"/>
    <n v="7"/>
    <n v="15"/>
    <n v="0.32300000000000001"/>
    <n v="2.0999999999999999E-3"/>
    <x v="149"/>
    <n v="1440"/>
    <x v="256"/>
    <n v="10"/>
    <n v="144"/>
    <n v="480"/>
    <n v="624"/>
    <n v="401.82378019895788"/>
    <n v="7366.5513234249183"/>
    <s v="A"/>
  </r>
  <r>
    <x v="2"/>
    <s v="FORNO E FOGÃO"/>
    <s v="FORNO ELÉTRICO"/>
    <s v="FB54"/>
    <s v="UNIDADE"/>
    <n v="999"/>
    <x v="89"/>
    <n v="47.9"/>
    <n v="43.1"/>
    <n v="53.5"/>
    <n v="15.9"/>
    <n v="0.11045021499999999"/>
    <x v="156"/>
    <n v="461"/>
    <x v="257"/>
    <n v="40"/>
    <n v="11.525"/>
    <n v="614.66666666666674"/>
    <n v="626.19166666666672"/>
    <n v="340.87739815253434"/>
    <n v="7707.428721577453"/>
    <s v="A"/>
  </r>
  <r>
    <x v="2"/>
    <s v="PORTÁTEIS DE COZINHA"/>
    <s v="MULTIPROCESSADOR PLAZA HÉRCULES"/>
    <s v="664139"/>
    <s v="CAIXA INDIVIDUAL"/>
    <n v="429.99"/>
    <x v="95"/>
    <n v="8"/>
    <n v="23"/>
    <n v="21"/>
    <n v="1.5"/>
    <n v="3.8639999999999998E-3"/>
    <x v="157"/>
    <n v="1000"/>
    <x v="258"/>
    <n v="30"/>
    <n v="33.333333333333336"/>
    <n v="1000.0000000000001"/>
    <n v="1033.3333333333335"/>
    <n v="318.26592846991946"/>
    <n v="8025.6946500473723"/>
    <s v="A"/>
  </r>
  <r>
    <x v="2"/>
    <s v="PORTÁTEIS DE COZINHA"/>
    <s v="MULTIPROCESSADOR EFFICACE PLUS"/>
    <s v="667139"/>
    <s v="CAIXA INDIVIDUAL"/>
    <n v="399"/>
    <x v="95"/>
    <n v="37"/>
    <n v="23"/>
    <n v="21"/>
    <n v="1.2"/>
    <n v="1.7871000000000001E-2"/>
    <x v="158"/>
    <n v="1000"/>
    <x v="259"/>
    <n v="30"/>
    <n v="33.333333333333336"/>
    <n v="1000.0000000000001"/>
    <n v="1033.3333333333335"/>
    <n v="295.3280435812411"/>
    <n v="8321.0226936286126"/>
    <s v="A"/>
  </r>
  <r>
    <x v="2"/>
    <s v="PORTATEIS PARA BELEZA"/>
    <s v="MODELADOR"/>
    <s v="MODELADOR AUTOMÁTICO DE CACHOS MONDIAL ULTIMATE CURL MCA-01 "/>
    <s v="CAIXA"/>
    <n v="404.1"/>
    <x v="96"/>
    <n v="10"/>
    <n v="30"/>
    <n v="8"/>
    <n v="0.89"/>
    <n v="2.3999999999999998E-3"/>
    <x v="159"/>
    <n v="960"/>
    <x v="260"/>
    <n v="10"/>
    <n v="96"/>
    <n v="320"/>
    <n v="416"/>
    <n v="287.13879677877782"/>
    <n v="8608.1614904073904"/>
    <s v="A"/>
  </r>
  <r>
    <x v="2"/>
    <s v="CLIMATIZAÇÃO"/>
    <s v="AR CONDICIONADO COM SAÍDA DUPLA DE AR 17500 BTU"/>
    <s v="AC DA001"/>
    <s v="UNIDADE"/>
    <n v="286.26"/>
    <x v="97"/>
    <n v="40"/>
    <n v="80"/>
    <n v="60"/>
    <n v="35"/>
    <n v="0.192"/>
    <x v="160"/>
    <n v="1300"/>
    <x v="261"/>
    <n v="40"/>
    <n v="32.5"/>
    <n v="1733.3333333333335"/>
    <n v="1765.8333333333335"/>
    <n v="275.44558266224539"/>
    <n v="8883.6070730696356"/>
    <s v="A"/>
  </r>
  <r>
    <x v="2"/>
    <s v="PORTATEIS PARA BELEZA"/>
    <s v="SECADOR"/>
    <s v="SECADOR DE CABELO TAIFF TITANIUM COLORS PINK - 2100W "/>
    <s v="CAIXA"/>
    <n v="359"/>
    <x v="98"/>
    <n v="10"/>
    <n v="30"/>
    <n v="8"/>
    <n v="0.89"/>
    <n v="2.3999999999999998E-3"/>
    <x v="159"/>
    <n v="960"/>
    <x v="262"/>
    <n v="10"/>
    <n v="96"/>
    <n v="320"/>
    <n v="416"/>
    <n v="255.09237328280437"/>
    <n v="9138.6994463524406"/>
    <s v="A"/>
  </r>
  <r>
    <x v="2"/>
    <s v="LINHA BRANCA"/>
    <s v="SECADORA DE ROUPAS"/>
    <s v="201288"/>
    <s v="PEÇA"/>
    <n v="1275"/>
    <x v="99"/>
    <n v="59"/>
    <n v="84"/>
    <n v="55"/>
    <n v="35"/>
    <n v="0.27257999999999999"/>
    <x v="161"/>
    <n v="260"/>
    <x v="263"/>
    <n v="30"/>
    <n v="8.6666666666666661"/>
    <n v="260"/>
    <n v="268.66666666666669"/>
    <n v="245.36653244907626"/>
    <n v="9384.0659788015164"/>
    <s v="A"/>
  </r>
  <r>
    <x v="2"/>
    <s v="FORNO E FOGÃO"/>
    <s v="FORNO ELÉTRICO"/>
    <s v="FB54T"/>
    <s v="UNIDADE"/>
    <n v="1099"/>
    <x v="89"/>
    <n v="47.9"/>
    <n v="43.1"/>
    <n v="53.5"/>
    <n v="15.9"/>
    <n v="0.11045021499999999"/>
    <x v="162"/>
    <n v="300"/>
    <x v="264"/>
    <n v="40"/>
    <n v="7.5"/>
    <n v="400"/>
    <n v="407.5"/>
    <n v="244.03422548555187"/>
    <n v="9628.1002042870678"/>
    <s v="A"/>
  </r>
  <r>
    <x v="2"/>
    <s v="PORTATEIS PARA BELEZA"/>
    <s v="SECADOR"/>
    <s v="SECADOR TAIFF BLACK - 1700W"/>
    <s v="CAIXA"/>
    <n v="339.3"/>
    <x v="98"/>
    <n v="10"/>
    <n v="30"/>
    <n v="8"/>
    <n v="0.89"/>
    <n v="2.3999999999999998E-3"/>
    <x v="159"/>
    <n v="960"/>
    <x v="265"/>
    <n v="10"/>
    <n v="96"/>
    <n v="320"/>
    <n v="416"/>
    <n v="241.0942681193747"/>
    <n v="9869.1944724064433"/>
    <s v="A"/>
  </r>
  <r>
    <x v="2"/>
    <s v="PORTATEIS PARA BELEZA"/>
    <s v="CHAPINHA"/>
    <s v="PRANCHA TAIFF TITANIUM 450 COLORS - 58W "/>
    <s v="CAIXA"/>
    <n v="339"/>
    <x v="98"/>
    <n v="4.5"/>
    <n v="4"/>
    <n v="30"/>
    <n v="0.46300000000000002"/>
    <n v="5.4000000000000001E-4"/>
    <x v="163"/>
    <n v="960"/>
    <x v="266"/>
    <n v="10"/>
    <n v="96"/>
    <n v="320"/>
    <n v="416"/>
    <n v="240.88109900521081"/>
    <n v="10110.075571411655"/>
    <s v="A"/>
  </r>
  <r>
    <x v="2"/>
    <s v="PORTATEIS PARA BELEZA"/>
    <s v="CHAPINHA"/>
    <s v="PRANCHA TAIFF LOOK ALISA E MODELA - 48W "/>
    <s v="CAIXA"/>
    <n v="219"/>
    <x v="98"/>
    <n v="4.5"/>
    <n v="4"/>
    <n v="30"/>
    <n v="0.46300000000000002"/>
    <n v="5.4000000000000001E-4"/>
    <x v="164"/>
    <n v="1440"/>
    <x v="267"/>
    <n v="10"/>
    <n v="144"/>
    <n v="480"/>
    <n v="624"/>
    <n v="233.42018000947419"/>
    <n v="10343.495751421129"/>
    <s v="A"/>
  </r>
  <r>
    <x v="2"/>
    <s v="PORTÁTEIS DE COZINHA"/>
    <s v="MULTIPROCESSADOR EFICACE PLUS "/>
    <s v="625979"/>
    <s v="CAIXA INDIVIDUAL"/>
    <n v="299"/>
    <x v="95"/>
    <n v="21"/>
    <n v="16"/>
    <n v="16"/>
    <n v="1.3"/>
    <n v="5.3759999999999997E-3"/>
    <x v="165"/>
    <n v="1000"/>
    <x v="268"/>
    <n v="30"/>
    <n v="33.333333333333336"/>
    <n v="1000.0000000000001"/>
    <n v="1033.3333333333335"/>
    <n v="221.31099005210802"/>
    <n v="10564.806741473238"/>
    <s v="A"/>
  </r>
  <r>
    <x v="2"/>
    <s v="LINHA BRANCA"/>
    <s v="LAVA LOUÇAS ATIVE"/>
    <s v="117044"/>
    <s v="PEÇA"/>
    <n v="1120"/>
    <x v="92"/>
    <n v="62"/>
    <n v="59"/>
    <n v="51"/>
    <n v="30"/>
    <n v="0.186558"/>
    <x v="166"/>
    <n v="260"/>
    <x v="269"/>
    <n v="30"/>
    <n v="8.6666666666666661"/>
    <n v="260"/>
    <n v="268.66666666666669"/>
    <n v="215.53765987683562"/>
    <n v="10780.344401350074"/>
    <s v="A"/>
  </r>
  <r>
    <x v="2"/>
    <s v="LINHA BRANCA"/>
    <s v="LAVADORA DE ROUPAS FACILITE"/>
    <s v="105124"/>
    <s v="PEÇA"/>
    <n v="1099.1199999999999"/>
    <x v="97"/>
    <n v="100"/>
    <n v="65"/>
    <n v="61"/>
    <n v="36"/>
    <n v="0.39650000000000002"/>
    <x v="167"/>
    <n v="260"/>
    <x v="270"/>
    <n v="30"/>
    <n v="8.6666666666666661"/>
    <n v="260"/>
    <n v="268.66666666666669"/>
    <n v="211.51942207484601"/>
    <n v="10991.863823424919"/>
    <s v="A"/>
  </r>
  <r>
    <x v="2"/>
    <s v="LINHA BRANCA"/>
    <s v="LAVA LOUÇAS 8 SERVIÇOS "/>
    <s v="177042"/>
    <s v="PEÇA"/>
    <n v="1011"/>
    <x v="92"/>
    <n v="62"/>
    <n v="59"/>
    <n v="51"/>
    <n v="30"/>
    <n v="0.186558"/>
    <x v="166"/>
    <n v="260"/>
    <x v="271"/>
    <n v="30"/>
    <n v="8.6666666666666661"/>
    <n v="260"/>
    <n v="268.66666666666669"/>
    <n v="194.56122690667931"/>
    <n v="11186.425050331598"/>
    <s v="A"/>
  </r>
  <r>
    <x v="2"/>
    <s v="FORNO E FOGÃO"/>
    <s v="MICROONDAS"/>
    <s v="MA30S"/>
    <s v="CAIXA"/>
    <n v="389"/>
    <x v="89"/>
    <n v="28.9"/>
    <n v="34.1"/>
    <n v="46.1"/>
    <n v="11.4"/>
    <n v="4.5431089000000008E-2"/>
    <x v="168"/>
    <n v="670"/>
    <x v="272"/>
    <n v="40"/>
    <n v="16.75"/>
    <n v="893.33333333333326"/>
    <n v="910.08333333333326"/>
    <n v="192.91064661297963"/>
    <n v="11379.335696944578"/>
    <s v="A"/>
  </r>
  <r>
    <x v="2"/>
    <s v="FORNO E FOGÃO"/>
    <s v="FOGÃO A GÁS"/>
    <s v="50SPB"/>
    <s v="CAIXA"/>
    <n v="769"/>
    <x v="89"/>
    <n v="92.9"/>
    <n v="59.1"/>
    <n v="51.2"/>
    <n v="25"/>
    <n v="0.28110796800000004"/>
    <x v="169"/>
    <n v="320"/>
    <x v="273"/>
    <n v="40"/>
    <n v="8"/>
    <n v="426.66666666666663"/>
    <n v="434.66666666666663"/>
    <n v="182.14116532449077"/>
    <n v="11561.476862269068"/>
    <s v="A"/>
  </r>
  <r>
    <x v="2"/>
    <s v="FORNO E FOGÃO"/>
    <s v="FOGÃO A GÁS"/>
    <s v="56DTX"/>
    <s v="CAIXA"/>
    <n v="1849"/>
    <x v="89"/>
    <n v="93"/>
    <n v="68.7"/>
    <n v="56.2"/>
    <n v="50"/>
    <n v="0.35906742000000003"/>
    <x v="170"/>
    <n v="130"/>
    <x v="274"/>
    <n v="40"/>
    <n v="3.25"/>
    <n v="173.33333333333331"/>
    <n v="176.58333333333331"/>
    <n v="177.91479156797726"/>
    <n v="11739.391653837045"/>
    <s v="B"/>
  </r>
  <r>
    <x v="2"/>
    <s v="FORNO E FOGÃO"/>
    <s v="FOGÃO A GÁS"/>
    <s v="56EFX"/>
    <s v="CAIXA"/>
    <n v="2199"/>
    <x v="89"/>
    <n v="67"/>
    <n v="71.7"/>
    <n v="60"/>
    <n v="45"/>
    <n v="0.28823399999999999"/>
    <x v="171"/>
    <n v="105"/>
    <x v="275"/>
    <n v="40"/>
    <n v="2.625"/>
    <n v="140"/>
    <n v="142.625"/>
    <n v="170.90167574609191"/>
    <n v="11910.293329583137"/>
    <s v="B"/>
  </r>
  <r>
    <x v="2"/>
    <s v="FORNO E FOGÃO"/>
    <s v="FORNO ELÉTRICO"/>
    <s v="FB54B"/>
    <s v="UNIDADE"/>
    <n v="659"/>
    <x v="89"/>
    <n v="47.9"/>
    <n v="43.1"/>
    <n v="53.5"/>
    <n v="15.9"/>
    <n v="0.11045021499999999"/>
    <x v="172"/>
    <n v="350"/>
    <x v="276"/>
    <n v="40"/>
    <n v="8.75"/>
    <n v="466.66666666666663"/>
    <n v="475.41666666666663"/>
    <n v="170.72033396494552"/>
    <n v="12081.013663548083"/>
    <s v="B"/>
  </r>
  <r>
    <x v="2"/>
    <s v="FORNO E FOGÃO"/>
    <s v="COIFA"/>
    <s v="60CT"/>
    <s v="CAIXA"/>
    <n v="1799"/>
    <x v="89"/>
    <n v="114.5"/>
    <n v="50"/>
    <n v="60"/>
    <n v="16.2"/>
    <n v="0.34350000000000003"/>
    <x v="173"/>
    <n v="120"/>
    <x v="277"/>
    <n v="40"/>
    <n v="3"/>
    <n v="160"/>
    <n v="163"/>
    <n v="159.78801515869256"/>
    <n v="12240.801678706775"/>
    <s v="B"/>
  </r>
  <r>
    <x v="2"/>
    <s v="FORNO E FOGÃO"/>
    <s v="FOGÃO A GÁS"/>
    <s v="50SS"/>
    <s v="CAIXA"/>
    <n v="719"/>
    <x v="89"/>
    <n v="92.9"/>
    <n v="59.1"/>
    <n v="51.2"/>
    <n v="25"/>
    <n v="0.28110796800000004"/>
    <x v="174"/>
    <n v="300"/>
    <x v="278"/>
    <n v="40"/>
    <n v="7.5"/>
    <n v="400"/>
    <n v="407.5"/>
    <n v="159.65478446234013"/>
    <n v="12400.456463169116"/>
    <s v="B"/>
  </r>
  <r>
    <x v="2"/>
    <s v="FORNO E FOGÃO"/>
    <s v="FOGÃO A GÁS"/>
    <s v="50SB"/>
    <s v="CAIXA"/>
    <n v="769"/>
    <x v="89"/>
    <n v="92.9"/>
    <n v="59.1"/>
    <n v="51.2"/>
    <n v="25"/>
    <n v="0.28110796800000004"/>
    <x v="175"/>
    <n v="280"/>
    <x v="279"/>
    <n v="40"/>
    <n v="7"/>
    <n v="373.33333333333337"/>
    <n v="380.33333333333337"/>
    <n v="159.37351965892941"/>
    <n v="12559.829982828045"/>
    <s v="B"/>
  </r>
  <r>
    <x v="2"/>
    <s v="PORTATEIS PARA BELEZA"/>
    <s v="SECADOR"/>
    <s v="SECADOR TAIFF TOURMALINE ÍON CERÂMICA C/ EMISSÃO DE ÍONS - 2000W "/>
    <s v="CAIXA"/>
    <n v="219"/>
    <x v="98"/>
    <n v="10"/>
    <n v="30"/>
    <n v="8"/>
    <n v="0.89"/>
    <n v="2.3999999999999998E-3"/>
    <x v="159"/>
    <n v="960"/>
    <x v="280"/>
    <n v="10"/>
    <n v="96"/>
    <n v="320"/>
    <n v="416"/>
    <n v="155.61345333964945"/>
    <n v="12715.443436167694"/>
    <s v="B"/>
  </r>
  <r>
    <x v="2"/>
    <s v="PORTÁTEIS DE COZINHA"/>
    <s v="MULTIPROCESSADOR FULL FOR YOU"/>
    <s v="825979"/>
    <s v="CAIXA INDIVIDUAL"/>
    <n v="229"/>
    <x v="95"/>
    <n v="21"/>
    <n v="17"/>
    <n v="16"/>
    <n v="1.2"/>
    <n v="5.7120000000000001E-3"/>
    <x v="176"/>
    <n v="800"/>
    <x v="281"/>
    <n v="30"/>
    <n v="26.666666666666668"/>
    <n v="800"/>
    <n v="826.66666666666663"/>
    <n v="135.59924206537187"/>
    <n v="12851.042678233065"/>
    <s v="B"/>
  </r>
  <r>
    <x v="2"/>
    <s v="FORNO E FOGÃO"/>
    <s v="MICROONDAS"/>
    <s v="MEF33"/>
    <s v="CAIXA"/>
    <n v="389"/>
    <x v="89"/>
    <n v="29.7"/>
    <n v="37.9"/>
    <n v="48.7"/>
    <n v="13.7"/>
    <n v="5.4818180999999994E-2"/>
    <x v="177"/>
    <n v="461"/>
    <x v="282"/>
    <n v="40"/>
    <n v="11.525"/>
    <n v="614.66666666666674"/>
    <n v="626.19166666666672"/>
    <n v="132.73404192325913"/>
    <n v="12983.776720156324"/>
    <s v="B"/>
  </r>
  <r>
    <x v="2"/>
    <s v="FORNO E FOGÃO"/>
    <s v="FOGÃO A GÁS"/>
    <s v="56DB"/>
    <s v="CAIXA"/>
    <n v="1299"/>
    <x v="89"/>
    <n v="93"/>
    <n v="68.7"/>
    <n v="56.2"/>
    <n v="47"/>
    <n v="0.35906742000000003"/>
    <x v="170"/>
    <n v="130"/>
    <x v="283"/>
    <n v="40"/>
    <n v="3.25"/>
    <n v="173.33333333333331"/>
    <n v="176.58333333333331"/>
    <n v="124.9925982946471"/>
    <n v="13108.769318450972"/>
    <s v="B"/>
  </r>
  <r>
    <x v="2"/>
    <s v="PORTÁTEIS DE COZINHA"/>
    <s v="MULTIPROCESSADOR PRATIC DELLAR"/>
    <s v="625979"/>
    <s v="CAIXA INDIVIDUAL"/>
    <n v="259.89999999999998"/>
    <x v="95"/>
    <n v="20"/>
    <n v="15"/>
    <n v="15.5"/>
    <n v="1.1000000000000001"/>
    <n v="4.6499999999999996E-3"/>
    <x v="178"/>
    <n v="640"/>
    <x v="284"/>
    <n v="30"/>
    <n v="21.333333333333332"/>
    <n v="640"/>
    <n v="661.33333333333337"/>
    <n v="123.11700615821886"/>
    <n v="13231.886324609191"/>
    <s v="B"/>
  </r>
  <r>
    <x v="2"/>
    <s v="FORNO E FOGÃO"/>
    <s v="FOGÃO A GÁS"/>
    <s v="50SX"/>
    <s v="CAIXA"/>
    <n v="869"/>
    <x v="89"/>
    <n v="92.9"/>
    <n v="59.1"/>
    <n v="51.2"/>
    <n v="25"/>
    <n v="0.28110796800000004"/>
    <x v="179"/>
    <n v="190"/>
    <x v="285"/>
    <n v="40"/>
    <n v="4.75"/>
    <n v="253.33333333333331"/>
    <n v="258.08333333333331"/>
    <n v="122.20955708195169"/>
    <n v="13354.095881691142"/>
    <s v="B"/>
  </r>
  <r>
    <x v="2"/>
    <s v="PORTATEIS PARA BELEZA"/>
    <s v="CHAPINHA"/>
    <s v="PRANCHA TAIFF RED ÍON - 42W "/>
    <s v="CAIXA"/>
    <n v="129"/>
    <x v="98"/>
    <n v="4.5"/>
    <n v="4"/>
    <n v="30"/>
    <n v="0.46300000000000002"/>
    <n v="5.4000000000000001E-4"/>
    <x v="180"/>
    <n v="1040"/>
    <x v="286"/>
    <n v="10"/>
    <n v="104"/>
    <n v="346.66666666666663"/>
    <n v="450.66666666666663"/>
    <n v="99.30127901468498"/>
    <n v="13453.397160705828"/>
    <s v="B"/>
  </r>
  <r>
    <x v="2"/>
    <s v="FORNO E FOGÃO"/>
    <s v="FOGÃO A LENHA"/>
    <s v="11555002"/>
    <s v="CAIXA"/>
    <n v="999"/>
    <x v="100"/>
    <n v="71.5"/>
    <n v="81.5"/>
    <n v="51"/>
    <n v="84"/>
    <n v="0.29718974999999997"/>
    <x v="181"/>
    <n v="130"/>
    <x v="287"/>
    <n v="40"/>
    <n v="3.25"/>
    <n v="173.33333333333331"/>
    <n v="176.58333333333331"/>
    <n v="96.125947418285179"/>
    <n v="13549.523108124113"/>
    <s v="B"/>
  </r>
  <r>
    <x v="2"/>
    <s v="PORTATEIS PARA BELEZA"/>
    <s v="BARBEADOR"/>
    <s v="BARBEADOR PHILCO PBA03 PRETO"/>
    <s v="CAIXA"/>
    <n v="89.1"/>
    <x v="101"/>
    <n v="20"/>
    <n v="7"/>
    <n v="15"/>
    <n v="0.32300000000000001"/>
    <n v="2.0999999999999999E-3"/>
    <x v="149"/>
    <n v="1440"/>
    <x v="288"/>
    <n v="10"/>
    <n v="144"/>
    <n v="480"/>
    <n v="624"/>
    <n v="94.966840360018935"/>
    <n v="13644.489948484132"/>
    <s v="B"/>
  </r>
  <r>
    <x v="2"/>
    <s v="PORTATEIS PARA BELEZA"/>
    <s v="CHAPINHA"/>
    <s v="PRANCHA TAIFF CERÂMICA BIVOLT PRETA - 42W "/>
    <s v="CAIXA"/>
    <n v="89"/>
    <x v="98"/>
    <n v="4.5"/>
    <n v="4"/>
    <n v="30"/>
    <n v="0.46300000000000002"/>
    <n v="5.4000000000000001E-4"/>
    <x v="164"/>
    <n v="1440"/>
    <x v="289"/>
    <n v="10"/>
    <n v="144"/>
    <n v="480"/>
    <n v="624"/>
    <n v="94.860255802937004"/>
    <n v="13739.35020428707"/>
    <s v="B"/>
  </r>
  <r>
    <x v="2"/>
    <s v="LINHA BRANCA"/>
    <s v="SECADORA DE ROUPAS A GÁS"/>
    <s v="10733"/>
    <s v="PEÇA"/>
    <n v="3519"/>
    <x v="90"/>
    <n v="107"/>
    <n v="84"/>
    <n v="74"/>
    <n v="61"/>
    <n v="0.66511200000000004"/>
    <x v="182"/>
    <n v="35"/>
    <x v="290"/>
    <n v="30"/>
    <n v="1.1666666666666667"/>
    <n v="35"/>
    <n v="36.166666666666664"/>
    <n v="91.163103979156801"/>
    <n v="13830.513308266227"/>
    <s v="B"/>
  </r>
  <r>
    <x v="2"/>
    <s v="FORNO E FOGÃO"/>
    <s v="FOGÃO A GÁS"/>
    <s v="52SPX"/>
    <s v="CAIXA"/>
    <n v="999"/>
    <x v="89"/>
    <n v="91.5"/>
    <n v="62.2"/>
    <n v="52.2"/>
    <n v="34.5"/>
    <n v="0.29708585999999998"/>
    <x v="183"/>
    <n v="120"/>
    <x v="291"/>
    <n v="40"/>
    <n v="3"/>
    <n v="160"/>
    <n v="163"/>
    <n v="88.731643770724773"/>
    <n v="13919.244952036952"/>
    <s v="B"/>
  </r>
  <r>
    <x v="2"/>
    <s v="CLIMATIZAÇÃO"/>
    <s v="CIRCULADOR DE AR TURBO PREMIUM"/>
    <s v="CA TP001"/>
    <s v="UNIDADE"/>
    <n v="146.19149999999999"/>
    <x v="96"/>
    <n v="65"/>
    <n v="32"/>
    <n v="50"/>
    <n v="8.3000000000000007"/>
    <n v="0.104"/>
    <x v="184"/>
    <n v="800"/>
    <x v="292"/>
    <n v="40"/>
    <n v="20"/>
    <n v="1066.6666666666667"/>
    <n v="1086.6666666666667"/>
    <n v="86.565312648034109"/>
    <n v="14005.810264684986"/>
    <s v="B"/>
  </r>
  <r>
    <x v="2"/>
    <s v="FORNO E FOGÃO"/>
    <s v="FOGÃO A GÁS"/>
    <s v="52SB"/>
    <s v="CAIXA"/>
    <n v="969"/>
    <x v="89"/>
    <n v="91.5"/>
    <n v="62.2"/>
    <n v="52.2"/>
    <n v="34.5"/>
    <n v="0.29708585999999998"/>
    <x v="183"/>
    <n v="120"/>
    <x v="293"/>
    <n v="40"/>
    <n v="3"/>
    <n v="160"/>
    <n v="163"/>
    <n v="86.067029843675982"/>
    <n v="14091.877294528662"/>
    <s v="B"/>
  </r>
  <r>
    <x v="2"/>
    <s v="FORNO E FOGÃO"/>
    <s v="COOK TOP"/>
    <s v="ICP30"/>
    <s v="CAIXA"/>
    <n v="319"/>
    <x v="89"/>
    <n v="8.5"/>
    <n v="35.5"/>
    <n v="30"/>
    <n v="3"/>
    <n v="9.0524999999999998E-3"/>
    <x v="185"/>
    <n v="350"/>
    <x v="294"/>
    <n v="40"/>
    <n v="8.75"/>
    <n v="466.66666666666663"/>
    <n v="475.41666666666663"/>
    <n v="82.640040265277122"/>
    <n v="14174.51733479394"/>
    <s v="B"/>
  </r>
  <r>
    <x v="2"/>
    <s v="FORNO E FOGÃO"/>
    <s v="FOGÃO A GÁS"/>
    <s v="52SRB"/>
    <s v="CAIXA"/>
    <n v="879"/>
    <x v="89"/>
    <n v="91.5"/>
    <n v="62.2"/>
    <n v="52.2"/>
    <n v="34.5"/>
    <n v="0.29708585999999998"/>
    <x v="183"/>
    <n v="120"/>
    <x v="295"/>
    <n v="40"/>
    <n v="3"/>
    <n v="160"/>
    <n v="163"/>
    <n v="78.07318806252961"/>
    <n v="14252.59052285647"/>
    <s v="B"/>
  </r>
  <r>
    <x v="2"/>
    <s v="CLIMATIZAÇÃO"/>
    <s v="VENTILADOR DE TETO BUZIOS BRANCO"/>
    <s v="VT BB001"/>
    <s v="UNIDADE"/>
    <n v="87.691500000000005"/>
    <x v="102"/>
    <n v="25"/>
    <n v="45"/>
    <n v="45"/>
    <n v="8.1999999999999993"/>
    <n v="5.0625000000000003E-2"/>
    <x v="186"/>
    <n v="1200"/>
    <x v="296"/>
    <n v="40"/>
    <n v="30"/>
    <n v="1600"/>
    <n v="1630"/>
    <n v="77.887997394599722"/>
    <n v="14330.47852025107"/>
    <s v="B"/>
  </r>
  <r>
    <x v="2"/>
    <s v="FORNO E FOGÃO"/>
    <s v="FOGÃO A GÁS"/>
    <s v="52SM"/>
    <s v="CAIXA"/>
    <n v="969"/>
    <x v="89"/>
    <n v="93.3"/>
    <n v="62.2"/>
    <n v="52.2"/>
    <n v="34.5"/>
    <n v="0.302930172"/>
    <x v="187"/>
    <n v="105"/>
    <x v="297"/>
    <n v="40"/>
    <n v="2.625"/>
    <n v="140"/>
    <n v="142.625"/>
    <n v="75.308651113216484"/>
    <n v="14405.787171364287"/>
    <s v="B"/>
  </r>
  <r>
    <x v="2"/>
    <s v="CLIMATIZAÇÃO"/>
    <s v="VENTILADOR DE TETO  AURA BRANCO"/>
    <s v="VT TAB001"/>
    <s v="UNIDADE"/>
    <n v="116.9415"/>
    <x v="102"/>
    <n v="25"/>
    <n v="45"/>
    <n v="45"/>
    <n v="8.6"/>
    <n v="5.0625000000000003E-2"/>
    <x v="188"/>
    <n v="800"/>
    <x v="298"/>
    <n v="40"/>
    <n v="20"/>
    <n v="1066.6666666666667"/>
    <n v="1086.6666666666667"/>
    <n v="69.245322122216962"/>
    <n v="14475.032493486504"/>
    <s v="B"/>
  </r>
  <r>
    <x v="2"/>
    <s v="PORTÁTEIS DE COZINHA"/>
    <s v="SANDUICHEIRA COLLECTION"/>
    <s v="699339"/>
    <s v="CAIXA INDIVIDUAL"/>
    <n v="89.9"/>
    <x v="103"/>
    <n v="10"/>
    <n v="23"/>
    <n v="22"/>
    <n v="1.3"/>
    <n v="5.0600000000000003E-3"/>
    <x v="189"/>
    <n v="1000"/>
    <x v="299"/>
    <n v="30"/>
    <n v="33.333333333333336"/>
    <n v="1000.0000000000001"/>
    <n v="1033.3333333333335"/>
    <n v="66.541331122690664"/>
    <n v="14541.573824609195"/>
    <s v="B"/>
  </r>
  <r>
    <x v="2"/>
    <s v="FORNO E FOGÃO"/>
    <s v="FOGÃO A LENHA"/>
    <s v="11600003"/>
    <s v="CAIXA"/>
    <n v="679"/>
    <x v="100"/>
    <n v="58"/>
    <n v="68"/>
    <n v="53"/>
    <n v="69"/>
    <n v="0.209032"/>
    <x v="190"/>
    <n v="130"/>
    <x v="300"/>
    <n v="40"/>
    <n v="3.25"/>
    <n v="173.33333333333331"/>
    <n v="176.58333333333331"/>
    <n v="65.334853150165799"/>
    <n v="14606.90867775936"/>
    <s v="B"/>
  </r>
  <r>
    <x v="2"/>
    <s v="FORNO E FOGÃO"/>
    <s v="COOK TOP"/>
    <s v="IC80"/>
    <s v="CAIXA"/>
    <n v="2349"/>
    <x v="89"/>
    <n v="6.5"/>
    <n v="52"/>
    <n v="78"/>
    <n v="11.1"/>
    <n v="2.6363999999999999E-2"/>
    <x v="191"/>
    <n v="35"/>
    <x v="301"/>
    <n v="40"/>
    <n v="0.875"/>
    <n v="46.666666666666671"/>
    <n v="47.541666666666671"/>
    <n v="60.853120558976791"/>
    <n v="14667.761798318337"/>
    <s v="B"/>
  </r>
  <r>
    <x v="2"/>
    <s v="PORTÁTEIS DE COZINHA"/>
    <s v="GRIL E SANDUICHEIRA  MAIS VOCÊ"/>
    <s v="699339"/>
    <s v="CAIXA INDIVIDUAL"/>
    <n v="79.900000000000006"/>
    <x v="104"/>
    <n v="26"/>
    <n v="16"/>
    <n v="25"/>
    <n v="1.5"/>
    <n v="1.04E-2"/>
    <x v="192"/>
    <n v="1000"/>
    <x v="302"/>
    <n v="30"/>
    <n v="33.333333333333336"/>
    <n v="1000.0000000000001"/>
    <n v="1033.3333333333335"/>
    <n v="59.139625769777361"/>
    <n v="14726.901424088115"/>
    <s v="B"/>
  </r>
  <r>
    <x v="2"/>
    <s v="CLIMATIZAÇÃO"/>
    <s v="VENTILADOR DE TORRE 3 VELOCIDADES BRANCO"/>
    <s v="VTVB001"/>
    <s v="UNIDADE"/>
    <n v="99.391499999999994"/>
    <x v="105"/>
    <n v="70"/>
    <n v="20"/>
    <n v="20"/>
    <n v="8.4"/>
    <n v="2.8000000000000001E-2"/>
    <x v="193"/>
    <n v="800"/>
    <x v="303"/>
    <n v="40"/>
    <n v="20"/>
    <n v="1066.6666666666667"/>
    <n v="1086.6666666666667"/>
    <n v="58.853327806726668"/>
    <n v="14785.754751894841"/>
    <s v="B"/>
  </r>
  <r>
    <x v="2"/>
    <s v="PORTÁTEIS DE COZINHA"/>
    <s v="FERRO A VAPOR E SECO"/>
    <s v="63239"/>
    <s v="CAIXA INDIVIDUAL"/>
    <n v="79"/>
    <x v="103"/>
    <n v="12.5"/>
    <n v="31"/>
    <n v="13.5"/>
    <n v="1.46"/>
    <n v="5.2312499999999998E-3"/>
    <x v="194"/>
    <n v="1000"/>
    <x v="304"/>
    <n v="30"/>
    <n v="33.333333333333336"/>
    <n v="1000.0000000000001"/>
    <n v="1033.3333333333335"/>
    <n v="58.473472288015159"/>
    <n v="14844.228224182856"/>
    <s v="B"/>
  </r>
  <r>
    <x v="2"/>
    <s v="LINHA BRANCA"/>
    <s v="CENTRIFUGA 10KG SPIN"/>
    <s v="888000"/>
    <s v="PEÇA"/>
    <n v="298"/>
    <x v="106"/>
    <n v="64"/>
    <n v="43"/>
    <n v="43"/>
    <n v="10"/>
    <n v="0.118336"/>
    <x v="195"/>
    <n v="260"/>
    <x v="305"/>
    <n v="30"/>
    <n v="8.6666666666666661"/>
    <n v="260"/>
    <n v="268.66666666666669"/>
    <n v="57.348413074372338"/>
    <n v="14901.576637257229"/>
    <s v="C"/>
  </r>
  <r>
    <x v="2"/>
    <s v="FORNO E FOGÃO"/>
    <s v="FOGÃO A LENHA"/>
    <s v="11500051"/>
    <s v="CAIXA"/>
    <n v="629"/>
    <x v="107"/>
    <n v="71"/>
    <n v="55"/>
    <n v="55"/>
    <n v="45"/>
    <n v="0.21477499999999999"/>
    <x v="196"/>
    <n v="120"/>
    <x v="306"/>
    <n v="40"/>
    <n v="3"/>
    <n v="160"/>
    <n v="163"/>
    <n v="55.868072003789678"/>
    <n v="14957.444709261019"/>
    <s v="C"/>
  </r>
  <r>
    <x v="2"/>
    <s v="PORTÁTEIS DE COZINHA"/>
    <s v="BATEDEIRA 4 VELOCIDADES"/>
    <s v="29839"/>
    <s v="CAIXA INDIVIDUAL"/>
    <n v="74.900000000000006"/>
    <x v="108"/>
    <n v="35"/>
    <n v="22"/>
    <n v="32"/>
    <n v="1.35"/>
    <n v="2.4639999999999999E-2"/>
    <x v="197"/>
    <n v="1000"/>
    <x v="307"/>
    <n v="30"/>
    <n v="33.333333333333336"/>
    <n v="1000.0000000000001"/>
    <n v="1033.3333333333335"/>
    <n v="55.438773093320705"/>
    <n v="15012.88348235434"/>
    <s v="C"/>
  </r>
  <r>
    <x v="2"/>
    <s v="LINHA BRANCA"/>
    <s v="CENTRIFUGA DE ROUPAS 4KG"/>
    <s v="116669"/>
    <s v="PEÇA"/>
    <n v="262"/>
    <x v="108"/>
    <n v="79"/>
    <n v="45"/>
    <n v="45"/>
    <n v="8"/>
    <n v="0.15997500000000001"/>
    <x v="198"/>
    <n v="280"/>
    <x v="308"/>
    <n v="30"/>
    <n v="9.3333333333333339"/>
    <n v="280"/>
    <n v="289.33333333333331"/>
    <n v="54.298910468972053"/>
    <n v="15067.182392823312"/>
    <s v="C"/>
  </r>
  <r>
    <x v="2"/>
    <s v="PORTÁTEIS DE COZINHA"/>
    <s v="FERRO A VAPOR "/>
    <s v="639339"/>
    <s v="CAIXA INDIVIDUAL"/>
    <n v="69"/>
    <x v="89"/>
    <n v="15"/>
    <n v="11.7"/>
    <n v="28"/>
    <n v="0.95"/>
    <n v="4.9139999999999991E-3"/>
    <x v="199"/>
    <n v="1040"/>
    <x v="309"/>
    <n v="30"/>
    <n v="34.666666666666664"/>
    <n v="1040"/>
    <n v="1074.6666666666667"/>
    <n v="53.114637612505923"/>
    <n v="15120.297030435817"/>
    <s v="C"/>
  </r>
  <r>
    <x v="2"/>
    <s v="CLIMATIZAÇÃO"/>
    <s v="CIRCULADOR DE AR TURBO SILENCIO BOX REPELENTE"/>
    <s v="CA TSBR001"/>
    <s v="UNIDADE"/>
    <n v="181.935"/>
    <x v="103"/>
    <n v="58"/>
    <n v="38"/>
    <n v="46"/>
    <n v="7.5"/>
    <n v="0.101384"/>
    <x v="200"/>
    <n v="350"/>
    <x v="310"/>
    <n v="40"/>
    <n v="8.75"/>
    <n v="466.66666666666663"/>
    <n v="475.41666666666663"/>
    <n v="47.132024218379918"/>
    <n v="15167.429054654196"/>
    <s v="C"/>
  </r>
  <r>
    <x v="2"/>
    <s v="CLIMATIZAÇÃO"/>
    <s v="VENTILADOR DE TETO ULTIMATE BRANCO"/>
    <s v="VT UB001"/>
    <s v="UNIDADE"/>
    <n v="180.70650000000001"/>
    <x v="103"/>
    <n v="20"/>
    <n v="50"/>
    <n v="50"/>
    <n v="7.6"/>
    <n v="0.05"/>
    <x v="201"/>
    <n v="350"/>
    <x v="311"/>
    <n v="40"/>
    <n v="8.75"/>
    <n v="466.66666666666663"/>
    <n v="475.41666666666663"/>
    <n v="46.813769392468025"/>
    <n v="15214.242824046663"/>
    <s v="C"/>
  </r>
  <r>
    <x v="2"/>
    <s v="LINHA BRANCA"/>
    <s v="LAVA LOUÇAS 12 SERVIÇOS"/>
    <s v="117048"/>
    <s v="PEÇA"/>
    <n v="1750"/>
    <x v="92"/>
    <n v="89"/>
    <n v="69"/>
    <n v="69"/>
    <n v="48"/>
    <n v="0.42372900000000002"/>
    <x v="202"/>
    <n v="35"/>
    <x v="312"/>
    <n v="30"/>
    <n v="1.1666666666666667"/>
    <n v="35"/>
    <n v="36.166666666666664"/>
    <n v="45.33544528659403"/>
    <n v="15259.578269333257"/>
    <s v="C"/>
  </r>
  <r>
    <x v="2"/>
    <s v="CLIMATIZAÇÃO"/>
    <s v="VENTILADOR DE MESA TURBO SILENCIO MAX C/ REPELENTE"/>
    <s v="VM TSCR001"/>
    <s v="UNIDADE"/>
    <n v="116.9415"/>
    <x v="103"/>
    <n v="40"/>
    <n v="30"/>
    <n v="30"/>
    <n v="4.2"/>
    <n v="3.5999999999999997E-2"/>
    <x v="203"/>
    <n v="520"/>
    <x v="313"/>
    <n v="40"/>
    <n v="13"/>
    <n v="693.33333333333326"/>
    <n v="706.33333333333326"/>
    <n v="45.009459379441026"/>
    <n v="15304.587728712697"/>
    <s v="C"/>
  </r>
  <r>
    <x v="2"/>
    <s v="LINHA BRANCA"/>
    <s v="TANQUINHO 6KG"/>
    <s v="2029681"/>
    <s v="PEÇA"/>
    <n v="233"/>
    <x v="109"/>
    <n v="90"/>
    <n v="52"/>
    <n v="54"/>
    <n v="12"/>
    <n v="0.25272"/>
    <x v="204"/>
    <n v="260"/>
    <x v="314"/>
    <n v="30"/>
    <n v="8.6666666666666661"/>
    <n v="260"/>
    <n v="268.66666666666669"/>
    <n v="44.839531027948844"/>
    <n v="15349.427259740645"/>
    <s v="C"/>
  </r>
  <r>
    <x v="2"/>
    <s v="LINHA BRANCA"/>
    <s v="REFRIGERADOR FROST FREE DUPLEX"/>
    <s v="100540"/>
    <s v="PEÇA"/>
    <n v="1664.1"/>
    <x v="92"/>
    <n v="175"/>
    <n v="69"/>
    <n v="62"/>
    <n v="67"/>
    <n v="0.74865000000000004"/>
    <x v="205"/>
    <n v="35"/>
    <x v="315"/>
    <n v="30"/>
    <n v="1.1666666666666667"/>
    <n v="35"/>
    <n v="36.166666666666664"/>
    <n v="43.110122572240648"/>
    <n v="15392.537382312887"/>
    <s v="C"/>
  </r>
  <r>
    <x v="2"/>
    <s v="PORTÁTEIS DE COZINHA"/>
    <s v="LIQUIDIFICADOR "/>
    <s v="28459"/>
    <s v="CAIXA INDIVIDUAL"/>
    <n v="55.9"/>
    <x v="103"/>
    <n v="30"/>
    <n v="13"/>
    <n v="14.5"/>
    <n v="1.43"/>
    <n v="5.6550000000000003E-3"/>
    <x v="206"/>
    <n v="1000"/>
    <x v="316"/>
    <n v="30"/>
    <n v="33.333333333333336"/>
    <n v="1000.0000000000001"/>
    <n v="1033.3333333333335"/>
    <n v="41.375532922785411"/>
    <n v="15433.912915235673"/>
    <s v="C"/>
  </r>
  <r>
    <x v="2"/>
    <s v="FORNO E FOGÃO"/>
    <s v="LAREIRA"/>
    <s v="694"/>
    <s v="CAIXA"/>
    <n v="519"/>
    <x v="107"/>
    <n v="103"/>
    <n v="60"/>
    <n v="60"/>
    <n v="38"/>
    <n v="0.37080000000000002"/>
    <x v="207"/>
    <n v="105"/>
    <x v="317"/>
    <n v="40"/>
    <n v="2.625"/>
    <n v="140"/>
    <n v="142.625"/>
    <n v="40.335593320701093"/>
    <n v="15474.248508556373"/>
    <s v="C"/>
  </r>
  <r>
    <x v="2"/>
    <s v="PORTÁTEIS DE COZINHA"/>
    <s v="BATEDEIRA MONDIAL"/>
    <s v="24739"/>
    <s v="CAIXA INDIVIDUAL"/>
    <n v="52.9"/>
    <x v="89"/>
    <n v="33"/>
    <n v="27"/>
    <n v="21"/>
    <n v="1.8"/>
    <n v="1.8710999999999998E-2"/>
    <x v="208"/>
    <n v="1000"/>
    <x v="318"/>
    <n v="30"/>
    <n v="33.333333333333336"/>
    <n v="1000.0000000000001"/>
    <n v="1033.3333333333335"/>
    <n v="39.155021316911416"/>
    <n v="15513.403529873285"/>
    <s v="C"/>
  </r>
  <r>
    <x v="2"/>
    <s v="LINHA BRANCA"/>
    <s v="REFRIGERADOR CYLCLE DEFROST"/>
    <s v="100835"/>
    <s v="PEÇA"/>
    <n v="1469.1"/>
    <x v="84"/>
    <n v="188"/>
    <n v="70.5"/>
    <n v="69.5"/>
    <n v="76"/>
    <n v="0.921153"/>
    <x v="209"/>
    <n v="35"/>
    <x v="319"/>
    <n v="30"/>
    <n v="1.1666666666666667"/>
    <n v="35"/>
    <n v="36.166666666666664"/>
    <n v="38.058458668877307"/>
    <n v="15551.461988542162"/>
    <s v="C"/>
  </r>
  <r>
    <x v="2"/>
    <s v="LINHA BRANCA"/>
    <s v="TANQUINHO AUTOMATICO COM TIMER"/>
    <s v="106800"/>
    <s v="PEÇA"/>
    <n v="192"/>
    <x v="110"/>
    <n v="84"/>
    <n v="66"/>
    <n v="74"/>
    <n v="10"/>
    <n v="0.41025600000000001"/>
    <x v="210"/>
    <n v="260"/>
    <x v="320"/>
    <n v="30"/>
    <n v="8.6666666666666661"/>
    <n v="260"/>
    <n v="268.66666666666669"/>
    <n v="36.949313121743252"/>
    <n v="15588.411301663906"/>
    <s v="C"/>
  </r>
  <r>
    <x v="2"/>
    <s v="CLIMATIZAÇÃO"/>
    <s v="VENTILADOR DE TETO QUADRIMAX ALUMINIO ESCOVADO"/>
    <s v="VT QAE001"/>
    <s v="UNIDADE"/>
    <n v="163.73500000000001"/>
    <x v="102"/>
    <n v="30"/>
    <n v="50"/>
    <n v="50"/>
    <n v="8.9"/>
    <n v="7.4999999999999997E-2"/>
    <x v="211"/>
    <n v="300"/>
    <x v="321"/>
    <n v="40"/>
    <n v="7.5"/>
    <n v="400"/>
    <n v="407.5"/>
    <n v="36.357546778777838"/>
    <n v="15624.768848442684"/>
    <s v="C"/>
  </r>
  <r>
    <x v="2"/>
    <s v="PORTÁTEIS DE COZINHA"/>
    <s v="SANDUICHEIRA EASY TOASTER"/>
    <s v="479339"/>
    <s v="CAIXA INDIVIDUAL"/>
    <n v="59.9"/>
    <x v="95"/>
    <n v="24"/>
    <n v="11"/>
    <n v="25"/>
    <n v="1.2"/>
    <n v="6.6E-3"/>
    <x v="212"/>
    <n v="800"/>
    <x v="322"/>
    <n v="30"/>
    <n v="26.666666666666668"/>
    <n v="800"/>
    <n v="826.66666666666663"/>
    <n v="35.468972051160591"/>
    <n v="15660.237820493845"/>
    <s v="C"/>
  </r>
  <r>
    <x v="2"/>
    <s v="PORTÁTEIS DE COZINHA"/>
    <s v="CAFETEIRA ELÉTRICA"/>
    <s v="25439"/>
    <s v="CAIXA INDIVIDUAL"/>
    <n v="49.9"/>
    <x v="89"/>
    <n v="26"/>
    <n v="14"/>
    <n v="23"/>
    <n v="0.88"/>
    <n v="8.3719999999999992E-3"/>
    <x v="213"/>
    <n v="960"/>
    <x v="323"/>
    <n v="30"/>
    <n v="32"/>
    <n v="960"/>
    <n v="992"/>
    <n v="35.457129322595925"/>
    <n v="15695.694949816441"/>
    <s v="C"/>
  </r>
  <r>
    <x v="2"/>
    <s v="PORTÁTEIS DE COZINHA"/>
    <s v="LIQUIDIFICADOR "/>
    <s v="27859"/>
    <s v="CAIXA INDIVIDUAL"/>
    <n v="47"/>
    <x v="103"/>
    <n v="38"/>
    <n v="17"/>
    <n v="20"/>
    <n v="1.6"/>
    <n v="1.2919999999999999E-2"/>
    <x v="214"/>
    <n v="1000"/>
    <x v="324"/>
    <n v="30"/>
    <n v="33.333333333333336"/>
    <n v="1000.0000000000001"/>
    <n v="1033.3333333333335"/>
    <n v="34.788015158692566"/>
    <n v="15730.482964975134"/>
    <s v="C"/>
  </r>
  <r>
    <x v="2"/>
    <s v="LINHA BRANCA"/>
    <s v="SECADORA DE ROUPAS 10KG"/>
    <s v="116022"/>
    <s v="PEÇA"/>
    <n v="1310"/>
    <x v="92"/>
    <n v="81"/>
    <n v="59"/>
    <n v="60"/>
    <n v="43"/>
    <n v="0.28673999999999999"/>
    <x v="215"/>
    <n v="35"/>
    <x v="325"/>
    <n v="30"/>
    <n v="1.1666666666666667"/>
    <n v="35"/>
    <n v="36.166666666666664"/>
    <n v="33.936819043107533"/>
    <n v="15764.419784018241"/>
    <s v="C"/>
  </r>
  <r>
    <x v="2"/>
    <s v="LINHA BRANCA"/>
    <s v="SECADORA DE ROUPAS SUSPENSE"/>
    <s v="116024"/>
    <s v="PEÇA"/>
    <n v="1310"/>
    <x v="92"/>
    <n v="60"/>
    <n v="59"/>
    <n v="77"/>
    <n v="42"/>
    <n v="0.27257999999999999"/>
    <x v="216"/>
    <n v="35"/>
    <x v="325"/>
    <n v="30"/>
    <n v="1.1666666666666667"/>
    <n v="35"/>
    <n v="36.166666666666664"/>
    <n v="33.936819043107533"/>
    <n v="15798.356603061347"/>
    <s v="C"/>
  </r>
  <r>
    <x v="2"/>
    <s v="PORTÁTEIS DE COZINHA"/>
    <s v="LIQUIDIFICADOR "/>
    <s v="21459"/>
    <s v="CAIXA INDIVIDUAL"/>
    <n v="45"/>
    <x v="89"/>
    <n v="31"/>
    <n v="18.5"/>
    <n v="25.5"/>
    <n v="1.25"/>
    <n v="1.462425E-2"/>
    <x v="217"/>
    <n v="1000"/>
    <x v="326"/>
    <n v="30"/>
    <n v="33.333333333333336"/>
    <n v="1000.0000000000001"/>
    <n v="1033.3333333333335"/>
    <n v="33.307674088109898"/>
    <n v="15831.664277149457"/>
    <s v="C"/>
  </r>
  <r>
    <x v="2"/>
    <s v="LINHA BRANCA"/>
    <s v="LAVADORA DE ROUPAS ATIVE"/>
    <s v="105532"/>
    <s v="PEÇA"/>
    <n v="1214"/>
    <x v="92"/>
    <n v="106"/>
    <n v="71"/>
    <n v="66"/>
    <n v="40"/>
    <n v="0.49671599999999999"/>
    <x v="218"/>
    <n v="35"/>
    <x v="327"/>
    <n v="30"/>
    <n v="1.1666666666666667"/>
    <n v="35"/>
    <n v="36.166666666666664"/>
    <n v="31.449846044528659"/>
    <n v="15863.114123193986"/>
    <s v="C"/>
  </r>
  <r>
    <x v="2"/>
    <s v="LINHA BRANCA"/>
    <s v="LAVADORA DE ROUPAS 9KG"/>
    <s v="105099"/>
    <s v="PEÇA"/>
    <n v="1203"/>
    <x v="92"/>
    <n v="107"/>
    <n v="62"/>
    <n v="68"/>
    <n v="38"/>
    <n v="0.45111200000000001"/>
    <x v="219"/>
    <n v="35"/>
    <x v="328"/>
    <n v="30"/>
    <n v="1.1666666666666667"/>
    <n v="35"/>
    <n v="36.166666666666664"/>
    <n v="31.164880388441496"/>
    <n v="15894.279003582427"/>
    <s v="C"/>
  </r>
  <r>
    <x v="2"/>
    <s v="CLIMATIZAÇÃO"/>
    <s v="CIRCULADOR DE AR C50 TURBO"/>
    <s v="CA CT001"/>
    <s v="UNIDADE"/>
    <n v="116.9415"/>
    <x v="111"/>
    <n v="60"/>
    <n v="30"/>
    <n v="50"/>
    <n v="7.8"/>
    <n v="0.09"/>
    <x v="220"/>
    <n v="350"/>
    <x v="329"/>
    <n v="40"/>
    <n v="8.75"/>
    <n v="466.66666666666663"/>
    <n v="475.41666666666663"/>
    <n v="30.29482842846992"/>
    <n v="15924.573832010898"/>
    <s v="C"/>
  </r>
  <r>
    <x v="2"/>
    <s v="PORTÁTEIS DE COZINHA"/>
    <s v="SANDUICHEIRA CADENCE"/>
    <s v="669339"/>
    <s v="CAIXA INDIVIDUAL"/>
    <n v="39"/>
    <x v="95"/>
    <n v="8.3000000000000007"/>
    <n v="21.2"/>
    <n v="20.9"/>
    <n v="0.96"/>
    <n v="3.6775639999999999E-3"/>
    <x v="221"/>
    <n v="1040"/>
    <x v="330"/>
    <n v="30"/>
    <n v="34.666666666666664"/>
    <n v="1040"/>
    <n v="1074.6666666666667"/>
    <n v="30.021316911416392"/>
    <n v="15954.595148922313"/>
    <s v="C"/>
  </r>
  <r>
    <x v="2"/>
    <s v="LINHA BRANCA"/>
    <s v="REFRIGERADOR FROST FREE 1 PORTA"/>
    <s v="100381"/>
    <s v="PEÇA"/>
    <n v="1079.0999999999999"/>
    <x v="97"/>
    <n v="157"/>
    <n v="71.5"/>
    <n v="64.5"/>
    <n v="50"/>
    <n v="0.72404475000000001"/>
    <x v="222"/>
    <n v="35"/>
    <x v="331"/>
    <n v="30"/>
    <n v="1.1666666666666667"/>
    <n v="35"/>
    <n v="36.166666666666664"/>
    <n v="27.955130862150639"/>
    <n v="15982.550279784464"/>
    <s v="C"/>
  </r>
  <r>
    <x v="2"/>
    <s v="CLIMATIZAÇÃO"/>
    <s v="CIRCULADOR DE AR C45"/>
    <s v="CA C001"/>
    <s v="UNIDADE"/>
    <n v="105.235"/>
    <x v="103"/>
    <n v="50"/>
    <n v="25"/>
    <n v="50"/>
    <n v="6.9"/>
    <n v="6.25E-2"/>
    <x v="223"/>
    <n v="350"/>
    <x v="332"/>
    <n v="40"/>
    <n v="8.75"/>
    <n v="466.66666666666663"/>
    <n v="475.41666666666663"/>
    <n v="27.262146198484132"/>
    <n v="16009.812425982947"/>
    <s v="C"/>
  </r>
  <r>
    <x v="2"/>
    <s v="CLIMATIZAÇÃO"/>
    <s v="AQUECEDOR ELÉTRICO FREEWAY BRANCO"/>
    <s v="AE FB001"/>
    <s v="UNIDADE"/>
    <n v="70.141499999999994"/>
    <x v="112"/>
    <n v="45"/>
    <n v="40"/>
    <n v="40"/>
    <n v="6.9"/>
    <n v="7.1999999999999995E-2"/>
    <x v="224"/>
    <n v="520"/>
    <x v="333"/>
    <n v="40"/>
    <n v="13"/>
    <n v="693.33333333333326"/>
    <n v="706.33333333333326"/>
    <n v="26.996669232591184"/>
    <n v="16036.809095215538"/>
    <s v="C"/>
  </r>
  <r>
    <x v="2"/>
    <s v="LINHA BRANCA"/>
    <s v="LAVADORA DE ROUPAS 11KG"/>
    <s v="105502"/>
    <s v="PEÇA"/>
    <n v="1042"/>
    <x v="92"/>
    <n v="108"/>
    <n v="70"/>
    <n v="66"/>
    <n v="41"/>
    <n v="0.49896000000000001"/>
    <x v="225"/>
    <n v="35"/>
    <x v="334"/>
    <n v="30"/>
    <n v="1.1666666666666667"/>
    <n v="35"/>
    <n v="36.166666666666664"/>
    <n v="26.994019422074846"/>
    <n v="16063.803114637612"/>
    <s v="C"/>
  </r>
  <r>
    <x v="2"/>
    <s v="PORTÁTEIS DE COZINHA"/>
    <s v="SANDUICHEIRA MALLORY"/>
    <s v="662139"/>
    <s v="CAIXA INDIVIDUAL"/>
    <n v="37"/>
    <x v="103"/>
    <n v="26.2"/>
    <n v="19.8"/>
    <n v="14.8"/>
    <n v="1.2"/>
    <n v="7.6776480000000005E-3"/>
    <x v="226"/>
    <n v="800"/>
    <x v="335"/>
    <n v="30"/>
    <n v="26.666666666666668"/>
    <n v="800"/>
    <n v="826.66666666666663"/>
    <n v="21.909047844623402"/>
    <n v="16085.712162482236"/>
    <s v="C"/>
  </r>
  <r>
    <x v="2"/>
    <s v="FORNO E FOGÃO"/>
    <s v="COIFA"/>
    <s v="60CX"/>
    <s v="CAIXA"/>
    <n v="829"/>
    <x v="89"/>
    <n v="83"/>
    <n v="50"/>
    <n v="60"/>
    <n v="10.1"/>
    <n v="0.249"/>
    <x v="227"/>
    <n v="35"/>
    <x v="336"/>
    <n v="40"/>
    <n v="0.875"/>
    <n v="46.666666666666671"/>
    <n v="47.541666666666671"/>
    <n v="21.476048081477973"/>
    <n v="16107.188210563714"/>
    <s v="C"/>
  </r>
  <r>
    <x v="2"/>
    <s v="PORTÁTEIS DE COZINHA"/>
    <s v="BATEDEIRA PROFISSIONAL"/>
    <s v="26939"/>
    <s v="CAIXA INDIVIDUAL"/>
    <n v="479"/>
    <x v="91"/>
    <n v="40"/>
    <n v="38"/>
    <n v="27.5"/>
    <n v="4.3"/>
    <n v="4.1799999999999997E-2"/>
    <x v="228"/>
    <n v="60"/>
    <x v="337"/>
    <n v="30"/>
    <n v="2"/>
    <n v="60"/>
    <n v="62"/>
    <n v="21.272501184272858"/>
    <n v="16128.460711747986"/>
    <s v="C"/>
  </r>
  <r>
    <x v="2"/>
    <s v="CLIMATIZAÇÃO"/>
    <s v="VENTILADOR V 32 3 VELODICADES 45W PRETO"/>
    <s v="V 3VP001"/>
    <s v="UNIDADE"/>
    <n v="52.591500000000003"/>
    <x v="96"/>
    <n v="40"/>
    <n v="30"/>
    <n v="40"/>
    <n v="3.6"/>
    <n v="4.8000000000000001E-2"/>
    <x v="229"/>
    <n v="520"/>
    <x v="338"/>
    <n v="40"/>
    <n v="13"/>
    <n v="693.33333333333326"/>
    <n v="706.33333333333326"/>
    <n v="20.241872927522504"/>
    <n v="16148.70258467551"/>
    <s v="C"/>
  </r>
  <r>
    <x v="2"/>
    <s v="CLIMATIZAÇÃO"/>
    <s v="AQUECEDOR ELÉTRICO TERMO CERAMIC"/>
    <s v="AE TC001"/>
    <s v="UNIDADE"/>
    <n v="77.349999999999994"/>
    <x v="96"/>
    <n v="50"/>
    <n v="40"/>
    <n v="40"/>
    <n v="7.4"/>
    <n v="0.08"/>
    <x v="230"/>
    <n v="350"/>
    <x v="339"/>
    <n v="40"/>
    <n v="8.75"/>
    <n v="466.66666666666663"/>
    <n v="475.41666666666663"/>
    <n v="20.038266816674561"/>
    <n v="16168.740851492184"/>
    <s v="C"/>
  </r>
  <r>
    <x v="2"/>
    <s v="PORTÁTEIS DE COZINHA"/>
    <s v="CAFETEIRA EXPRESSO"/>
    <s v="25239"/>
    <s v="CAIXA INDIVIDUAL"/>
    <n v="449"/>
    <x v="89"/>
    <n v="17"/>
    <n v="32"/>
    <n v="26"/>
    <n v="4.2"/>
    <n v="1.4144E-2"/>
    <x v="231"/>
    <n v="60"/>
    <x v="340"/>
    <n v="30"/>
    <n v="2"/>
    <n v="60"/>
    <n v="62"/>
    <n v="19.940194220748459"/>
    <n v="16188.681045712932"/>
    <s v="C"/>
  </r>
  <r>
    <x v="2"/>
    <s v="CLIMATIZAÇÃO"/>
    <s v="AQUECEDOR A ÓLEO PRETO"/>
    <s v="AOP 0014"/>
    <s v="UNIDADE"/>
    <n v="86.385000000000005"/>
    <x v="96"/>
    <n v="80"/>
    <n v="50"/>
    <n v="25"/>
    <n v="8.6999999999999993"/>
    <n v="0.1"/>
    <x v="232"/>
    <n v="300"/>
    <x v="341"/>
    <n v="40"/>
    <n v="7.5"/>
    <n v="400"/>
    <n v="407.5"/>
    <n v="19.181889507342493"/>
    <n v="16207.862935220275"/>
    <s v="C"/>
  </r>
  <r>
    <x v="2"/>
    <s v="PORTÁTEIS DE COZINHA"/>
    <s v="SANDUICHEIRA SUGGAR"/>
    <s v="639339"/>
    <s v="CAIXA INDIVIDUAL"/>
    <n v="39"/>
    <x v="89"/>
    <n v="23.5"/>
    <n v="10.5"/>
    <n v="24.5"/>
    <n v="1.1000000000000001"/>
    <n v="6.0453750000000004E-3"/>
    <x v="233"/>
    <n v="640"/>
    <x v="342"/>
    <n v="30"/>
    <n v="21.333333333333332"/>
    <n v="640"/>
    <n v="661.33333333333337"/>
    <n v="18.474656560871626"/>
    <n v="16226.337591781146"/>
    <s v="C"/>
  </r>
  <r>
    <x v="2"/>
    <s v="FORNO E FOGÃO"/>
    <s v="COOK TOP"/>
    <s v="GT75X"/>
    <s v="CAIXA"/>
    <n v="659"/>
    <x v="89"/>
    <n v="6.5"/>
    <n v="52.2"/>
    <n v="75.2"/>
    <n v="9.1999999999999993"/>
    <n v="2.5515360000000004E-2"/>
    <x v="234"/>
    <n v="35"/>
    <x v="343"/>
    <n v="40"/>
    <n v="0.875"/>
    <n v="46.666666666666671"/>
    <n v="47.541666666666671"/>
    <n v="17.072033396494554"/>
    <n v="16243.409625177641"/>
    <s v="C"/>
  </r>
  <r>
    <x v="2"/>
    <s v="CLIMATIZAÇÃO"/>
    <s v="AQUECEDOR ELÉTRICO CERAMIC PRATA 1.500W"/>
    <s v="AEC P001"/>
    <s v="UNIDADE"/>
    <n v="42.185000000000002"/>
    <x v="111"/>
    <n v="50"/>
    <n v="40"/>
    <n v="35"/>
    <n v="6.8"/>
    <n v="7.0000000000000007E-2"/>
    <x v="235"/>
    <n v="520"/>
    <x v="344"/>
    <n v="40"/>
    <n v="13"/>
    <n v="693.33333333333326"/>
    <n v="706.33333333333326"/>
    <n v="16.236528896257699"/>
    <n v="16259.646154073898"/>
    <s v="C"/>
  </r>
  <r>
    <x v="2"/>
    <s v="FORNO E FOGÃO"/>
    <s v="COOK TOP"/>
    <s v="GC60V"/>
    <s v="CAIXA"/>
    <n v="599"/>
    <x v="89"/>
    <n v="5.5"/>
    <n v="52.2"/>
    <n v="60.2"/>
    <n v="9.5"/>
    <n v="1.7283420000000001E-2"/>
    <x v="236"/>
    <n v="35"/>
    <x v="345"/>
    <n v="40"/>
    <n v="0.875"/>
    <n v="46.666666666666671"/>
    <n v="47.541666666666671"/>
    <n v="15.517675272382757"/>
    <n v="16275.16382934628"/>
    <s v="C"/>
  </r>
  <r>
    <x v="2"/>
    <s v="LINHA BRANCA"/>
    <s v="CENTRIFUGA 10KG"/>
    <s v="16501"/>
    <s v="PEÇA"/>
    <n v="307.12"/>
    <x v="113"/>
    <n v="62"/>
    <n v="42"/>
    <n v="42"/>
    <n v="8"/>
    <n v="0.10936800000000001"/>
    <x v="237"/>
    <n v="60"/>
    <x v="346"/>
    <n v="30"/>
    <n v="2"/>
    <n v="60"/>
    <n v="62"/>
    <n v="13.639270487920419"/>
    <n v="16288.8030998342"/>
    <s v="C"/>
  </r>
  <r>
    <x v="2"/>
    <s v="FORNO E FOGÃO"/>
    <s v="COOK TOP"/>
    <s v="GT60X"/>
    <s v="CAIXA"/>
    <n v="519"/>
    <x v="89"/>
    <n v="5.8"/>
    <n v="52.2"/>
    <n v="60.2"/>
    <n v="7.9"/>
    <n v="1.8226152000000002E-2"/>
    <x v="238"/>
    <n v="35"/>
    <x v="347"/>
    <n v="40"/>
    <n v="0.875"/>
    <n v="46.666666666666671"/>
    <n v="47.541666666666671"/>
    <n v="13.445197773567029"/>
    <n v="16302.248297607766"/>
    <s v="C"/>
  </r>
  <r>
    <x v="2"/>
    <s v="PORTÁTEIS DE COZINHA"/>
    <s v="PANIFICADORA BRITANIA"/>
    <s v="625139"/>
    <s v="CAIXA INDIVIDUAL"/>
    <n v="299"/>
    <x v="108"/>
    <n v="30"/>
    <n v="40"/>
    <n v="28"/>
    <n v="6.11"/>
    <n v="3.3599999999999998E-2"/>
    <x v="115"/>
    <n v="60"/>
    <x v="124"/>
    <n v="30"/>
    <n v="2"/>
    <n v="60"/>
    <n v="62"/>
    <n v="13.278659403126481"/>
    <n v="16315.526957010892"/>
    <s v="C"/>
  </r>
  <r>
    <x v="2"/>
    <s v="PORTÁTEIS DE COZINHA"/>
    <s v="LIQUIDIFICADOR "/>
    <s v="28479"/>
    <s v="CAIXA INDIVIDUAL"/>
    <n v="199"/>
    <x v="91"/>
    <n v="36.4"/>
    <n v="24"/>
    <n v="23"/>
    <n v="1.97"/>
    <n v="2.0092800000000001E-2"/>
    <x v="239"/>
    <n v="65"/>
    <x v="348"/>
    <n v="30"/>
    <n v="2.1666666666666665"/>
    <n v="65"/>
    <n v="67.166666666666671"/>
    <n v="9.5741058739933678"/>
    <n v="16325.101062884885"/>
    <s v="C"/>
  </r>
  <r>
    <x v="2"/>
    <s v="FORNO E FOGÃO"/>
    <s v="DEPORADOR"/>
    <s v="DE80X"/>
    <s v="CAIXA"/>
    <n v="369"/>
    <x v="89"/>
    <n v="14"/>
    <n v="49.5"/>
    <n v="80"/>
    <n v="6.4"/>
    <n v="5.5440000000000003E-2"/>
    <x v="240"/>
    <n v="35"/>
    <x v="349"/>
    <n v="40"/>
    <n v="0.875"/>
    <n v="46.666666666666671"/>
    <n v="47.541666666666671"/>
    <n v="9.5593024632875423"/>
    <n v="16334.660365348172"/>
    <s v="C"/>
  </r>
  <r>
    <x v="2"/>
    <s v="PORTÁTEIS DE COZINHA"/>
    <s v="LIQUIDIFICADOR ARNO CLIC"/>
    <s v="26420"/>
    <s v="CAIXA INDIVIDUAL"/>
    <n v="169"/>
    <x v="103"/>
    <n v="43"/>
    <n v="15.8"/>
    <n v="21"/>
    <n v="2.19"/>
    <n v="1.42674E-2"/>
    <x v="241"/>
    <n v="65"/>
    <x v="350"/>
    <n v="30"/>
    <n v="2.1666666666666665"/>
    <n v="65"/>
    <n v="67.166666666666671"/>
    <n v="8.1307733301752734"/>
    <n v="16342.791138678347"/>
    <s v="C"/>
  </r>
  <r>
    <x v="2"/>
    <s v="PORTÁTEIS DE COZINHA"/>
    <s v="LIQUIDIFICADOR "/>
    <s v="23459"/>
    <s v="CAIXA INDIVIDUAL"/>
    <n v="165"/>
    <x v="91"/>
    <n v="36.4"/>
    <n v="24"/>
    <n v="23"/>
    <n v="2.6"/>
    <n v="2.0092800000000001E-2"/>
    <x v="239"/>
    <n v="65"/>
    <x v="351"/>
    <n v="30"/>
    <n v="2.1666666666666665"/>
    <n v="65"/>
    <n v="67.166666666666671"/>
    <n v="7.9383289909995263"/>
    <n v="16350.729467669347"/>
    <s v="C"/>
  </r>
  <r>
    <x v="2"/>
    <s v="PORTÁTEIS DE COZINHA"/>
    <s v="LIQUIDIFICADOR "/>
    <s v="26419"/>
    <s v="CAIXA INDIVIDUAL"/>
    <n v="159"/>
    <x v="103"/>
    <n v="37.200000000000003"/>
    <n v="16"/>
    <n v="19.5"/>
    <n v="2.19"/>
    <n v="1.1606400000000001E-2"/>
    <x v="242"/>
    <n v="65"/>
    <x v="352"/>
    <n v="30"/>
    <n v="2.1666666666666665"/>
    <n v="65"/>
    <n v="67.166666666666671"/>
    <n v="7.6496624822359074"/>
    <n v="16358.379130151583"/>
    <s v="C"/>
  </r>
  <r>
    <x v="2"/>
    <s v="CLIMATIZAÇÃO"/>
    <s v="AQUECEDOR A ÓLEO PRETO COM DISPLAY DIGITAL"/>
    <s v="AOP DD004"/>
    <s v="UNIDADE"/>
    <n v="98.734999999999999"/>
    <x v="101"/>
    <n v="75"/>
    <n v="55"/>
    <n v="30"/>
    <n v="9.8000000000000007"/>
    <n v="0.12375"/>
    <x v="243"/>
    <n v="100"/>
    <x v="353"/>
    <n v="40"/>
    <n v="2.5"/>
    <n v="133.33333333333334"/>
    <n v="135.83333333333334"/>
    <n v="7.3080737801989581"/>
    <n v="16365.687203931782"/>
    <s v="C"/>
  </r>
  <r>
    <x v="2"/>
    <s v="PORTÁTEIS DE COZINHA"/>
    <s v="LIQUIDIFICADOR "/>
    <s v="23679"/>
    <s v="CAIXA INDIVIDUAL"/>
    <n v="145"/>
    <x v="91"/>
    <n v="22"/>
    <n v="24.3"/>
    <n v="35"/>
    <n v="2.5499999999999998"/>
    <n v="1.8710999999999998E-2"/>
    <x v="244"/>
    <n v="65"/>
    <x v="354"/>
    <n v="30"/>
    <n v="2.1666666666666665"/>
    <n v="65"/>
    <n v="67.166666666666671"/>
    <n v="6.9761072951207961"/>
    <n v="16372.663311226903"/>
    <s v="C"/>
  </r>
  <r>
    <x v="2"/>
    <s v="PORTÁTEIS DE COZINHA"/>
    <s v="LIQUIDIFICADOR"/>
    <s v="13074"/>
    <s v="CAIXA INDIVIDUAL"/>
    <n v="145"/>
    <x v="103"/>
    <n v="21"/>
    <n v="24.3"/>
    <n v="33"/>
    <n v="2.52"/>
    <n v="1.6839899999999998E-2"/>
    <x v="245"/>
    <n v="65"/>
    <x v="354"/>
    <n v="30"/>
    <n v="2.1666666666666665"/>
    <n v="65"/>
    <n v="67.166666666666671"/>
    <n v="6.9761072951207961"/>
    <n v="16379.639418522023"/>
    <s v="C"/>
  </r>
  <r>
    <x v="2"/>
    <s v="PORTÁTEIS DE COZINHA"/>
    <s v="LIQUIDIFICADOR "/>
    <s v="23459"/>
    <s v="CAIXA INDIVIDUAL"/>
    <n v="119"/>
    <x v="89"/>
    <n v="38"/>
    <n v="18.5"/>
    <n v="21"/>
    <n v="1.9"/>
    <n v="1.4763E-2"/>
    <x v="246"/>
    <n v="65"/>
    <x v="355"/>
    <n v="30"/>
    <n v="2.1666666666666665"/>
    <n v="65"/>
    <n v="67.166666666666671"/>
    <n v="5.7252190904784461"/>
    <n v="16385.364637612503"/>
    <s v="C"/>
  </r>
  <r>
    <x v="2"/>
    <s v="PORTÁTEIS DE COZINHA"/>
    <s v="LIQUIDIFICADOR "/>
    <s v="23639"/>
    <s v="CAIXA INDIVIDUAL"/>
    <n v="89"/>
    <x v="108"/>
    <n v="39"/>
    <n v="21"/>
    <n v="24.5"/>
    <n v="2.2599999999999998"/>
    <n v="2.00655E-2"/>
    <x v="247"/>
    <n v="65"/>
    <x v="356"/>
    <n v="30"/>
    <n v="2.1666666666666665"/>
    <n v="65"/>
    <n v="67.166666666666671"/>
    <n v="4.2818865466603508"/>
    <n v="16389.646524159165"/>
    <s v="C"/>
  </r>
  <r>
    <x v="2"/>
    <s v="FORNO E FOGÃO"/>
    <s v="TAMPA P/ FOGÃO A LENHA"/>
    <s v="11500004"/>
    <s v="CAIXA"/>
    <n v="119"/>
    <x v="100"/>
    <n v="4.5"/>
    <n v="54.5"/>
    <n v="86"/>
    <n v="5.4"/>
    <n v="2.1091499999999999E-2"/>
    <x v="248"/>
    <n v="35"/>
    <x v="357"/>
    <n v="40"/>
    <n v="0.875"/>
    <n v="46.666666666666671"/>
    <n v="47.541666666666671"/>
    <n v="3.082810279488394"/>
    <n v="16392.729334438653"/>
    <s v="C"/>
  </r>
  <r>
    <x v="3"/>
    <s v="INFORMÁTICA"/>
    <s v="NOTEBOOK"/>
    <s v="INSPIRON I14-3437-A45"/>
    <s v="UNIDADE"/>
    <n v="1300"/>
    <x v="114"/>
    <n v="2.8"/>
    <n v="24.5"/>
    <n v="34.6"/>
    <n v="2.1"/>
    <n v="2.3735599999999998E-3"/>
    <x v="249"/>
    <n v="3290"/>
    <x v="358"/>
    <n v="15"/>
    <n v="219.33333333333334"/>
    <n v="1645"/>
    <n v="1864.3333333333333"/>
    <n v="3165.7093794410234"/>
    <n v="3165.7093794410234"/>
    <s v="A"/>
  </r>
  <r>
    <x v="3"/>
    <s v="PORTATÉIS"/>
    <s v="MAQUINA FOTOGRAFICA DIGITAL SL 1000"/>
    <s v="884076"/>
    <s v="PEÇA"/>
    <n v="1120"/>
    <x v="115"/>
    <n v="18"/>
    <n v="13"/>
    <n v="19"/>
    <n v="1.3"/>
    <n v="4.4460000000000003E-3"/>
    <x v="250"/>
    <n v="3290"/>
    <x v="359"/>
    <n v="20"/>
    <n v="164.5"/>
    <n v="2193.3333333333335"/>
    <n v="2357.8333333333335"/>
    <n v="2727.380388441497"/>
    <n v="5893.0897678825204"/>
    <s v="A"/>
  </r>
  <r>
    <x v="3"/>
    <s v="PORTATÉIS"/>
    <s v="VITROLA HI-FI"/>
    <s v="2080634"/>
    <s v="PEÇA"/>
    <n v="899"/>
    <x v="116"/>
    <n v="31"/>
    <n v="41"/>
    <n v="52"/>
    <n v="10"/>
    <n v="6.6091999999999998E-2"/>
    <x v="251"/>
    <n v="3290"/>
    <x v="360"/>
    <n v="20"/>
    <n v="164.5"/>
    <n v="2193.3333333333335"/>
    <n v="2357.8333333333335"/>
    <n v="2189.2097939365231"/>
    <n v="8082.2995618190434"/>
    <s v="A"/>
  </r>
  <r>
    <x v="3"/>
    <s v="PORTATÉIS"/>
    <s v="MAQUINA FOTOGRAFICA DIGITAL L820 16MP"/>
    <s v="403517"/>
    <s v="PEÇA"/>
    <n v="799"/>
    <x v="117"/>
    <n v="12"/>
    <n v="17"/>
    <n v="14"/>
    <n v="0.98"/>
    <n v="2.856E-3"/>
    <x v="252"/>
    <n v="3290"/>
    <x v="361"/>
    <n v="20"/>
    <n v="164.5"/>
    <n v="2193.3333333333335"/>
    <n v="2357.8333333333335"/>
    <n v="1945.6936878256752"/>
    <n v="10027.993249644718"/>
    <s v="A"/>
  </r>
  <r>
    <x v="3"/>
    <s v="PORTATÉIS"/>
    <s v="MAQUINA FOTOGRAFICA DIGITAL LCD3"/>
    <s v="884055"/>
    <s v="PEÇA"/>
    <n v="629"/>
    <x v="115"/>
    <n v="15"/>
    <n v="12"/>
    <n v="17"/>
    <n v="1"/>
    <n v="3.0599999999999998E-3"/>
    <x v="253"/>
    <n v="3290"/>
    <x v="362"/>
    <n v="20"/>
    <n v="164.5"/>
    <n v="2193.3333333333335"/>
    <n v="2357.8333333333335"/>
    <n v="1531.7163074372336"/>
    <n v="11559.709557081951"/>
    <s v="A"/>
  </r>
  <r>
    <x v="3"/>
    <s v="INFORMÁTICA"/>
    <s v="TECLADO"/>
    <s v="MULTIMÍDIA COMPACTO USB 15 TECLAS"/>
    <s v="CAIXA (25)"/>
    <n v="625"/>
    <x v="118"/>
    <n v="375"/>
    <n v="125"/>
    <n v="1075"/>
    <n v="1.53"/>
    <n v="50.390625"/>
    <x v="254"/>
    <n v="3290"/>
    <x v="363"/>
    <n v="15"/>
    <n v="219.33333333333334"/>
    <n v="1645"/>
    <n v="1864.3333333333333"/>
    <n v="1521.9756631927996"/>
    <n v="13081.68522027475"/>
    <s v="A"/>
  </r>
  <r>
    <x v="3"/>
    <s v="PORTATÉIS"/>
    <s v="FILMADORA SILVER EDICTION"/>
    <s v="884634"/>
    <s v="PEÇA"/>
    <n v="597"/>
    <x v="119"/>
    <n v="25"/>
    <n v="10"/>
    <n v="10"/>
    <n v="0.93"/>
    <n v="2.5000000000000001E-3"/>
    <x v="255"/>
    <n v="3290"/>
    <x v="364"/>
    <n v="20"/>
    <n v="164.5"/>
    <n v="2193.3333333333335"/>
    <n v="2357.8333333333335"/>
    <n v="1453.7911534817622"/>
    <n v="14535.476373756512"/>
    <s v="A"/>
  </r>
  <r>
    <x v="3"/>
    <s v="PORTATÉIS"/>
    <s v="RADIO AUTOMOTIVO KWR500"/>
    <s v="2080973"/>
    <s v="PEÇA"/>
    <n v="500"/>
    <x v="120"/>
    <n v="11"/>
    <n v="15"/>
    <n v="18"/>
    <n v="1.7"/>
    <n v="2.97E-3"/>
    <x v="256"/>
    <n v="3290"/>
    <x v="365"/>
    <n v="20"/>
    <n v="164.5"/>
    <n v="2193.3333333333335"/>
    <n v="2357.8333333333335"/>
    <n v="1217.5805305542397"/>
    <n v="15753.056904310752"/>
    <s v="A"/>
  </r>
  <r>
    <x v="3"/>
    <s v="INFORMÁTICA"/>
    <s v="NOTEBOOK"/>
    <s v="CHROMEBOOK COM EXYNOS 5"/>
    <s v="UNIDADE"/>
    <n v="490"/>
    <x v="121"/>
    <n v="1.75"/>
    <n v="20.9"/>
    <n v="29"/>
    <n v="1.1000000000000001"/>
    <n v="1.0606749999999996E-3"/>
    <x v="257"/>
    <n v="3290"/>
    <x v="366"/>
    <n v="15"/>
    <n v="219.33333333333334"/>
    <n v="1645"/>
    <n v="1864.3333333333333"/>
    <n v="1193.228919943155"/>
    <n v="16946.285824253908"/>
    <s v="A"/>
  </r>
  <r>
    <x v="3"/>
    <s v="TELEFONIA"/>
    <s v="SMARTPHONE GALAXY S5"/>
    <s v="1555095"/>
    <s v="PEÇA"/>
    <n v="2287"/>
    <x v="90"/>
    <n v="15"/>
    <n v="5"/>
    <n v="8"/>
    <n v="0.41"/>
    <n v="5.9999999999999995E-4"/>
    <x v="258"/>
    <n v="600"/>
    <x v="367"/>
    <n v="15"/>
    <n v="40"/>
    <n v="300"/>
    <n v="340"/>
    <n v="1015.6620085267646"/>
    <n v="17961.947832780672"/>
    <s v="A"/>
  </r>
  <r>
    <x v="3"/>
    <s v="TELEFONIA"/>
    <s v="SMARTPHONE XPERIA Z2"/>
    <s v="2094896"/>
    <s v="PEÇA"/>
    <n v="2200"/>
    <x v="122"/>
    <n v="14"/>
    <n v="0.82"/>
    <n v="7.33"/>
    <n v="0.16"/>
    <n v="8.4148399999999995E-5"/>
    <x v="259"/>
    <n v="600"/>
    <x v="368"/>
    <n v="15"/>
    <n v="40"/>
    <n v="300"/>
    <n v="340"/>
    <n v="977.02510658455708"/>
    <n v="18938.972939365231"/>
    <s v="B"/>
  </r>
  <r>
    <x v="3"/>
    <s v="PORTATÉIS"/>
    <s v="RADIO AUTOMOTIVO KSR750"/>
    <s v="2080972"/>
    <s v="PEÇA"/>
    <n v="332"/>
    <x v="120"/>
    <n v="5"/>
    <n v="15"/>
    <n v="18"/>
    <n v="1.5"/>
    <n v="1.3500000000000001E-3"/>
    <x v="260"/>
    <n v="3290"/>
    <x v="369"/>
    <n v="20"/>
    <n v="164.5"/>
    <n v="2193.3333333333335"/>
    <n v="2357.8333333333335"/>
    <n v="808.47347228801516"/>
    <n v="19747.446411653247"/>
    <s v="B"/>
  </r>
  <r>
    <x v="3"/>
    <s v="PORTATÉIS"/>
    <s v="RADIO AUTOMOTIVO KDR449"/>
    <s v="2080970"/>
    <s v="PEÇA"/>
    <n v="269"/>
    <x v="120"/>
    <n v="5"/>
    <n v="15"/>
    <n v="18"/>
    <n v="1.2"/>
    <n v="1.3500000000000001E-3"/>
    <x v="260"/>
    <n v="3290"/>
    <x v="370"/>
    <n v="20"/>
    <n v="164.5"/>
    <n v="2193.3333333333335"/>
    <n v="2357.8333333333335"/>
    <n v="655.05832543818099"/>
    <n v="20402.504737091429"/>
    <s v="B"/>
  </r>
  <r>
    <x v="3"/>
    <s v="TELEFONIA"/>
    <s v="SMARTPHONE IPHONE 4S"/>
    <s v="867609"/>
    <s v="PEÇA"/>
    <n v="1300"/>
    <x v="123"/>
    <n v="11"/>
    <n v="0.93"/>
    <n v="5.86"/>
    <n v="0.14000000000000001"/>
    <n v="5.9947800000000009E-5"/>
    <x v="261"/>
    <n v="600"/>
    <x v="371"/>
    <n v="15"/>
    <n v="40"/>
    <n v="300"/>
    <n v="340"/>
    <n v="577.33301752723833"/>
    <n v="20979.837754618668"/>
    <s v="B"/>
  </r>
  <r>
    <x v="3"/>
    <s v="PORTATÉIS"/>
    <s v="RADIO PORTATIL PB119"/>
    <s v="318254"/>
    <s v="PEÇA"/>
    <n v="159"/>
    <x v="101"/>
    <n v="29"/>
    <n v="25"/>
    <n v="14"/>
    <n v="1.5"/>
    <n v="1.0149999999999999E-2"/>
    <x v="262"/>
    <n v="3290"/>
    <x v="372"/>
    <n v="20"/>
    <n v="164.5"/>
    <n v="2193.3333333333335"/>
    <n v="2357.8333333333335"/>
    <n v="387.19060871624822"/>
    <n v="21367.028363334917"/>
    <s v="B"/>
  </r>
  <r>
    <x v="3"/>
    <s v="TELEFONIA"/>
    <s v="SMARTPHONE XPERIA C DUAL"/>
    <s v="1557077"/>
    <s v="PEÇA"/>
    <n v="849"/>
    <x v="122"/>
    <n v="7.41"/>
    <n v="0.88"/>
    <n v="14.15"/>
    <n v="0.15"/>
    <n v="9.2269320000000002E-5"/>
    <x v="263"/>
    <n v="600"/>
    <x v="373"/>
    <n v="15"/>
    <n v="40"/>
    <n v="300"/>
    <n v="340"/>
    <n v="377.0428706774041"/>
    <n v="21744.071234012321"/>
    <s v="B"/>
  </r>
  <r>
    <x v="3"/>
    <s v="PORTATÉIS"/>
    <s v="DOCK STATION PH10"/>
    <s v="2080781"/>
    <s v="PEÇA"/>
    <n v="150"/>
    <x v="101"/>
    <n v="28"/>
    <n v="53"/>
    <n v="26"/>
    <n v="5"/>
    <n v="3.8584E-2"/>
    <x v="264"/>
    <n v="3290"/>
    <x v="374"/>
    <n v="20"/>
    <n v="164.5"/>
    <n v="2193.3333333333335"/>
    <n v="2357.8333333333335"/>
    <n v="365.27415916627194"/>
    <n v="22109.345393178592"/>
    <s v="B"/>
  </r>
  <r>
    <x v="3"/>
    <s v="TELEFONIA"/>
    <s v="SMARTPHONE XPERIA M2 "/>
    <s v="867631"/>
    <s v="PEÇA"/>
    <n v="764"/>
    <x v="122"/>
    <n v="7.11"/>
    <n v="0.86"/>
    <n v="13.96"/>
    <n v="0.14000000000000001"/>
    <n v="8.5359816000000013E-5"/>
    <x v="265"/>
    <n v="600"/>
    <x v="375"/>
    <n v="15"/>
    <n v="40"/>
    <n v="300"/>
    <n v="340"/>
    <n v="339.2941733775462"/>
    <n v="22448.639566556139"/>
    <s v="B"/>
  </r>
  <r>
    <x v="3"/>
    <s v="TELEFONIA"/>
    <s v="SMARTPHONE MOTO G "/>
    <s v="867356"/>
    <s v="PEÇA"/>
    <n v="703"/>
    <x v="124"/>
    <n v="12"/>
    <n v="1.1599999999999999"/>
    <n v="6.59"/>
    <n v="0.38"/>
    <n v="9.1732799999999997E-5"/>
    <x v="266"/>
    <n v="600"/>
    <x v="376"/>
    <n v="15"/>
    <n v="40"/>
    <n v="300"/>
    <n v="340"/>
    <n v="312.20393178588347"/>
    <n v="22760.843498342023"/>
    <s v="B"/>
  </r>
  <r>
    <x v="3"/>
    <s v="TELEFONIA"/>
    <s v="SMARTPHONE GALAXY SII"/>
    <s v="1551315"/>
    <s v="PEÇA"/>
    <n v="699"/>
    <x v="90"/>
    <n v="6"/>
    <n v="0.98"/>
    <n v="12"/>
    <n v="0.12"/>
    <n v="7.0560000000000002E-5"/>
    <x v="267"/>
    <n v="600"/>
    <x v="377"/>
    <n v="15"/>
    <n v="40"/>
    <n v="300"/>
    <n v="340"/>
    <n v="310.42752250118428"/>
    <n v="23071.271020843207"/>
    <s v="B"/>
  </r>
  <r>
    <x v="3"/>
    <s v="TELEFONIA"/>
    <s v="SMARTPHONE GALAXY CORE DUOS"/>
    <s v="867746"/>
    <s v="PEÇA"/>
    <n v="615"/>
    <x v="90"/>
    <n v="7"/>
    <n v="0.98"/>
    <n v="3"/>
    <n v="0.36"/>
    <n v="2.0579999999999999E-5"/>
    <x v="268"/>
    <n v="600"/>
    <x v="378"/>
    <n v="15"/>
    <n v="40"/>
    <n v="300"/>
    <n v="340"/>
    <n v="273.12292752250119"/>
    <n v="23344.393948365709"/>
    <s v="C"/>
  </r>
  <r>
    <x v="3"/>
    <s v="TELEFONIA"/>
    <s v="SMARTPHONE IDOL ONE"/>
    <s v="867344"/>
    <s v="PEÇA"/>
    <n v="615"/>
    <x v="125"/>
    <n v="6"/>
    <n v="0.79"/>
    <n v="13.13"/>
    <n v="0.11"/>
    <n v="6.2236200000000006E-5"/>
    <x v="269"/>
    <n v="600"/>
    <x v="378"/>
    <n v="15"/>
    <n v="40"/>
    <n v="300"/>
    <n v="340"/>
    <n v="273.12292752250119"/>
    <n v="23617.51687588821"/>
    <s v="C"/>
  </r>
  <r>
    <x v="3"/>
    <s v="TELEFONIA"/>
    <s v="SMARTPHONE MOTO E "/>
    <s v="867707"/>
    <s v="PEÇA"/>
    <n v="527"/>
    <x v="124"/>
    <n v="13"/>
    <n v="6"/>
    <n v="7"/>
    <n v="0.27"/>
    <n v="5.4600000000000004E-4"/>
    <x v="270"/>
    <n v="600"/>
    <x v="379"/>
    <n v="15"/>
    <n v="40"/>
    <n v="300"/>
    <n v="340"/>
    <n v="234.0419232591189"/>
    <n v="23851.558799147329"/>
    <s v="C"/>
  </r>
  <r>
    <x v="3"/>
    <s v="TELEFONIA"/>
    <s v="SMARTPHONE OPTIMUM 01"/>
    <s v="1557028"/>
    <s v="PEÇA"/>
    <n v="289"/>
    <x v="126"/>
    <n v="1.22"/>
    <n v="10.199999999999999"/>
    <n v="5"/>
    <n v="0.1"/>
    <n v="6.2219999999999997E-5"/>
    <x v="271"/>
    <n v="600"/>
    <x v="380"/>
    <n v="15"/>
    <n v="40"/>
    <n v="300"/>
    <n v="340"/>
    <n v="128.34557081951681"/>
    <n v="23979.904369966847"/>
    <s v="C"/>
  </r>
  <r>
    <x v="3"/>
    <s v="TELEFONIA"/>
    <s v="SMARTPHONE OPTIMUS L1"/>
    <s v="1557028"/>
    <s v="PEÇA"/>
    <n v="289"/>
    <x v="126"/>
    <n v="1.22"/>
    <n v="10.29"/>
    <n v="5.92"/>
    <n v="0.1"/>
    <n v="7.4318495999999999E-5"/>
    <x v="272"/>
    <n v="600"/>
    <x v="380"/>
    <n v="15"/>
    <n v="40"/>
    <n v="300"/>
    <n v="340"/>
    <n v="128.34557081951681"/>
    <n v="24108.249940786365"/>
    <s v="C"/>
  </r>
  <r>
    <x v="3"/>
    <s v="INFORMÁTICA"/>
    <s v="NOTEBOOK"/>
    <s v="ASUS COM INTEL CORE I5 4GB 500GB"/>
    <s v="UNIDADE"/>
    <n v="850"/>
    <x v="127"/>
    <n v="2.48"/>
    <n v="34.799999999999997"/>
    <n v="24.1"/>
    <n v="2.2999999999999998"/>
    <n v="2.0799263999999999E-3"/>
    <x v="273"/>
    <n v="150"/>
    <x v="381"/>
    <n v="15"/>
    <n v="10"/>
    <n v="75"/>
    <n v="85"/>
    <n v="94.371743249644723"/>
    <n v="24202.62168403601"/>
    <s v="C"/>
  </r>
  <r>
    <x v="3"/>
    <s v="INFORMÁTICA"/>
    <s v="MOUSE"/>
    <s v="WIRELESS CLAMSHELL 0979 USB"/>
    <s v="CAIXA (30)"/>
    <n v="37"/>
    <x v="128"/>
    <n v="270"/>
    <n v="105"/>
    <n v="156"/>
    <n v="1.5"/>
    <n v="4.4226000000000001"/>
    <x v="274"/>
    <n v="3290"/>
    <x v="382"/>
    <n v="15"/>
    <n v="219.33333333333334"/>
    <n v="1645"/>
    <n v="1864.3333333333333"/>
    <n v="90.100959261013742"/>
    <n v="24292.722643297024"/>
    <s v="C"/>
  </r>
  <r>
    <x v="3"/>
    <s v="TELEFONIA"/>
    <s v="TELEFONE S/ FIO"/>
    <s v="669066"/>
    <s v="PEÇA"/>
    <n v="175"/>
    <x v="129"/>
    <n v="10"/>
    <n v="4"/>
    <n v="9"/>
    <n v="0.39"/>
    <n v="3.6000000000000002E-4"/>
    <x v="275"/>
    <n v="600"/>
    <x v="383"/>
    <n v="15"/>
    <n v="40"/>
    <n v="300"/>
    <n v="340"/>
    <n v="77.71790620558977"/>
    <n v="24370.440549502615"/>
    <s v="C"/>
  </r>
  <r>
    <x v="3"/>
    <s v="TELEFONIA"/>
    <s v="SMARTPHONE C299"/>
    <s v="867624"/>
    <s v="PEÇA"/>
    <n v="175"/>
    <x v="126"/>
    <n v="8"/>
    <n v="6"/>
    <n v="11"/>
    <n v="0.23"/>
    <n v="5.2800000000000004E-4"/>
    <x v="276"/>
    <n v="600"/>
    <x v="383"/>
    <n v="15"/>
    <n v="40"/>
    <n v="300"/>
    <n v="340"/>
    <n v="77.71790620558977"/>
    <n v="24448.158455708206"/>
    <s v="C"/>
  </r>
  <r>
    <x v="3"/>
    <s v="INFORMÁTICA"/>
    <s v="MOUSE"/>
    <s v="MO186"/>
    <s v="CAIXA (30)"/>
    <n v="28"/>
    <x v="130"/>
    <n v="96"/>
    <n v="303"/>
    <n v="186"/>
    <n v="1.56"/>
    <n v="5.4103680000000001"/>
    <x v="277"/>
    <n v="3290"/>
    <x v="384"/>
    <n v="15"/>
    <n v="219.33333333333334"/>
    <n v="1645"/>
    <n v="1864.3333333333333"/>
    <n v="68.184509711037421"/>
    <n v="24516.342965419244"/>
    <s v="C"/>
  </r>
  <r>
    <x v="3"/>
    <s v="INFORMÁTICA"/>
    <s v="MONITOR"/>
    <s v="LED 19,5&quot; TOUCHSCREEN HD AOC E2060VWT"/>
    <s v="UNIDADE"/>
    <n v="510"/>
    <x v="131"/>
    <n v="34.630000000000003"/>
    <n v="46.46"/>
    <n v="15.6"/>
    <n v="2.1"/>
    <n v="2.509899288E-2"/>
    <x v="278"/>
    <n v="150"/>
    <x v="385"/>
    <n v="15"/>
    <n v="10"/>
    <n v="75"/>
    <n v="85"/>
    <n v="56.623045949786835"/>
    <n v="24572.96601136903"/>
    <s v="C"/>
  </r>
  <r>
    <x v="3"/>
    <s v="PORTATÉIS"/>
    <s v="FILMADORA WHITE EDICTION 5MP"/>
    <s v="884676"/>
    <s v="PEÇA"/>
    <n v="1259"/>
    <x v="119"/>
    <n v="25"/>
    <n v="10"/>
    <n v="10"/>
    <n v="0.56999999999999995"/>
    <n v="2.5000000000000001E-3"/>
    <x v="77"/>
    <n v="60"/>
    <x v="386"/>
    <n v="20"/>
    <n v="3"/>
    <n v="40"/>
    <n v="43"/>
    <n v="55.912482235907156"/>
    <n v="24628.878493604938"/>
    <s v="C"/>
  </r>
  <r>
    <x v="3"/>
    <s v="TELEFONIA"/>
    <s v="TELEFONE S/ FIO DIGITAL"/>
    <s v="2015639"/>
    <s v="PEÇA"/>
    <n v="119"/>
    <x v="124"/>
    <n v="9"/>
    <n v="14"/>
    <n v="5"/>
    <n v="0.39"/>
    <n v="6.3000000000000003E-4"/>
    <x v="279"/>
    <n v="600"/>
    <x v="387"/>
    <n v="15"/>
    <n v="40"/>
    <n v="300"/>
    <n v="340"/>
    <n v="52.84817621980104"/>
    <n v="24681.72666982474"/>
    <s v="C"/>
  </r>
  <r>
    <x v="3"/>
    <s v="INFORMÁTICA"/>
    <s v="IMPRESSORA"/>
    <s v="EPSON TANQUE DE TINTA L800"/>
    <s v="UNIDADE"/>
    <n v="680"/>
    <x v="132"/>
    <n v="18.8"/>
    <n v="53.7"/>
    <n v="28.9"/>
    <n v="6.2"/>
    <n v="2.9176284000000004E-2"/>
    <x v="280"/>
    <n v="100"/>
    <x v="388"/>
    <n v="15"/>
    <n v="6.666666666666667"/>
    <n v="50"/>
    <n v="56.666666666666664"/>
    <n v="50.331596399810515"/>
    <n v="24732.058266224551"/>
    <s v="C"/>
  </r>
  <r>
    <x v="3"/>
    <s v="INFORMÁTICA"/>
    <s v="CPU"/>
    <s v="COMPAQ 6005 PRO SMALL FROM FACTOR"/>
    <s v="UNIDADE"/>
    <n v="500"/>
    <x v="133"/>
    <n v="50"/>
    <n v="45"/>
    <n v="25"/>
    <n v="15"/>
    <n v="5.6250000000000001E-2"/>
    <x v="281"/>
    <n v="130"/>
    <x v="389"/>
    <n v="15"/>
    <n v="8.6666666666666661"/>
    <n v="65"/>
    <n v="73.666666666666671"/>
    <n v="48.111084793936527"/>
    <n v="24780.169351018489"/>
    <s v="C"/>
  </r>
  <r>
    <x v="3"/>
    <s v="INFORMÁTICA"/>
    <s v="CPU"/>
    <s v="COMPAQ PRO "/>
    <s v="UNIDADE"/>
    <n v="480"/>
    <x v="133"/>
    <n v="48"/>
    <n v="46"/>
    <n v="30"/>
    <n v="18"/>
    <n v="6.6239999999999993E-2"/>
    <x v="282"/>
    <n v="130"/>
    <x v="390"/>
    <n v="15"/>
    <n v="8.6666666666666661"/>
    <n v="65"/>
    <n v="73.666666666666671"/>
    <n v="46.186641402179063"/>
    <n v="24826.355992420667"/>
    <s v="C"/>
  </r>
  <r>
    <x v="3"/>
    <s v="INFORMÁTICA"/>
    <s v="TECLADO"/>
    <s v="FLEXÍVEL COLORIDO 60312-4"/>
    <s v="CAIXA (25)"/>
    <n v="450"/>
    <x v="118"/>
    <n v="250"/>
    <n v="250"/>
    <n v="375"/>
    <n v="12.5"/>
    <n v="23.4375"/>
    <x v="283"/>
    <n v="120"/>
    <x v="229"/>
    <n v="15"/>
    <n v="8"/>
    <n v="60"/>
    <n v="68"/>
    <n v="39.969208905731882"/>
    <n v="24866.325201326399"/>
    <s v="C"/>
  </r>
  <r>
    <x v="3"/>
    <s v="PORTATÉIS"/>
    <s v="MAQUINA FOTOGRAFICA DIGITAL 16 MP"/>
    <s v="403516"/>
    <s v="PEÇA"/>
    <n v="799"/>
    <x v="117"/>
    <n v="12"/>
    <n v="17"/>
    <n v="14"/>
    <n v="0.48"/>
    <n v="2.856E-3"/>
    <x v="284"/>
    <n v="60"/>
    <x v="391"/>
    <n v="20"/>
    <n v="3"/>
    <n v="40"/>
    <n v="43"/>
    <n v="35.483775461866415"/>
    <n v="24901.808976788267"/>
    <s v="C"/>
  </r>
  <r>
    <x v="3"/>
    <s v="TELEFONIA"/>
    <s v="TELEFONE S/ FIO 6.0"/>
    <s v="1500621"/>
    <s v="PEÇA"/>
    <n v="79"/>
    <x v="124"/>
    <n v="17"/>
    <n v="11"/>
    <n v="11"/>
    <n v="0.42"/>
    <n v="2.0569999999999998E-3"/>
    <x v="285"/>
    <n v="600"/>
    <x v="392"/>
    <n v="15"/>
    <n v="40"/>
    <n v="300"/>
    <n v="340"/>
    <n v="35.084083372809097"/>
    <n v="24936.893060161077"/>
    <s v="C"/>
  </r>
  <r>
    <x v="3"/>
    <s v="TELEFONIA"/>
    <s v="TELEFONE S/ FIO MEMÓRIA 10 CONTATOS"/>
    <s v="2032152"/>
    <s v="PEÇA"/>
    <n v="79"/>
    <x v="129"/>
    <n v="9"/>
    <n v="17"/>
    <n v="13"/>
    <n v="0.39"/>
    <n v="1.9889999999999999E-3"/>
    <x v="286"/>
    <n v="600"/>
    <x v="392"/>
    <n v="15"/>
    <n v="40"/>
    <n v="300"/>
    <n v="340"/>
    <n v="35.084083372809097"/>
    <n v="24971.977143533888"/>
    <s v="C"/>
  </r>
  <r>
    <x v="3"/>
    <s v="TELEFONIA"/>
    <s v="TELEFONE S/ FIO 14 MELODIAS"/>
    <s v="1500416"/>
    <s v="PEÇA"/>
    <n v="79"/>
    <x v="134"/>
    <n v="14"/>
    <n v="33"/>
    <n v="50"/>
    <n v="0.38"/>
    <n v="2.3099999999999999E-2"/>
    <x v="287"/>
    <n v="600"/>
    <x v="392"/>
    <n v="15"/>
    <n v="40"/>
    <n v="300"/>
    <n v="340"/>
    <n v="35.084083372809097"/>
    <n v="25007.061226906699"/>
    <s v="C"/>
  </r>
  <r>
    <x v="3"/>
    <s v="TELEFONIA"/>
    <s v="TELEFONE S/ FIO DETECT"/>
    <s v="2032312"/>
    <s v="PEÇA"/>
    <n v="79"/>
    <x v="135"/>
    <n v="16"/>
    <n v="16"/>
    <n v="8"/>
    <n v="0.36"/>
    <n v="2.0479999999999999E-3"/>
    <x v="288"/>
    <n v="600"/>
    <x v="392"/>
    <n v="15"/>
    <n v="40"/>
    <n v="300"/>
    <n v="340"/>
    <n v="35.084083372809097"/>
    <n v="25042.145310279509"/>
    <s v="C"/>
  </r>
  <r>
    <x v="3"/>
    <s v="PORTATÉIS"/>
    <s v="FILMADORA ACTION CAM"/>
    <s v="406852"/>
    <s v="PEÇA"/>
    <n v="789"/>
    <x v="122"/>
    <n v="17"/>
    <n v="7"/>
    <n v="12"/>
    <n v="0.44"/>
    <n v="1.428E-3"/>
    <x v="289"/>
    <n v="60"/>
    <x v="393"/>
    <n v="20"/>
    <n v="3"/>
    <n v="40"/>
    <n v="43"/>
    <n v="35.039673140691619"/>
    <n v="25077.1849834202"/>
    <s v="C"/>
  </r>
  <r>
    <x v="3"/>
    <s v="INFORMÁTICA"/>
    <s v="IMPRESSORA"/>
    <s v="HP LASERJET PRO P1102"/>
    <s v="UNIDADE"/>
    <n v="275"/>
    <x v="133"/>
    <n v="19.600000000000001"/>
    <n v="34.9"/>
    <n v="23.8"/>
    <n v="5.3"/>
    <n v="1.6280152000000003E-2"/>
    <x v="290"/>
    <n v="170"/>
    <x v="394"/>
    <n v="15"/>
    <n v="11.333333333333334"/>
    <n v="85"/>
    <n v="96.333333333333329"/>
    <n v="34.602972524869728"/>
    <n v="25111.78795594507"/>
    <s v="C"/>
  </r>
  <r>
    <x v="3"/>
    <s v="PORTATÉIS"/>
    <s v="FILMADORA CX220 FULL HD"/>
    <s v="406850"/>
    <s v="PEÇA"/>
    <n v="741"/>
    <x v="122"/>
    <n v="19"/>
    <n v="9"/>
    <n v="15"/>
    <n v="0.8"/>
    <n v="2.565E-3"/>
    <x v="291"/>
    <n v="60"/>
    <x v="395"/>
    <n v="20"/>
    <n v="3"/>
    <n v="40"/>
    <n v="43"/>
    <n v="32.907981999052581"/>
    <n v="25144.695937944121"/>
    <s v="C"/>
  </r>
  <r>
    <x v="3"/>
    <s v="INFORMÁTICA"/>
    <s v="MONITOR"/>
    <s v="LED 19,5&quot; LG 20EN33SS"/>
    <s v="UNIDADE"/>
    <n v="290"/>
    <x v="126"/>
    <n v="28.6"/>
    <n v="46.3"/>
    <n v="5.7"/>
    <n v="2.2000000000000002"/>
    <n v="7.5478259999999988E-3"/>
    <x v="292"/>
    <n v="150"/>
    <x v="396"/>
    <n v="15"/>
    <n v="10"/>
    <n v="75"/>
    <n v="85"/>
    <n v="32.197418285172901"/>
    <n v="25176.893356229295"/>
    <s v="C"/>
  </r>
  <r>
    <x v="3"/>
    <s v="INFORMÁTICA"/>
    <s v="TECLADO"/>
    <s v="TECLADO MULTIMÍDIA PS2"/>
    <s v="CAIXA (25)"/>
    <n v="300"/>
    <x v="136"/>
    <n v="500"/>
    <n v="132.5"/>
    <n v="675"/>
    <n v="35"/>
    <n v="44.71875"/>
    <x v="293"/>
    <n v="130"/>
    <x v="397"/>
    <n v="15"/>
    <n v="8.6666666666666661"/>
    <n v="65"/>
    <n v="73.666666666666671"/>
    <n v="28.866650876361916"/>
    <n v="25205.760007105659"/>
    <s v="C"/>
  </r>
  <r>
    <x v="3"/>
    <s v="PORTATÉIS"/>
    <s v="GPS HUD AUTOMOTIVO"/>
    <s v="2080960"/>
    <s v="PEÇA"/>
    <n v="630"/>
    <x v="137"/>
    <n v="8"/>
    <n v="2"/>
    <n v="10"/>
    <n v="0.27"/>
    <n v="1.6000000000000001E-4"/>
    <x v="294"/>
    <n v="60"/>
    <x v="398"/>
    <n v="20"/>
    <n v="3"/>
    <n v="40"/>
    <n v="43"/>
    <n v="27.978446234012317"/>
    <n v="25233.738453339673"/>
    <s v="C"/>
  </r>
  <r>
    <x v="3"/>
    <s v="SOM E IMAGEM"/>
    <s v="MINI SISTEM"/>
    <s v="SAMSUNG MX-F850"/>
    <s v="UNIDADE"/>
    <n v="620"/>
    <x v="121"/>
    <n v="35.1"/>
    <n v="30"/>
    <n v="23.3"/>
    <n v="27.4"/>
    <n v="2.4534900000000002E-2"/>
    <x v="295"/>
    <n v="60"/>
    <x v="399"/>
    <n v="40"/>
    <n v="1.5"/>
    <n v="80"/>
    <n v="81.5"/>
    <n v="27.534343912837517"/>
    <n v="25261.27279725251"/>
    <s v="C"/>
  </r>
  <r>
    <x v="3"/>
    <s v="PORTATÉIS"/>
    <s v="GPS NUVI 65 6''"/>
    <s v="2080971"/>
    <s v="PEÇA"/>
    <n v="540"/>
    <x v="137"/>
    <n v="9"/>
    <n v="2"/>
    <n v="16"/>
    <n v="0.24"/>
    <n v="2.8800000000000001E-4"/>
    <x v="296"/>
    <n v="60"/>
    <x v="400"/>
    <n v="20"/>
    <n v="3"/>
    <n v="40"/>
    <n v="43"/>
    <n v="23.981525343439127"/>
    <n v="25285.254322595949"/>
    <s v="C"/>
  </r>
  <r>
    <x v="3"/>
    <s v="TELEFONIA"/>
    <s v="TELEFONE C/ FIO BINA AUTOMATICA"/>
    <s v="8609065"/>
    <s v="PEÇA"/>
    <n v="54"/>
    <x v="129"/>
    <n v="20"/>
    <n v="5"/>
    <n v="6"/>
    <n v="0.38"/>
    <n v="5.9999999999999995E-4"/>
    <x v="258"/>
    <n v="600"/>
    <x v="400"/>
    <n v="15"/>
    <n v="40"/>
    <n v="300"/>
    <n v="340"/>
    <n v="23.981525343439127"/>
    <n v="25309.235847939388"/>
    <s v="C"/>
  </r>
  <r>
    <x v="3"/>
    <s v="INFORMÁTICA"/>
    <s v="ESTABILIZADOR"/>
    <s v="MÓDULO ISOLADOR PROGRESSIVE III 500VA"/>
    <s v="CAIXA (20)"/>
    <n v="190"/>
    <x v="138"/>
    <n v="296"/>
    <n v="620"/>
    <n v="210"/>
    <n v="134"/>
    <n v="38.539200000000001"/>
    <x v="297"/>
    <n v="150"/>
    <x v="401"/>
    <n v="15"/>
    <n v="10"/>
    <n v="75"/>
    <n v="85"/>
    <n v="21.094860255802939"/>
    <n v="25330.33070819519"/>
    <s v="C"/>
  </r>
  <r>
    <x v="3"/>
    <s v="PORTATÉIS"/>
    <s v="GPS  NUVI 52 5''"/>
    <s v="2080546"/>
    <s v="PEÇA"/>
    <n v="449"/>
    <x v="137"/>
    <n v="16"/>
    <n v="7"/>
    <n v="11"/>
    <n v="0.42"/>
    <n v="1.232E-3"/>
    <x v="298"/>
    <n v="60"/>
    <x v="340"/>
    <n v="20"/>
    <n v="3"/>
    <n v="40"/>
    <n v="43"/>
    <n v="19.940194220748459"/>
    <n v="25350.270902415938"/>
    <s v="C"/>
  </r>
  <r>
    <x v="3"/>
    <s v="INFORMÁTICA"/>
    <s v="MONITOR"/>
    <s v="WIDESCREEN IPS LED 27&quot; PHILIPS AMBIGLOW 278G4DHSD"/>
    <s v="UNIDADE"/>
    <n v="820"/>
    <x v="91"/>
    <n v="47.1"/>
    <n v="62.3"/>
    <n v="19.7"/>
    <n v="5.4"/>
    <n v="5.7806300999999997E-2"/>
    <x v="299"/>
    <n v="32"/>
    <x v="402"/>
    <n v="15"/>
    <n v="2.1333333333333333"/>
    <n v="16"/>
    <n v="18.133333333333333"/>
    <n v="19.422074846044531"/>
    <n v="25369.692977261981"/>
    <s v="C"/>
  </r>
  <r>
    <x v="3"/>
    <s v="PORTATÉIS"/>
    <s v="GPS GP012"/>
    <s v="330026"/>
    <s v="PEÇA"/>
    <n v="242"/>
    <x v="130"/>
    <n v="15"/>
    <n v="6"/>
    <n v="18"/>
    <n v="0.71"/>
    <n v="1.6199999999999999E-3"/>
    <x v="300"/>
    <n v="60"/>
    <x v="403"/>
    <n v="20"/>
    <n v="3"/>
    <n v="40"/>
    <n v="43"/>
    <n v="10.747276172430128"/>
    <n v="25380.440253434412"/>
    <s v="C"/>
  </r>
  <r>
    <x v="3"/>
    <s v="INFORMÁTICA"/>
    <s v="ESTABILIZADOR"/>
    <s v="EVO III 500VA/W BIVOLT AUTO"/>
    <s v="CAIXA (10)"/>
    <n v="70"/>
    <x v="139"/>
    <n v="160"/>
    <n v="265"/>
    <n v="120"/>
    <n v="66"/>
    <n v="5.0880000000000001"/>
    <x v="301"/>
    <n v="150"/>
    <x v="404"/>
    <n v="15"/>
    <n v="10"/>
    <n v="75"/>
    <n v="85"/>
    <n v="7.7717906205589768"/>
    <n v="25388.21204405497"/>
    <s v="C"/>
  </r>
  <r>
    <x v="3"/>
    <s v="INFORMÁTICA"/>
    <s v="ESTABILIZADOR"/>
    <s v="REVOLUTION SPEEDY COMPACTO"/>
    <s v="CAIXA (20)"/>
    <n v="65"/>
    <x v="138"/>
    <n v="400"/>
    <n v="370"/>
    <n v="212"/>
    <n v="72"/>
    <n v="31.376000000000001"/>
    <x v="302"/>
    <n v="150"/>
    <x v="405"/>
    <n v="15"/>
    <n v="10"/>
    <n v="75"/>
    <n v="85"/>
    <n v="7.2166627190904791"/>
    <n v="25395.428706774059"/>
    <s v="C"/>
  </r>
  <r>
    <x v="3"/>
    <s v="INFORMÁTICA"/>
    <s v="PENDRIVE"/>
    <s v="SANDISK 32GB CRUZER FORCE/METAL"/>
    <s v="CAIXA (50)"/>
    <n v="54"/>
    <x v="140"/>
    <n v="35"/>
    <n v="170"/>
    <n v="60"/>
    <n v="5"/>
    <n v="0.35699999999999998"/>
    <x v="303"/>
    <n v="170"/>
    <x v="406"/>
    <n v="15"/>
    <n v="11.333333333333334"/>
    <n v="85"/>
    <n v="96.333333333333329"/>
    <n v="6.7947655139744203"/>
    <n v="25402.223472288035"/>
    <s v="C"/>
  </r>
  <r>
    <x v="3"/>
    <s v="INFORMÁTICA"/>
    <s v="TECLADO"/>
    <s v="BÁSICO CHOCOLATE COM FIO"/>
    <s v="CAIXA (25)"/>
    <n v="58"/>
    <x v="130"/>
    <n v="45"/>
    <n v="1100"/>
    <n v="377.5"/>
    <n v="111.25"/>
    <n v="18.686250000000001"/>
    <x v="304"/>
    <n v="150"/>
    <x v="407"/>
    <n v="15"/>
    <n v="10"/>
    <n v="75"/>
    <n v="85"/>
    <n v="6.4394836570345806"/>
    <n v="25408.66295594507"/>
    <s v="C"/>
  </r>
  <r>
    <x v="3"/>
    <s v="INFORMÁTICA"/>
    <s v="ESTABILIZADOR"/>
    <s v="ETERNITY 300VA/W BIV/AUTO 115VMET"/>
    <s v="CAIXA (10)"/>
    <n v="52"/>
    <x v="139"/>
    <n v="154"/>
    <n v="103"/>
    <n v="165"/>
    <n v="25"/>
    <n v="2.6172300000000002"/>
    <x v="305"/>
    <n v="130"/>
    <x v="408"/>
    <n v="15"/>
    <n v="8.6666666666666661"/>
    <n v="65"/>
    <n v="73.666666666666671"/>
    <n v="5.0035528185693989"/>
    <n v="25413.666508763639"/>
    <s v="C"/>
  </r>
  <r>
    <x v="3"/>
    <s v="INFORMÁTICA"/>
    <s v="PENDRIVE"/>
    <s v="SANDISK 16GB POP PRETO"/>
    <s v="CAIXA (50)"/>
    <n v="42"/>
    <x v="140"/>
    <n v="20"/>
    <n v="200"/>
    <n v="80"/>
    <n v="2.5"/>
    <n v="0.32"/>
    <x v="306"/>
    <n v="150"/>
    <x v="409"/>
    <n v="15"/>
    <n v="10"/>
    <n v="75"/>
    <n v="85"/>
    <n v="4.6630743723353865"/>
    <n v="25418.329583135976"/>
    <s v="C"/>
  </r>
  <r>
    <x v="3"/>
    <s v="INFORMÁTICA"/>
    <s v="MOUSE"/>
    <s v="WIRELESS MOBILE MOUSE 3500"/>
    <s v="CAIXA (30)"/>
    <n v="56"/>
    <x v="141"/>
    <n v="609.6"/>
    <n v="210.3"/>
    <n v="429"/>
    <n v="12.54"/>
    <n v="54.997319520000012"/>
    <x v="307"/>
    <n v="100"/>
    <x v="410"/>
    <n v="15"/>
    <n v="6.666666666666667"/>
    <n v="50"/>
    <n v="56.666666666666664"/>
    <n v="4.1449549976314541"/>
    <n v="25422.474538133607"/>
    <s v="C"/>
  </r>
  <r>
    <x v="3"/>
    <s v="PORTATÉIS"/>
    <s v="RADIO AUTOMOTIVO ONE"/>
    <s v="2080496"/>
    <s v="PEÇA"/>
    <n v="80"/>
    <x v="130"/>
    <n v="6"/>
    <n v="13"/>
    <n v="18"/>
    <n v="0.56000000000000005"/>
    <n v="1.4040000000000001E-3"/>
    <x v="308"/>
    <n v="60"/>
    <x v="411"/>
    <n v="20"/>
    <n v="3"/>
    <n v="40"/>
    <n v="43"/>
    <n v="3.5528185693983896"/>
    <n v="25426.027356703005"/>
    <s v="C"/>
  </r>
  <r>
    <x v="3"/>
    <s v="PORTATÉIS"/>
    <s v="RADIO RELÓGIO RR02"/>
    <s v="316120"/>
    <s v="PEÇA"/>
    <n v="55"/>
    <x v="96"/>
    <n v="15"/>
    <n v="7"/>
    <n v="18"/>
    <n v="0.53"/>
    <n v="1.89E-3"/>
    <x v="309"/>
    <n v="60"/>
    <x v="412"/>
    <n v="20"/>
    <n v="3"/>
    <n v="40"/>
    <n v="43"/>
    <n v="2.4425627664613927"/>
    <n v="25428.469919469466"/>
    <s v="C"/>
  </r>
  <r>
    <x v="3"/>
    <s v="INFORMÁTICA"/>
    <s v="MOUSE"/>
    <s v="ÓTICO USB 605093"/>
    <s v="CAIXA (30)"/>
    <n v="16"/>
    <x v="118"/>
    <n v="291"/>
    <n v="84"/>
    <n v="174"/>
    <n v="2.7"/>
    <n v="4.2532560000000004"/>
    <x v="310"/>
    <n v="170"/>
    <x v="413"/>
    <n v="15"/>
    <n v="11.333333333333334"/>
    <n v="85"/>
    <n v="96.333333333333329"/>
    <n v="2.0132638559924207"/>
    <n v="25430.483183325458"/>
    <s v="C"/>
  </r>
  <r>
    <x v="3"/>
    <s v="INFORMÁTICA"/>
    <s v="PENDRIVE"/>
    <s v="SANDISK 8GB CRUZER BLADE"/>
    <s v="CAIXA (50)"/>
    <n v="8"/>
    <x v="140"/>
    <n v="20"/>
    <n v="200"/>
    <n v="80"/>
    <n v="2.5"/>
    <n v="0.32"/>
    <x v="311"/>
    <n v="170"/>
    <x v="414"/>
    <n v="15"/>
    <n v="11.333333333333334"/>
    <n v="85"/>
    <n v="96.333333333333329"/>
    <n v="1.0066319279962104"/>
    <n v="25431.489815253455"/>
    <s v="C"/>
  </r>
  <r>
    <x v="3"/>
    <s v="TELEFONIA"/>
    <s v="SMARTPHONE GALAXY DUOS TV"/>
    <s v="2092722"/>
    <s v="PEÇA"/>
    <n v="1055"/>
    <x v="90"/>
    <n v="16"/>
    <n v="4"/>
    <n v="9"/>
    <n v="0.51"/>
    <n v="5.7600000000000001E-4"/>
    <x v="312"/>
    <n v="0.8"/>
    <x v="415"/>
    <n v="15"/>
    <n v="5.3333333333333337E-2"/>
    <n v="0.4"/>
    <n v="0.45333333333333337"/>
    <n v="0.62470393178588346"/>
    <n v="25432.114519185241"/>
    <s v="C"/>
  </r>
  <r>
    <x v="3"/>
    <s v="SOM E IMAGEM"/>
    <s v="TELEVISOR"/>
    <s v="SMART TV 48&quot; SAMSUNG UN48H6300 FULL HD 4HDMI 3USB 240HZ"/>
    <s v="UNIDADE"/>
    <n v="1350"/>
    <x v="121"/>
    <n v="107.5"/>
    <n v="71.099999999999994"/>
    <n v="30.6"/>
    <n v="12.9"/>
    <n v="0.23388344999999999"/>
    <x v="313"/>
    <n v="0.4"/>
    <x v="416"/>
    <n v="40"/>
    <n v="0.01"/>
    <n v="0.53333333333333333"/>
    <n v="0.54333333333333333"/>
    <n v="0.39969208905731884"/>
    <n v="25432.514211274298"/>
    <s v="C"/>
  </r>
  <r>
    <x v="3"/>
    <s v="SOM E IMAGEM"/>
    <s v="TELEVISOR"/>
    <s v="LED 40&quot; CCE LV40G FULL HD USB 2 HDMI 120HZ"/>
    <s v="UNIDADE"/>
    <n v="700"/>
    <x v="142"/>
    <n v="56.6"/>
    <n v="93"/>
    <n v="22.5"/>
    <n v="12.4"/>
    <n v="0.1184355"/>
    <x v="314"/>
    <n v="0.4"/>
    <x v="417"/>
    <n v="40"/>
    <n v="0.01"/>
    <n v="0.53333333333333333"/>
    <n v="0.54333333333333333"/>
    <n v="0.20724774988157271"/>
    <n v="25432.721459024178"/>
    <s v="C"/>
  </r>
  <r>
    <x v="3"/>
    <s v="SOM E IMAGEM"/>
    <s v="TELEVISOR"/>
    <s v="LED 24&quot; AOC 24D1440 FULL HD 2 HDMI 1 USB DTVI 60HZ "/>
    <s v="UNIDADE"/>
    <n v="398"/>
    <x v="131"/>
    <n v="44.5"/>
    <n v="62.2"/>
    <n v="11.6"/>
    <n v="4.5"/>
    <n v="3.210764E-2"/>
    <x v="315"/>
    <n v="0.7"/>
    <x v="418"/>
    <n v="40"/>
    <n v="1.7499999999999998E-2"/>
    <n v="0.93333333333333324"/>
    <n v="0.9508333333333332"/>
    <n v="0.20621151113216482"/>
    <n v="25432.927670535311"/>
    <s v="C"/>
  </r>
  <r>
    <x v="3"/>
    <s v="SOM E IMAGEM"/>
    <s v="MINI SISTEM"/>
    <s v="MINI SYSTEM LG X-METAL CM7520 - 930W"/>
    <s v="UNIDADE"/>
    <n v="670"/>
    <x v="126"/>
    <n v="34.9"/>
    <n v="28.5"/>
    <n v="37"/>
    <n v="9.6"/>
    <n v="3.6802049999999996E-2"/>
    <x v="316"/>
    <n v="0.4"/>
    <x v="419"/>
    <n v="40"/>
    <n v="0.01"/>
    <n v="0.53333333333333333"/>
    <n v="0.54333333333333333"/>
    <n v="0.19836570345807675"/>
    <n v="25433.126036238769"/>
    <s v="C"/>
  </r>
  <r>
    <x v="3"/>
    <s v="SOM E IMAGEM"/>
    <s v="TELEVISOR"/>
    <s v="LG 32LB5600 FULL HD 2 HDMI 1 USB FREQUÊNCIA (120HZ)"/>
    <s v="UNIDADE"/>
    <n v="640"/>
    <x v="126"/>
    <n v="73"/>
    <n v="44"/>
    <n v="5.5"/>
    <n v="6"/>
    <n v="1.7666000000000001E-2"/>
    <x v="317"/>
    <n v="0.4"/>
    <x v="420"/>
    <n v="40"/>
    <n v="0.01"/>
    <n v="0.53333333333333333"/>
    <n v="0.54333333333333333"/>
    <n v="0.18948365703458078"/>
    <n v="25433.315519895805"/>
    <s v="C"/>
  </r>
  <r>
    <x v="3"/>
    <s v="SOM E IMAGEM"/>
    <s v="TELEVISOR"/>
    <s v="SONY 32R434 COM RÁDIO FM USB HDMI MHL"/>
    <s v="UNIDADE"/>
    <n v="460"/>
    <x v="122"/>
    <n v="44.7"/>
    <n v="73.3"/>
    <n v="0.79"/>
    <n v="9"/>
    <n v="2.5884429000000006E-3"/>
    <x v="318"/>
    <n v="0.4"/>
    <x v="421"/>
    <n v="40"/>
    <n v="0.01"/>
    <n v="0.53333333333333333"/>
    <n v="0.54333333333333333"/>
    <n v="0.13619137849360494"/>
    <n v="25433.451711274298"/>
    <s v="C"/>
  </r>
  <r>
    <x v="3"/>
    <s v="SOM E IMAGEM"/>
    <s v="DVD"/>
    <s v="PHILCO ADVENTURE IV BLACK"/>
    <s v="UNIDADE"/>
    <n v="190"/>
    <x v="101"/>
    <n v="4"/>
    <n v="17"/>
    <n v="21"/>
    <n v="0.75"/>
    <n v="1.428E-3"/>
    <x v="319"/>
    <n v="0.8"/>
    <x v="422"/>
    <n v="40"/>
    <n v="0.02"/>
    <n v="1.0666666666666667"/>
    <n v="1.0866666666666667"/>
    <n v="0.11250592136428234"/>
    <n v="25433.564217195661"/>
    <s v="C"/>
  </r>
  <r>
    <x v="3"/>
    <s v="SOM E IMAGEM"/>
    <s v="MINI SISTEM"/>
    <s v="MINI HI-FI SYSTEM  PHILIPS 500W"/>
    <s v="UNIDADE"/>
    <n v="350"/>
    <x v="91"/>
    <n v="32"/>
    <n v="35.200000000000003"/>
    <n v="22"/>
    <n v="12.12"/>
    <n v="2.4780800000000002E-2"/>
    <x v="320"/>
    <n v="0.4"/>
    <x v="423"/>
    <n v="40"/>
    <n v="0.01"/>
    <n v="0.53333333333333333"/>
    <n v="0.54333333333333333"/>
    <n v="0.10362387494078636"/>
    <n v="25433.667841070601"/>
    <s v="C"/>
  </r>
  <r>
    <x v="3"/>
    <s v="SOM E IMAGEM"/>
    <s v="MINI SISTEM"/>
    <s v="MINI SYSTEM SONY MHC-ESX6"/>
    <s v="UNIDADE"/>
    <n v="340"/>
    <x v="122"/>
    <n v="24"/>
    <n v="24.6"/>
    <n v="30.8"/>
    <n v="9"/>
    <n v="1.818432E-2"/>
    <x v="321"/>
    <n v="0.4"/>
    <x v="424"/>
    <n v="40"/>
    <n v="0.01"/>
    <n v="0.53333333333333333"/>
    <n v="0.54333333333333333"/>
    <n v="0.10066319279962103"/>
    <n v="25433.7685042634"/>
    <s v="C"/>
  </r>
  <r>
    <x v="3"/>
    <s v="SOM E IMAGEM"/>
    <s v="ANTENAS"/>
    <s v="KIT DE INSTALAÇÃO SKY LIVRE FLEX COM ANTENA DE 150CM"/>
    <s v="UNIDADE"/>
    <n v="340"/>
    <x v="143"/>
    <n v="10"/>
    <n v="45"/>
    <n v="50"/>
    <n v="9"/>
    <n v="2.2499999999999999E-2"/>
    <x v="322"/>
    <n v="0.4"/>
    <x v="424"/>
    <n v="40"/>
    <n v="0.01"/>
    <n v="0.53333333333333333"/>
    <n v="0.54333333333333333"/>
    <n v="0.10066319279962103"/>
    <n v="25433.8691674562"/>
    <s v="C"/>
  </r>
  <r>
    <x v="3"/>
    <s v="TELEFONIA"/>
    <s v="SMARTPHONE ASHA 220"/>
    <s v="1551081"/>
    <s v="PEÇA"/>
    <n v="169"/>
    <x v="144"/>
    <n v="11"/>
    <n v="1.32"/>
    <n v="5"/>
    <n v="0.83"/>
    <n v="7.2600000000000003E-5"/>
    <x v="323"/>
    <n v="0.8"/>
    <x v="425"/>
    <n v="15"/>
    <n v="5.3333333333333337E-2"/>
    <n v="0.4"/>
    <n v="0.45333333333333337"/>
    <n v="0.10007105637138798"/>
    <n v="25433.969238512571"/>
    <s v="C"/>
  </r>
  <r>
    <x v="3"/>
    <s v="TELEFONIA"/>
    <s v="TELEFONE S/ FIO DIGITIAL CHAMADA VIVA VOZ"/>
    <s v="2015794"/>
    <s v="PEÇA"/>
    <n v="169"/>
    <x v="129"/>
    <n v="14"/>
    <n v="17"/>
    <n v="7"/>
    <n v="0.49"/>
    <n v="1.6659999999999999E-3"/>
    <x v="324"/>
    <n v="0.8"/>
    <x v="425"/>
    <n v="15"/>
    <n v="5.3333333333333337E-2"/>
    <n v="0.4"/>
    <n v="0.45333333333333337"/>
    <n v="0.10007105637138798"/>
    <n v="25434.069309568942"/>
    <s v="C"/>
  </r>
  <r>
    <x v="3"/>
    <s v="TELEFONIA"/>
    <s v="TELEFONE S/ FIO AGENDA TELEFONICA"/>
    <s v="8690009"/>
    <s v="PEÇA"/>
    <n v="159"/>
    <x v="129"/>
    <n v="12"/>
    <n v="20"/>
    <n v="7"/>
    <n v="0.45"/>
    <n v="1.6800000000000001E-3"/>
    <x v="325"/>
    <n v="0.8"/>
    <x v="426"/>
    <n v="15"/>
    <n v="5.3333333333333337E-2"/>
    <n v="0.4"/>
    <n v="0.45333333333333337"/>
    <n v="9.4149692089057324E-2"/>
    <n v="25434.163459261032"/>
    <s v="C"/>
  </r>
  <r>
    <x v="3"/>
    <s v="SOM E IMAGEM"/>
    <s v="DVD"/>
    <s v="PORTÁTIL TECTOY P-4000 BOB ESPONJA"/>
    <s v="UNIDADE"/>
    <n v="140"/>
    <x v="145"/>
    <n v="5"/>
    <n v="21"/>
    <n v="17"/>
    <n v="0.88"/>
    <n v="1.7849999999999999E-3"/>
    <x v="326"/>
    <n v="0.8"/>
    <x v="427"/>
    <n v="40"/>
    <n v="0.02"/>
    <n v="1.0666666666666667"/>
    <n v="1.0866666666666667"/>
    <n v="8.2899099952629091E-2"/>
    <n v="25434.246358360986"/>
    <s v="C"/>
  </r>
  <r>
    <x v="3"/>
    <s v="SOM E IMAGEM"/>
    <s v="ANTENAS"/>
    <s v="GRID STATION 2.4 GHZ 20 DBI GS-2420"/>
    <s v="UNIDADE"/>
    <n v="110"/>
    <x v="146"/>
    <n v="45"/>
    <n v="60"/>
    <n v="45"/>
    <n v="1.95"/>
    <n v="0.1215"/>
    <x v="327"/>
    <n v="0.8"/>
    <x v="428"/>
    <n v="40"/>
    <n v="0.02"/>
    <n v="1.0666666666666667"/>
    <n v="1.0866666666666667"/>
    <n v="6.5135007105637147E-2"/>
    <n v="25434.311493368092"/>
    <s v="C"/>
  </r>
  <r>
    <x v="3"/>
    <s v="SOM E IMAGEM"/>
    <s v="MINI SISTEM"/>
    <s v="MINI SYSTEM 2.0 MULTILASER SP127"/>
    <s v="UNIDADE"/>
    <n v="200"/>
    <x v="130"/>
    <n v="17.2"/>
    <n v="41.8"/>
    <n v="22.4"/>
    <n v="2.4"/>
    <n v="1.6104703999999997E-2"/>
    <x v="328"/>
    <n v="0.4"/>
    <x v="429"/>
    <n v="40"/>
    <n v="0.01"/>
    <n v="0.53333333333333333"/>
    <n v="0.54333333333333333"/>
    <n v="5.9213642823306489E-2"/>
    <n v="25434.370707010916"/>
    <s v="C"/>
  </r>
  <r>
    <x v="3"/>
    <s v="SOM E IMAGEM"/>
    <s v="DVD"/>
    <s v="PRECISION DRIVE 3 E PROGRESSIVE SCAN"/>
    <s v="UNIDADE"/>
    <n v="70"/>
    <x v="122"/>
    <n v="3.2"/>
    <n v="20.9"/>
    <n v="32"/>
    <n v="1"/>
    <n v="2.1401599999999999E-3"/>
    <x v="329"/>
    <n v="0.8"/>
    <x v="430"/>
    <n v="40"/>
    <n v="0.02"/>
    <n v="1.0666666666666667"/>
    <n v="1.0866666666666667"/>
    <n v="4.1449549976314545E-2"/>
    <n v="25434.412156560891"/>
    <s v="C"/>
  </r>
  <r>
    <x v="3"/>
    <s v="SOM E IMAGEM"/>
    <s v="ANTENAS"/>
    <s v="EXTERNA AQUÁRIO DTV-3000"/>
    <s v="UNIDADE"/>
    <n v="65"/>
    <x v="146"/>
    <n v="4.5"/>
    <n v="9"/>
    <n v="3.3"/>
    <n v="1.9"/>
    <n v="1.3365E-4"/>
    <x v="330"/>
    <n v="0.8"/>
    <x v="431"/>
    <n v="40"/>
    <n v="0.02"/>
    <n v="1.0666666666666667"/>
    <n v="1.0866666666666667"/>
    <n v="3.8488867835149217E-2"/>
    <n v="25434.450645428726"/>
    <s v="C"/>
  </r>
  <r>
    <x v="3"/>
    <s v="SOM E IMAGEM"/>
    <s v="DVD"/>
    <s v="DVD GAME STAR - D-03"/>
    <s v="UNIDADE"/>
    <n v="62"/>
    <x v="96"/>
    <n v="4.5"/>
    <n v="25"/>
    <n v="36"/>
    <n v="1.2"/>
    <n v="4.0499999999999998E-3"/>
    <x v="331"/>
    <n v="0.8"/>
    <x v="432"/>
    <n v="40"/>
    <n v="0.02"/>
    <n v="1.0666666666666667"/>
    <n v="1.0866666666666667"/>
    <n v="3.6712458550450022E-2"/>
    <n v="25434.487357887276"/>
    <s v="C"/>
  </r>
  <r>
    <x v="3"/>
    <s v="SOM E IMAGEM"/>
    <s v="DVD"/>
    <s v="PHILIPS DVP2850X/78 USB DIVX"/>
    <s v="UNIDADE"/>
    <n v="59"/>
    <x v="91"/>
    <n v="3.7"/>
    <n v="27"/>
    <n v="20.100000000000001"/>
    <n v="1.1000000000000001"/>
    <n v="2.0079900000000003E-3"/>
    <x v="332"/>
    <n v="0.8"/>
    <x v="433"/>
    <n v="40"/>
    <n v="0.02"/>
    <n v="1.0666666666666667"/>
    <n v="1.0866666666666667"/>
    <n v="3.4936049265750835E-2"/>
    <n v="25434.522293936541"/>
    <s v="C"/>
  </r>
  <r>
    <x v="3"/>
    <s v="TELEFONIA"/>
    <s v="TELEFONE COM IDENTIFICADOR DE CHAMADAS"/>
    <s v="1500053"/>
    <s v="PEÇA"/>
    <n v="39"/>
    <x v="147"/>
    <n v="6"/>
    <n v="21"/>
    <n v="21"/>
    <n v="0.65"/>
    <n v="2.6459999999999999E-3"/>
    <x v="333"/>
    <n v="0.8"/>
    <x v="434"/>
    <n v="15"/>
    <n v="5.3333333333333337E-2"/>
    <n v="0.4"/>
    <n v="0.45333333333333337"/>
    <n v="2.3093320701089534E-2"/>
    <n v="25434.545387257243"/>
    <s v="C"/>
  </r>
  <r>
    <x v="3"/>
    <s v="SOM E IMAGEM"/>
    <s v="ANTENAS"/>
    <s v="PARABÓLICA DE 1,70MTS + LNBF MONO"/>
    <s v="UNIDADE"/>
    <n v="75"/>
    <x v="148"/>
    <n v="55"/>
    <n v="12.3"/>
    <n v="104.3"/>
    <n v="10"/>
    <n v="7.0558950000000009E-2"/>
    <x v="334"/>
    <n v="0.4"/>
    <x v="435"/>
    <n v="40"/>
    <n v="0.01"/>
    <n v="0.53333333333333333"/>
    <n v="0.54333333333333333"/>
    <n v="2.2205116058739933E-2"/>
    <n v="25434.567592373303"/>
    <s v="C"/>
  </r>
  <r>
    <x v="3"/>
    <s v="TELEFONIA"/>
    <s v="TELEFONE LUMINOSO DE CAMPAINHA"/>
    <s v="1500048"/>
    <s v="PEÇA"/>
    <n v="29"/>
    <x v="147"/>
    <n v="7"/>
    <n v="20"/>
    <n v="12"/>
    <n v="0.78"/>
    <n v="1.6800000000000001E-3"/>
    <x v="325"/>
    <n v="0.8"/>
    <x v="436"/>
    <n v="15"/>
    <n v="5.3333333333333337E-2"/>
    <n v="0.4"/>
    <n v="0.45333333333333337"/>
    <n v="1.7171956418758884E-2"/>
    <n v="25434.584764329724"/>
    <s v="C"/>
  </r>
  <r>
    <x v="3"/>
    <s v="SOM E IMAGEM"/>
    <s v="ANTENAS"/>
    <s v="TV DIGITAL INTELBRAS INTERNA AI 1000"/>
    <s v="UNIDADE"/>
    <n v="15"/>
    <x v="129"/>
    <n v="22"/>
    <n v="15"/>
    <n v="15"/>
    <n v="3"/>
    <n v="4.9500000000000004E-3"/>
    <x v="335"/>
    <n v="0.4"/>
    <x v="437"/>
    <n v="40"/>
    <n v="0.01"/>
    <n v="0.53333333333333333"/>
    <n v="0.54333333333333333"/>
    <n v="4.4410232117479869E-3"/>
    <n v="25434.589205352935"/>
    <s v="C"/>
  </r>
  <r>
    <x v="4"/>
    <s v="CONSTRUÇÃO"/>
    <s v="BETORNEIRA "/>
    <s v="EMA21"/>
    <s v="PEÇA"/>
    <n v="4170.8999999999996"/>
    <x v="149"/>
    <n v="125"/>
    <n v="130"/>
    <n v="70"/>
    <n v="240"/>
    <n v="1.1375"/>
    <x v="336"/>
    <n v="400"/>
    <x v="438"/>
    <n v="22"/>
    <n v="18.181818181818183"/>
    <n v="293.33333333333337"/>
    <n v="311.51515151515156"/>
    <n v="1234.8709142586451"/>
    <n v="1234.8709142586451"/>
    <s v="A"/>
  </r>
  <r>
    <x v="4"/>
    <s v="CONSTRUÇÃO"/>
    <s v="CORTADOR VERGALHÃO"/>
    <s v="CVB12"/>
    <s v="CAIXA"/>
    <n v="2949.9"/>
    <x v="150"/>
    <n v="24"/>
    <n v="50"/>
    <n v="16"/>
    <n v="21.7"/>
    <n v="1.9199999999999998E-2"/>
    <x v="337"/>
    <n v="300"/>
    <x v="439"/>
    <n v="22"/>
    <n v="13.636363636363637"/>
    <n v="220"/>
    <n v="233.63636363636363"/>
    <n v="655.02871861676931"/>
    <n v="1889.8996328754145"/>
    <s v="A"/>
  </r>
  <r>
    <x v="4"/>
    <s v="CONSTRUÇÃO"/>
    <s v="COMPRESSORES DE AR"/>
    <s v=" CMV 20/200"/>
    <s v="PEÇA"/>
    <n v="3399"/>
    <x v="151"/>
    <n v="114"/>
    <n v="134"/>
    <n v="64"/>
    <n v="160"/>
    <n v="0.97766399999999998"/>
    <x v="338"/>
    <n v="200"/>
    <x v="440"/>
    <n v="22"/>
    <n v="9.0909090909090917"/>
    <n v="146.66666666666669"/>
    <n v="155.75757575757578"/>
    <n v="503.16792989104692"/>
    <n v="2393.0675627664614"/>
    <s v="A"/>
  </r>
  <r>
    <x v="4"/>
    <s v="JARDIM"/>
    <s v="APARADOR DE GRAMA"/>
    <s v="327LDX"/>
    <s v="UNIDADE"/>
    <n v="199"/>
    <x v="152"/>
    <n v="57"/>
    <n v="15"/>
    <n v="15"/>
    <n v="5.0999999999999996"/>
    <n v="1.2825E-2"/>
    <x v="339"/>
    <n v="3000"/>
    <x v="441"/>
    <n v="15"/>
    <n v="200"/>
    <n v="1500"/>
    <n v="1700"/>
    <n v="441.88180956892467"/>
    <n v="2834.9493723353862"/>
    <s v="A"/>
  </r>
  <r>
    <x v="4"/>
    <s v="CONSTRUÇÃO"/>
    <s v="COMPRESSORES DE AR"/>
    <s v="CMW-15/175"/>
    <s v="PEÇA"/>
    <n v="2839.9"/>
    <x v="151"/>
    <n v="102"/>
    <n v="132"/>
    <n v="63.8"/>
    <n v="88"/>
    <n v="0.85900320000000008"/>
    <x v="340"/>
    <n v="200"/>
    <x v="442"/>
    <n v="22"/>
    <n v="9.0909090909090917"/>
    <n v="146.66666666666669"/>
    <n v="155.75757575757578"/>
    <n v="420.40206063477024"/>
    <n v="3255.3514329701566"/>
    <s v="A"/>
  </r>
  <r>
    <x v="4"/>
    <s v="CONSTRUÇÃO"/>
    <s v="GER. PORTÁTIL "/>
    <s v="MDG-2200"/>
    <s v="PEÇA"/>
    <n v="1800"/>
    <x v="151"/>
    <n v="51.5"/>
    <n v="45"/>
    <n v="61.5"/>
    <n v="60"/>
    <n v="0.14252624999999999"/>
    <x v="341"/>
    <n v="300"/>
    <x v="443"/>
    <n v="22"/>
    <n v="13.636363636363637"/>
    <n v="220"/>
    <n v="233.63636363636363"/>
    <n v="399.69208905731881"/>
    <n v="3655.0435220274753"/>
    <s v="A"/>
  </r>
  <r>
    <x v="4"/>
    <s v="CONSTRUÇÃO"/>
    <s v="ESMERILHADEIRA"/>
    <s v="8E+250"/>
    <s v="CAIXA"/>
    <n v="221.9"/>
    <x v="153"/>
    <n v="27"/>
    <n v="29"/>
    <n v="10.5"/>
    <n v="4.8"/>
    <n v="8.2214999999999996E-3"/>
    <x v="342"/>
    <n v="2350"/>
    <x v="444"/>
    <n v="22"/>
    <n v="106.81818181818181"/>
    <n v="1723.3333333333333"/>
    <n v="1830.151515151515"/>
    <n v="385.97302818569398"/>
    <n v="4041.0165502131695"/>
    <s v="A"/>
  </r>
  <r>
    <x v="4"/>
    <s v="CONSTRUÇÃO"/>
    <s v="BETORNEIRA "/>
    <s v="UDA20"/>
    <s v="PEÇA"/>
    <n v="1699"/>
    <x v="154"/>
    <n v="114"/>
    <n v="100"/>
    <n v="65"/>
    <n v="60"/>
    <n v="0.74099999999999999"/>
    <x v="343"/>
    <n v="300"/>
    <x v="445"/>
    <n v="22"/>
    <n v="13.636363636363637"/>
    <n v="220"/>
    <n v="233.63636363636363"/>
    <n v="377.26492183799149"/>
    <n v="4418.2814720511606"/>
    <s v="A"/>
  </r>
  <r>
    <x v="4"/>
    <s v="CONSTRUÇÃO"/>
    <s v="GER. PORTÁTIL "/>
    <s v="MDG-5000"/>
    <s v="PEÇA"/>
    <n v="2500"/>
    <x v="151"/>
    <n v="67"/>
    <n v="73.5"/>
    <n v="49"/>
    <n v="75"/>
    <n v="0.2413005"/>
    <x v="344"/>
    <n v="200"/>
    <x v="446"/>
    <n v="22"/>
    <n v="9.0909090909090917"/>
    <n v="146.66666666666669"/>
    <n v="155.75757575757578"/>
    <n v="370.08526764566557"/>
    <n v="4788.3667396968258"/>
    <s v="A"/>
  </r>
  <r>
    <x v="4"/>
    <s v="MOTO SERRAS"/>
    <s v="MOTOSSERRA GAMMA ELITE 38 CC"/>
    <s v="REF 9030BR"/>
    <s v="UNIDADE"/>
    <n v="806.9"/>
    <x v="155"/>
    <n v="29"/>
    <n v="41"/>
    <n v="21"/>
    <n v="24.9"/>
    <n v="2.4969000000000002E-2"/>
    <x v="345"/>
    <n v="600"/>
    <x v="447"/>
    <n v="40"/>
    <n v="15"/>
    <n v="800"/>
    <n v="815"/>
    <n v="358.34616295594503"/>
    <n v="5146.7129026527709"/>
    <s v="A"/>
  </r>
  <r>
    <x v="4"/>
    <s v="CONSTRUÇÃO"/>
    <s v="GER. PORTÁTIL "/>
    <s v="BD6500CF"/>
    <s v="PEÇA"/>
    <n v="1500"/>
    <x v="112"/>
    <n v="67"/>
    <n v="73.5"/>
    <n v="48.5"/>
    <n v="55"/>
    <n v="0.23883825"/>
    <x v="346"/>
    <n v="300"/>
    <x v="448"/>
    <n v="22"/>
    <n v="13.636363636363637"/>
    <n v="220"/>
    <n v="233.63636363636363"/>
    <n v="333.076740881099"/>
    <n v="5479.7896435338698"/>
    <s v="A"/>
  </r>
  <r>
    <x v="4"/>
    <s v="CONSTRUÇÃO"/>
    <s v="GER. PORTÁTIL "/>
    <s v="TD7000"/>
    <s v="PEÇA"/>
    <n v="2100"/>
    <x v="156"/>
    <n v="67"/>
    <n v="51"/>
    <n v="77"/>
    <n v="100"/>
    <n v="0.26310899999999998"/>
    <x v="347"/>
    <n v="200"/>
    <x v="449"/>
    <n v="22"/>
    <n v="9.0909090909090917"/>
    <n v="146.66666666666669"/>
    <n v="155.75757575757578"/>
    <n v="310.87162482235908"/>
    <n v="5790.6612683562289"/>
    <s v="A"/>
  </r>
  <r>
    <x v="4"/>
    <s v="CONSTRUÇÃO"/>
    <s v="BETORNEIRA "/>
    <s v="MLD41"/>
    <s v="PEÇA"/>
    <n v="2799.9"/>
    <x v="154"/>
    <n v="130"/>
    <n v="140"/>
    <n v="80"/>
    <n v="65"/>
    <n v="1.456"/>
    <x v="348"/>
    <n v="150"/>
    <x v="450"/>
    <n v="22"/>
    <n v="6.8181818181818183"/>
    <n v="110"/>
    <n v="116.81818181818181"/>
    <n v="310.86052226432969"/>
    <n v="6101.5217906205589"/>
    <s v="A"/>
  </r>
  <r>
    <x v="4"/>
    <s v="CONSTRUÇÃO"/>
    <s v="FURADEIRA"/>
    <s v="M38"/>
    <s v="CAIXA"/>
    <n v="171.93"/>
    <x v="157"/>
    <n v="21"/>
    <n v="38"/>
    <n v="10"/>
    <n v="4.0999999999999996"/>
    <n v="7.9799999999999992E-3"/>
    <x v="349"/>
    <n v="2350"/>
    <x v="451"/>
    <n v="22"/>
    <n v="106.81818181818181"/>
    <n v="1723.3333333333333"/>
    <n v="1830.151515151515"/>
    <n v="299.05517231170063"/>
    <n v="6400.5769629322594"/>
    <s v="A"/>
  </r>
  <r>
    <x v="4"/>
    <s v="CONSTRUÇÃO"/>
    <s v="GER. PORTÁTIL "/>
    <s v="DG-6000"/>
    <s v="PEÇA"/>
    <n v="2000"/>
    <x v="158"/>
    <n v="68"/>
    <n v="75"/>
    <n v="49.5"/>
    <n v="73"/>
    <n v="0.25245000000000001"/>
    <x v="350"/>
    <n v="200"/>
    <x v="452"/>
    <n v="22"/>
    <n v="9.0909090909090917"/>
    <n v="146.66666666666669"/>
    <n v="155.75757575757578"/>
    <n v="296.06821411653243"/>
    <n v="6696.645177048792"/>
    <s v="A"/>
  </r>
  <r>
    <x v="4"/>
    <s v="CONSTRUÇÃO"/>
    <s v="GER. PORTÁTIL "/>
    <s v="TF 3000"/>
    <s v="PEÇA"/>
    <n v="1950"/>
    <x v="156"/>
    <n v="59.3"/>
    <n v="46.5"/>
    <n v="59.3"/>
    <n v="68"/>
    <n v="0.16351678499999997"/>
    <x v="351"/>
    <n v="200"/>
    <x v="453"/>
    <n v="22"/>
    <n v="9.0909090909090917"/>
    <n v="146.66666666666669"/>
    <n v="155.75757575757578"/>
    <n v="288.66650876361916"/>
    <n v="6985.3116858124113"/>
    <s v="A"/>
  </r>
  <r>
    <x v="4"/>
    <s v="CONSTRUÇÃO"/>
    <s v="TUPIA"/>
    <s v="WBC95"/>
    <s v="PEÇA"/>
    <n v="395"/>
    <x v="159"/>
    <n v="37"/>
    <n v="36"/>
    <n v="19"/>
    <n v="5.8"/>
    <n v="2.5308000000000001E-2"/>
    <x v="352"/>
    <n v="950"/>
    <x v="454"/>
    <n v="22"/>
    <n v="43.18181818181818"/>
    <n v="696.66666666666674"/>
    <n v="739.84848484848487"/>
    <n v="277.74899336807204"/>
    <n v="7263.060679180483"/>
    <s v="A"/>
  </r>
  <r>
    <x v="4"/>
    <s v="CONSTRUÇÃO"/>
    <s v="FURADEIRA"/>
    <s v="M27"/>
    <s v="CAIXA"/>
    <n v="157.9"/>
    <x v="153"/>
    <n v="25"/>
    <n v="30"/>
    <n v="8"/>
    <n v="3.24"/>
    <n v="6.0000000000000001E-3"/>
    <x v="353"/>
    <n v="2350"/>
    <x v="455"/>
    <n v="22"/>
    <n v="106.81818181818181"/>
    <n v="1723.3333333333333"/>
    <n v="1830.151515151515"/>
    <n v="274.6513796778778"/>
    <n v="7537.7120588583612"/>
    <s v="A"/>
  </r>
  <r>
    <x v="4"/>
    <s v="MOTO SERRAS"/>
    <s v="MOTOSSERRA HUSQVARNA 236"/>
    <s v="REF: 084722"/>
    <s v="UNIDADE"/>
    <n v="599.9"/>
    <x v="152"/>
    <n v="30"/>
    <n v="54"/>
    <n v="30"/>
    <n v="48.6"/>
    <n v="4.8599999999999997E-2"/>
    <x v="354"/>
    <n v="600"/>
    <x v="456"/>
    <n v="40"/>
    <n v="15"/>
    <n v="800"/>
    <n v="815"/>
    <n v="266.41698247276173"/>
    <n v="7804.1290413311226"/>
    <s v="A"/>
  </r>
  <r>
    <x v="4"/>
    <s v="JARDIM"/>
    <s v="PODADOR"/>
    <s v="CC600E"/>
    <s v="UNIDADE"/>
    <n v="110"/>
    <x v="160"/>
    <n v="20"/>
    <n v="80"/>
    <n v="15"/>
    <n v="5.6"/>
    <n v="2.4E-2"/>
    <x v="355"/>
    <n v="3000"/>
    <x v="457"/>
    <n v="15"/>
    <n v="200"/>
    <n v="1500"/>
    <n v="1700"/>
    <n v="244.25627664613927"/>
    <n v="8048.3853179772623"/>
    <s v="A"/>
  </r>
  <r>
    <x v="4"/>
    <s v="CONSTRUÇÃO"/>
    <s v="COMPRESSORES DE AR"/>
    <s v="PWE-18"/>
    <s v="PEÇA"/>
    <n v="1599.9"/>
    <x v="151"/>
    <n v="77.5"/>
    <n v="88"/>
    <n v="46"/>
    <n v="87"/>
    <n v="0.31372"/>
    <x v="356"/>
    <n v="200"/>
    <x v="458"/>
    <n v="22"/>
    <n v="9.0909090909090917"/>
    <n v="146.66666666666669"/>
    <n v="155.75757575757578"/>
    <n v="236.83976788252014"/>
    <n v="8285.2250858597818"/>
    <s v="A"/>
  </r>
  <r>
    <x v="4"/>
    <s v="MOTO SERRAS"/>
    <s v="MOTOSSERRA ELITE 18"/>
    <s v="REF.: 2291235"/>
    <s v="UNIDADE"/>
    <n v="625.5"/>
    <x v="161"/>
    <n v="26"/>
    <n v="49.5"/>
    <n v="30.5"/>
    <n v="39.25"/>
    <n v="3.9253499999999997E-2"/>
    <x v="357"/>
    <n v="500"/>
    <x v="459"/>
    <n v="40"/>
    <n v="12.5"/>
    <n v="666.66666666666674"/>
    <n v="679.16666666666674"/>
    <n v="231.48833491236383"/>
    <n v="8516.7134207721465"/>
    <s v="A"/>
  </r>
  <r>
    <x v="4"/>
    <s v="CONSTRUÇÃO"/>
    <s v="GER. PORTÁTIL "/>
    <s v="EU-20I"/>
    <s v="PEÇA"/>
    <n v="1000"/>
    <x v="162"/>
    <n v="42.5"/>
    <n v="51"/>
    <n v="29"/>
    <n v="30"/>
    <n v="6.2857499999999997E-2"/>
    <x v="358"/>
    <n v="300"/>
    <x v="460"/>
    <n v="22"/>
    <n v="13.636363636363637"/>
    <n v="220"/>
    <n v="233.63636363636363"/>
    <n v="222.05116058739935"/>
    <n v="8738.7645813595464"/>
    <s v="A"/>
  </r>
  <r>
    <x v="4"/>
    <s v="JARDIM"/>
    <s v="ROÇADEIRA"/>
    <s v="FL 29"/>
    <s v="UNIDADE"/>
    <n v="100"/>
    <x v="152"/>
    <n v="80"/>
    <n v="25"/>
    <n v="25"/>
    <n v="4.5999999999999996"/>
    <n v="0.05"/>
    <x v="359"/>
    <n v="3000"/>
    <x v="460"/>
    <n v="15"/>
    <n v="200"/>
    <n v="1500"/>
    <n v="1700"/>
    <n v="222.05116058739935"/>
    <n v="8960.8157419469462"/>
    <s v="A"/>
  </r>
  <r>
    <x v="4"/>
    <s v="CONSTRUÇÃO"/>
    <s v="GER. PORTÁTIL "/>
    <s v="TD5500"/>
    <s v="PEÇA"/>
    <n v="1900"/>
    <x v="156"/>
    <n v="54"/>
    <n v="48"/>
    <n v="63"/>
    <n v="60"/>
    <n v="0.163296"/>
    <x v="360"/>
    <n v="150"/>
    <x v="461"/>
    <n v="22"/>
    <n v="6.8181818181818183"/>
    <n v="110"/>
    <n v="116.81818181818181"/>
    <n v="210.94860255802936"/>
    <n v="9171.7643445049762"/>
    <s v="A"/>
  </r>
  <r>
    <x v="4"/>
    <s v="CONSTRUÇÃO"/>
    <s v="GER. PORTÁTIL "/>
    <s v="TD-4000"/>
    <s v="PEÇA"/>
    <n v="1800"/>
    <x v="156"/>
    <n v="53"/>
    <n v="48"/>
    <n v="64"/>
    <n v="65"/>
    <n v="0.16281599999999999"/>
    <x v="361"/>
    <n v="150"/>
    <x v="462"/>
    <n v="22"/>
    <n v="6.8181818181818183"/>
    <n v="110"/>
    <n v="116.81818181818181"/>
    <n v="199.84604452865941"/>
    <n v="9371.6103890336362"/>
    <s v="A"/>
  </r>
  <r>
    <x v="4"/>
    <s v="JARDIM"/>
    <s v="ROÇADEIRA"/>
    <s v="F2 340"/>
    <s v="UNIDADE"/>
    <n v="90"/>
    <x v="152"/>
    <n v="95"/>
    <n v="30"/>
    <n v="25"/>
    <n v="5.5"/>
    <n v="7.1249999999999994E-2"/>
    <x v="362"/>
    <n v="3000"/>
    <x v="462"/>
    <n v="15"/>
    <n v="200"/>
    <n v="1500"/>
    <n v="1700"/>
    <n v="199.84604452865941"/>
    <n v="9571.4564335622963"/>
    <s v="A"/>
  </r>
  <r>
    <x v="4"/>
    <s v="CONSTRUÇÃO"/>
    <s v="GER. PORTÁTIL "/>
    <s v="GT1200F"/>
    <s v="PEÇA"/>
    <n v="899"/>
    <x v="163"/>
    <n v="41"/>
    <n v="39"/>
    <n v="36.5"/>
    <n v="28"/>
    <n v="5.8363499999999999E-2"/>
    <x v="363"/>
    <n v="300"/>
    <x v="463"/>
    <n v="22"/>
    <n v="13.636363636363637"/>
    <n v="220"/>
    <n v="233.63636363636363"/>
    <n v="199.62399336807201"/>
    <n v="9771.080426930368"/>
    <s v="A"/>
  </r>
  <r>
    <x v="4"/>
    <s v="CONSTRUÇÃO"/>
    <s v="COMPRESSORES DE AR"/>
    <s v="CMI-3,0-AD"/>
    <s v="PEÇA"/>
    <n v="834.9"/>
    <x v="151"/>
    <n v="81"/>
    <n v="90"/>
    <n v="35"/>
    <n v="25.53"/>
    <n v="0.25514999999999999"/>
    <x v="364"/>
    <n v="300"/>
    <x v="464"/>
    <n v="22"/>
    <n v="13.636363636363637"/>
    <n v="220"/>
    <n v="233.63636363636363"/>
    <n v="185.39051397441972"/>
    <n v="9956.4709409047882"/>
    <s v="A"/>
  </r>
  <r>
    <x v="4"/>
    <s v="CONSTRUÇÃO"/>
    <s v="SERR. CIRCULAR"/>
    <s v="C9SA2"/>
    <s v="CAIXA CORRUGADA"/>
    <n v="696.96"/>
    <x v="164"/>
    <n v="35"/>
    <n v="35"/>
    <n v="15"/>
    <n v="8"/>
    <n v="1.8374999999999999E-2"/>
    <x v="365"/>
    <n v="350"/>
    <x v="465"/>
    <n v="22"/>
    <n v="15.909090909090908"/>
    <n v="256.66666666666663"/>
    <n v="272.57575757575756"/>
    <n v="180.55423969682616"/>
    <n v="10137.025180601615"/>
    <s v="A"/>
  </r>
  <r>
    <x v="4"/>
    <s v="CONSTRUÇÃO"/>
    <s v="GER. PORTÁTIL "/>
    <s v="MDGT-12E"/>
    <s v="PEÇA"/>
    <n v="1600"/>
    <x v="151"/>
    <n v="81"/>
    <n v="92"/>
    <n v="59"/>
    <n v="60"/>
    <n v="0.439668"/>
    <x v="366"/>
    <n v="150"/>
    <x v="12"/>
    <n v="22"/>
    <n v="6.8181818181818183"/>
    <n v="110"/>
    <n v="116.81818181818181"/>
    <n v="177.64092846991949"/>
    <n v="10314.666109071535"/>
    <s v="A"/>
  </r>
  <r>
    <x v="4"/>
    <s v="JARDIM"/>
    <s v="ROÇADEIRA"/>
    <s v="FS 130"/>
    <s v="UNIDADE"/>
    <n v="80"/>
    <x v="165"/>
    <n v="85"/>
    <n v="30"/>
    <n v="25"/>
    <n v="5.3"/>
    <n v="6.3750000000000001E-2"/>
    <x v="367"/>
    <n v="3000"/>
    <x v="12"/>
    <n v="15"/>
    <n v="200"/>
    <n v="1500"/>
    <n v="1700"/>
    <n v="177.64092846991949"/>
    <n v="10492.307037541455"/>
    <s v="B"/>
  </r>
  <r>
    <x v="4"/>
    <s v="MOTO SERRAS"/>
    <s v="ELETROSSERRA RDEL 2000"/>
    <s v="REF: RDEL200-16"/>
    <s v="UNIDADE"/>
    <n v="399.9"/>
    <x v="166"/>
    <n v="18"/>
    <n v="23"/>
    <n v="58"/>
    <n v="24"/>
    <n v="2.4011999999999999E-2"/>
    <x v="368"/>
    <n v="600"/>
    <x v="466"/>
    <n v="40"/>
    <n v="15"/>
    <n v="800"/>
    <n v="815"/>
    <n v="177.596518237802"/>
    <n v="10669.903555779258"/>
    <s v="B"/>
  </r>
  <r>
    <x v="4"/>
    <s v="CONSTRUÇÃO"/>
    <s v="CORTADOR  PARA CERAMICA"/>
    <s v="JDF07"/>
    <s v="CAIXA"/>
    <n v="649.9"/>
    <x v="167"/>
    <n v="12"/>
    <n v="10"/>
    <n v="20"/>
    <n v="7.45"/>
    <n v="2.3999999999999998E-3"/>
    <x v="369"/>
    <n v="350"/>
    <x v="467"/>
    <n v="22"/>
    <n v="15.909090909090908"/>
    <n v="256.66666666666663"/>
    <n v="272.57575757575756"/>
    <n v="168.36289081004264"/>
    <n v="10838.266446589299"/>
    <s v="B"/>
  </r>
  <r>
    <x v="4"/>
    <s v="CONSTRUÇÃO"/>
    <s v="TUPIA"/>
    <s v="RS85"/>
    <s v="PEÇA"/>
    <n v="5399.9"/>
    <x v="168"/>
    <n v="38"/>
    <n v="32"/>
    <n v="26"/>
    <n v="1.25"/>
    <n v="3.1615999999999998E-2"/>
    <x v="370"/>
    <n v="40"/>
    <x v="468"/>
    <n v="22"/>
    <n v="1.8181818181818181"/>
    <n v="29.333333333333332"/>
    <n v="31.151515151515149"/>
    <n v="159.87387494078635"/>
    <n v="10998.140321530085"/>
    <s v="B"/>
  </r>
  <r>
    <x v="4"/>
    <s v="JARDIM"/>
    <s v="PODADOR"/>
    <s v="HSA 65"/>
    <s v="UNIDADE"/>
    <n v="70"/>
    <x v="169"/>
    <n v="20"/>
    <n v="113"/>
    <n v="10"/>
    <n v="5.2"/>
    <n v="2.2599999999999999E-2"/>
    <x v="371"/>
    <n v="3000"/>
    <x v="469"/>
    <n v="15"/>
    <n v="200"/>
    <n v="1500"/>
    <n v="1700"/>
    <n v="155.43581241117954"/>
    <n v="11153.576133941264"/>
    <s v="B"/>
  </r>
  <r>
    <x v="4"/>
    <s v="CONSTRUÇÃO"/>
    <s v="CORTADOR PARA CERAMICA"/>
    <s v="ZAL44"/>
    <s v="CAIXA"/>
    <n v="88.4"/>
    <x v="170"/>
    <n v="12"/>
    <n v="20"/>
    <n v="10"/>
    <n v="4.3"/>
    <n v="2.3999999999999998E-3"/>
    <x v="372"/>
    <n v="2350"/>
    <x v="470"/>
    <n v="22"/>
    <n v="106.81818181818181"/>
    <n v="1723.3333333333333"/>
    <n v="1830.151515151515"/>
    <n v="153.76302700142114"/>
    <n v="11307.339160942685"/>
    <s v="B"/>
  </r>
  <r>
    <x v="4"/>
    <s v="CONSTRUÇÃO"/>
    <s v="COMPRESSORES DE AR"/>
    <s v="SAP42"/>
    <s v="PEÇA"/>
    <n v="609.9"/>
    <x v="171"/>
    <n v="61"/>
    <n v="60"/>
    <n v="35"/>
    <n v="23"/>
    <n v="0.12809999999999999"/>
    <x v="373"/>
    <n v="300"/>
    <x v="471"/>
    <n v="22"/>
    <n v="13.636363636363637"/>
    <n v="220"/>
    <n v="233.63636363636363"/>
    <n v="135.42900284225485"/>
    <n v="11442.76816378494"/>
    <s v="B"/>
  </r>
  <r>
    <x v="4"/>
    <s v="MOTO SERRAS"/>
    <s v="MOTOSSERRA ELÉTRICA GK1740 BR 1.8"/>
    <s v="REF: GK1740 BR"/>
    <s v="UNIDADE"/>
    <n v="759.9"/>
    <x v="172"/>
    <n v="35"/>
    <n v="45"/>
    <n v="40"/>
    <n v="63"/>
    <n v="6.3E-2"/>
    <x v="374"/>
    <n v="240"/>
    <x v="472"/>
    <n v="40"/>
    <n v="6"/>
    <n v="320"/>
    <n v="326"/>
    <n v="134.98934154429182"/>
    <n v="11577.757505329231"/>
    <s v="B"/>
  </r>
  <r>
    <x v="4"/>
    <s v="CONSTRUÇÃO"/>
    <s v="CARRINHO DE MÃO"/>
    <s v="RH140"/>
    <s v="PEÇA"/>
    <n v="531.9"/>
    <x v="154"/>
    <n v="82"/>
    <n v="135"/>
    <n v="62"/>
    <n v="40"/>
    <n v="0.68633999999999995"/>
    <x v="375"/>
    <n v="300"/>
    <x v="473"/>
    <n v="22"/>
    <n v="13.636363636363637"/>
    <n v="220"/>
    <n v="233.63636363636363"/>
    <n v="118.10901231643771"/>
    <n v="11695.866517645669"/>
    <s v="B"/>
  </r>
  <r>
    <x v="4"/>
    <s v="CONSTRUÇÃO"/>
    <s v="SERR. CIRCULAR"/>
    <s v="GKS67"/>
    <s v="CAIXA CORRUGADA"/>
    <n v="429.9"/>
    <x v="173"/>
    <n v="35"/>
    <n v="35"/>
    <n v="15"/>
    <n v="8"/>
    <n v="1.8374999999999999E-2"/>
    <x v="365"/>
    <n v="350"/>
    <x v="474"/>
    <n v="22"/>
    <n v="15.909090909090908"/>
    <n v="256.66666666666663"/>
    <n v="272.57575757575756"/>
    <n v="111.36975959261014"/>
    <n v="11807.236277238278"/>
    <s v="B"/>
  </r>
  <r>
    <x v="4"/>
    <s v="MOTORES"/>
    <s v="MOTO BOMBA"/>
    <s v="PEFRIFERICA"/>
    <s v="UNIDADE"/>
    <n v="2000"/>
    <x v="174"/>
    <n v="100"/>
    <n v="70"/>
    <n v="70"/>
    <n v="25"/>
    <n v="0.49"/>
    <x v="376"/>
    <n v="70"/>
    <x v="475"/>
    <n v="40"/>
    <n v="1.75"/>
    <n v="93.333333333333343"/>
    <n v="95.083333333333343"/>
    <n v="103.62387494078637"/>
    <n v="11910.860152179064"/>
    <s v="B"/>
  </r>
  <r>
    <x v="4"/>
    <s v="CONSTRUÇÃO"/>
    <s v="POLITRIZ"/>
    <s v="DWT200"/>
    <s v="CAIXA CORRUGADA"/>
    <n v="147.11000000000001"/>
    <x v="175"/>
    <n v="30"/>
    <n v="45"/>
    <n v="20"/>
    <n v="6"/>
    <n v="2.7E-2"/>
    <x v="377"/>
    <n v="950"/>
    <x v="476"/>
    <n v="22"/>
    <n v="43.18181818181818"/>
    <n v="696.66666666666674"/>
    <n v="739.84848484848487"/>
    <n v="103.44216307437233"/>
    <n v="12014.302315253437"/>
    <s v="B"/>
  </r>
  <r>
    <x v="4"/>
    <s v="CONSTRUÇÃO"/>
    <s v="SERR. CIRCULAR"/>
    <s v="GKS 7.14"/>
    <s v="CAIXA CORRUGADA"/>
    <n v="535.9"/>
    <x v="176"/>
    <n v="35"/>
    <n v="35"/>
    <n v="15"/>
    <n v="8"/>
    <n v="1.8374999999999999E-2"/>
    <x v="378"/>
    <n v="250"/>
    <x v="477"/>
    <n v="22"/>
    <n v="11.363636363636363"/>
    <n v="183.33333333333334"/>
    <n v="194.69696969696972"/>
    <n v="99.164347465656093"/>
    <n v="12113.466662719093"/>
    <s v="B"/>
  </r>
  <r>
    <x v="4"/>
    <s v="CONSTRUÇÃO"/>
    <s v="POLITRIZ"/>
    <s v="CD450"/>
    <s v="CAIXA CORRUGADA"/>
    <n v="137"/>
    <x v="177"/>
    <n v="30"/>
    <n v="45"/>
    <n v="20"/>
    <n v="6"/>
    <n v="2.7E-2"/>
    <x v="377"/>
    <n v="950"/>
    <x v="478"/>
    <n v="22"/>
    <n v="43.18181818181818"/>
    <n v="696.66666666666674"/>
    <n v="739.84848484848487"/>
    <n v="96.333195168166753"/>
    <n v="12209.799857887259"/>
    <s v="B"/>
  </r>
  <r>
    <x v="4"/>
    <s v="CONSTRUÇÃO"/>
    <s v="SERR. CIRCULAR"/>
    <s v="5007N"/>
    <s v="CAIXA CORRUGADA"/>
    <n v="510"/>
    <x v="173"/>
    <n v="35"/>
    <n v="35"/>
    <n v="15"/>
    <n v="8"/>
    <n v="1.8374999999999999E-2"/>
    <x v="378"/>
    <n v="250"/>
    <x v="381"/>
    <n v="22"/>
    <n v="11.363636363636363"/>
    <n v="183.33333333333334"/>
    <n v="194.69696969696972"/>
    <n v="94.371743249644723"/>
    <n v="12304.171601136904"/>
    <s v="B"/>
  </r>
  <r>
    <x v="4"/>
    <s v="CONSTRUÇÃO"/>
    <s v="SERR. CIRCULAR"/>
    <s v="GKSC5E"/>
    <s v="CAIXA CORRUGADA"/>
    <n v="359.9"/>
    <x v="173"/>
    <n v="35"/>
    <n v="35"/>
    <n v="15"/>
    <n v="8"/>
    <n v="1.8374999999999999E-2"/>
    <x v="365"/>
    <n v="350"/>
    <x v="479"/>
    <n v="22"/>
    <n v="15.909090909090908"/>
    <n v="256.66666666666663"/>
    <n v="272.57575757575756"/>
    <n v="93.235581477972516"/>
    <n v="12397.407182614877"/>
    <s v="B"/>
  </r>
  <r>
    <x v="4"/>
    <s v="CONSTRUÇÃO"/>
    <s v="COMPRESSORES DE AR"/>
    <s v="LPF-41B"/>
    <s v="PEÇA"/>
    <n v="389"/>
    <x v="171"/>
    <n v="16"/>
    <n v="33"/>
    <n v="24"/>
    <n v="15"/>
    <n v="1.2671999999999999E-2"/>
    <x v="379"/>
    <n v="300"/>
    <x v="480"/>
    <n v="22"/>
    <n v="13.636363636363637"/>
    <n v="220"/>
    <n v="233.63636363636363"/>
    <n v="86.377901468498351"/>
    <n v="12483.785084083376"/>
    <s v="B"/>
  </r>
  <r>
    <x v="4"/>
    <s v="CONSTRUÇÃO"/>
    <s v="SERR. CIRCULAR"/>
    <s v="GKS190"/>
    <s v="CAIXA CORRUGADA"/>
    <n v="463.9"/>
    <x v="176"/>
    <n v="35"/>
    <n v="35"/>
    <n v="15"/>
    <n v="8"/>
    <n v="1.8374999999999999E-2"/>
    <x v="378"/>
    <n v="250"/>
    <x v="481"/>
    <n v="22"/>
    <n v="11.363636363636363"/>
    <n v="183.33333333333334"/>
    <n v="194.69696969696972"/>
    <n v="85.841277830412125"/>
    <n v="12569.626361913788"/>
    <s v="B"/>
  </r>
  <r>
    <x v="4"/>
    <s v="CONSTRUÇÃO"/>
    <s v="CORTADOR PARA CERAMICA"/>
    <s v="VCB03"/>
    <s v="CAIXA"/>
    <n v="119"/>
    <x v="178"/>
    <n v="10"/>
    <n v="20"/>
    <n v="10"/>
    <n v="6"/>
    <n v="2E-3"/>
    <x v="380"/>
    <n v="950"/>
    <x v="482"/>
    <n v="22"/>
    <n v="43.18181818181818"/>
    <n v="696.66666666666674"/>
    <n v="739.84848484848487"/>
    <n v="83.67627901468498"/>
    <n v="12653.302640928474"/>
    <s v="B"/>
  </r>
  <r>
    <x v="4"/>
    <s v="CONSTRUÇÃO"/>
    <s v="SERR. CIRCULAR"/>
    <s v="GKS7000"/>
    <s v="CAIXA CORRUGADA"/>
    <n v="433.9"/>
    <x v="176"/>
    <n v="35"/>
    <n v="35"/>
    <n v="15"/>
    <n v="8"/>
    <n v="1.8374999999999999E-2"/>
    <x v="378"/>
    <n v="250"/>
    <x v="483"/>
    <n v="22"/>
    <n v="11.363636363636363"/>
    <n v="183.33333333333334"/>
    <n v="194.69696969696972"/>
    <n v="80.289998815727145"/>
    <n v="12733.592639744202"/>
    <s v="B"/>
  </r>
  <r>
    <x v="4"/>
    <s v="CONSTRUÇÃO"/>
    <s v="SERR. CIRCULAR"/>
    <s v="DWE560E2"/>
    <s v="CAIXA CORRUGADA"/>
    <n v="428.78"/>
    <x v="179"/>
    <n v="35"/>
    <n v="35"/>
    <n v="15"/>
    <n v="8"/>
    <n v="1.8374999999999999E-2"/>
    <x v="378"/>
    <n v="250"/>
    <x v="484"/>
    <n v="22"/>
    <n v="11.363636363636363"/>
    <n v="183.33333333333334"/>
    <n v="194.69696969696972"/>
    <n v="79.342580530554244"/>
    <n v="12812.935220274756"/>
    <s v="B"/>
  </r>
  <r>
    <x v="4"/>
    <s v="CONSTRUÇÃO"/>
    <s v="CORTADOR PARA CERAMICA"/>
    <s v="MNZ08"/>
    <s v="CAIXA"/>
    <n v="267.89999999999998"/>
    <x v="180"/>
    <n v="12"/>
    <n v="10"/>
    <n v="20"/>
    <n v="1"/>
    <n v="2.3999999999999998E-3"/>
    <x v="381"/>
    <n v="400"/>
    <x v="485"/>
    <n v="22"/>
    <n v="18.181818181818183"/>
    <n v="293.33333333333337"/>
    <n v="311.51515151515156"/>
    <n v="79.316674561819028"/>
    <n v="12892.251894836574"/>
    <s v="B"/>
  </r>
  <r>
    <x v="4"/>
    <s v="CONSTRUÇÃO"/>
    <s v="LAVA JATO"/>
    <s v="PRO2000"/>
    <s v="CAIXA CORRUGADA"/>
    <n v="649.9"/>
    <x v="178"/>
    <n v="90"/>
    <n v="40"/>
    <n v="25"/>
    <n v="10"/>
    <n v="0.09"/>
    <x v="382"/>
    <n v="150"/>
    <x v="486"/>
    <n v="22"/>
    <n v="6.8181818181818183"/>
    <n v="110"/>
    <n v="116.81818181818181"/>
    <n v="72.155524632875412"/>
    <n v="12964.407419469449"/>
    <s v="B"/>
  </r>
  <r>
    <x v="4"/>
    <s v="CONSTRUÇÃO"/>
    <s v="LAVA JATO"/>
    <s v="PW1700"/>
    <s v="CAIXA CORRUGADA"/>
    <n v="641.6"/>
    <x v="177"/>
    <n v="90"/>
    <n v="40"/>
    <n v="25"/>
    <n v="10"/>
    <n v="0.09"/>
    <x v="382"/>
    <n v="150"/>
    <x v="487"/>
    <n v="22"/>
    <n v="6.8181818181818183"/>
    <n v="110"/>
    <n v="116.81818181818181"/>
    <n v="71.234012316437713"/>
    <n v="13035.641431785887"/>
    <s v="B"/>
  </r>
  <r>
    <x v="4"/>
    <s v="CONSTRUÇÃO"/>
    <s v="LAVA JATO"/>
    <s v="PW1550"/>
    <s v="CAIXA CORRUGADA"/>
    <n v="622"/>
    <x v="177"/>
    <n v="90"/>
    <n v="40"/>
    <n v="25"/>
    <n v="10"/>
    <n v="0.09"/>
    <x v="382"/>
    <n v="150"/>
    <x v="488"/>
    <n v="22"/>
    <n v="6.8181818181818183"/>
    <n v="110"/>
    <n v="116.81818181818181"/>
    <n v="69.05791094268119"/>
    <n v="13104.699342728569"/>
    <s v="B"/>
  </r>
  <r>
    <x v="4"/>
    <s v="JARDIM"/>
    <s v="APARADOR DE GRAMA"/>
    <s v="FSE 41 - 120V"/>
    <s v="UNIDADE"/>
    <n v="289"/>
    <x v="169"/>
    <n v="65"/>
    <n v="15"/>
    <n v="15"/>
    <n v="2.6"/>
    <n v="1.4625000000000001E-2"/>
    <x v="383"/>
    <n v="320"/>
    <x v="489"/>
    <n v="15"/>
    <n v="21.333333333333332"/>
    <n v="160"/>
    <n v="181.33333333333334"/>
    <n v="68.450971103742305"/>
    <n v="13173.150313832311"/>
    <s v="B"/>
  </r>
  <r>
    <x v="4"/>
    <s v="CONSTRUÇÃO"/>
    <s v="LAVA JATO"/>
    <s v="K2000"/>
    <s v="CAIXA CORRUGADA"/>
    <n v="579.99"/>
    <x v="181"/>
    <n v="90"/>
    <n v="40"/>
    <n v="25"/>
    <n v="10"/>
    <n v="0.09"/>
    <x v="382"/>
    <n v="150"/>
    <x v="490"/>
    <n v="22"/>
    <n v="6.8181818181818183"/>
    <n v="110"/>
    <n v="116.81818181818181"/>
    <n v="64.393726314542874"/>
    <n v="13237.544040146855"/>
    <s v="B"/>
  </r>
  <r>
    <x v="4"/>
    <s v="MOTORES"/>
    <s v="MOTO BOMBA"/>
    <s v="PERIFERICA"/>
    <s v="UNIDADE"/>
    <n v="1220"/>
    <x v="182"/>
    <n v="100"/>
    <n v="70"/>
    <n v="70"/>
    <n v="30"/>
    <n v="0.49"/>
    <x v="376"/>
    <n v="70"/>
    <x v="491"/>
    <n v="40"/>
    <n v="1.75"/>
    <n v="93.333333333333343"/>
    <n v="95.083333333333343"/>
    <n v="63.210563713879679"/>
    <n v="13300.754603860734"/>
    <s v="B"/>
  </r>
  <r>
    <x v="4"/>
    <s v="CONSTRUÇÃO"/>
    <s v="CORTADOR VERGALHÃO"/>
    <s v="321A"/>
    <s v="CAIXA"/>
    <n v="311.89999999999998"/>
    <x v="150"/>
    <n v="31"/>
    <n v="40"/>
    <n v="15"/>
    <n v="12"/>
    <n v="1.8599999999999998E-2"/>
    <x v="384"/>
    <n v="250"/>
    <x v="492"/>
    <n v="22"/>
    <n v="11.363636363636363"/>
    <n v="183.33333333333334"/>
    <n v="194.69696969696972"/>
    <n v="57.714797489341542"/>
    <n v="13358.469401350076"/>
    <s v="B"/>
  </r>
  <r>
    <x v="4"/>
    <s v="CONSTRUÇÃO"/>
    <s v="POLITRIZ"/>
    <s v="1100W"/>
    <s v="CAIXA CORRUGADA"/>
    <n v="219.9"/>
    <x v="157"/>
    <n v="30"/>
    <n v="45"/>
    <n v="20"/>
    <n v="6"/>
    <n v="2.7E-2"/>
    <x v="385"/>
    <n v="350"/>
    <x v="493"/>
    <n v="22"/>
    <n v="15.909090909090908"/>
    <n v="256.66666666666663"/>
    <n v="272.57575757575756"/>
    <n v="56.967225248697304"/>
    <n v="13415.436626598774"/>
    <s v="B"/>
  </r>
  <r>
    <x v="4"/>
    <s v="CONSTRUÇÃO"/>
    <s v="LAVA JATO"/>
    <s v="WAP EXCELLENT"/>
    <s v="CAIXA CORRUGADA"/>
    <n v="499.99"/>
    <x v="178"/>
    <n v="90"/>
    <n v="40"/>
    <n v="25"/>
    <n v="10"/>
    <n v="0.09"/>
    <x v="382"/>
    <n v="150"/>
    <x v="494"/>
    <n v="22"/>
    <n v="6.8181818181818183"/>
    <n v="110"/>
    <n v="116.81818181818181"/>
    <n v="55.511679891046896"/>
    <n v="13470.948306489821"/>
    <s v="C"/>
  </r>
  <r>
    <x v="4"/>
    <s v="CONSTRUÇÃO"/>
    <s v="SERR. CIRCULAR"/>
    <s v="5401JE"/>
    <s v="CAIXA CORRUGADA"/>
    <n v="289.89999999999998"/>
    <x v="175"/>
    <n v="35"/>
    <n v="35"/>
    <n v="15"/>
    <n v="8"/>
    <n v="1.8374999999999999E-2"/>
    <x v="378"/>
    <n v="250"/>
    <x v="495"/>
    <n v="22"/>
    <n v="11.363636363636363"/>
    <n v="183.33333333333334"/>
    <n v="194.69696969696972"/>
    <n v="53.643859545239224"/>
    <n v="13524.592166035061"/>
    <s v="C"/>
  </r>
  <r>
    <x v="4"/>
    <s v="MOTORES"/>
    <s v="MOTO BOMBA"/>
    <s v="CENTRIFUGA"/>
    <s v="UNIDADE"/>
    <n v="1000"/>
    <x v="183"/>
    <n v="100"/>
    <n v="70"/>
    <n v="70"/>
    <n v="35"/>
    <n v="0.49"/>
    <x v="376"/>
    <n v="70"/>
    <x v="496"/>
    <n v="40"/>
    <n v="1.75"/>
    <n v="93.333333333333343"/>
    <n v="95.083333333333343"/>
    <n v="51.811937470393183"/>
    <n v="13576.404103505454"/>
    <s v="C"/>
  </r>
  <r>
    <x v="4"/>
    <s v="CONSTRUÇÃO"/>
    <s v="SERR. CIRCULAR"/>
    <s v="CS1024"/>
    <s v="CAIXA CORRUGADA"/>
    <n v="279.89999999999998"/>
    <x v="177"/>
    <n v="35"/>
    <n v="35"/>
    <n v="15"/>
    <n v="8"/>
    <n v="1.8374999999999999E-2"/>
    <x v="378"/>
    <n v="250"/>
    <x v="497"/>
    <n v="22"/>
    <n v="11.363636363636363"/>
    <n v="183.33333333333334"/>
    <n v="194.69696969696972"/>
    <n v="51.793433207010899"/>
    <n v="13628.197536712465"/>
    <s v="C"/>
  </r>
  <r>
    <x v="4"/>
    <s v="CONSTRUÇÃO"/>
    <s v="SERR. CIRCULAR"/>
    <s v="GK5300"/>
    <s v="CAIXA CORRUGADA"/>
    <n v="259.89999999999998"/>
    <x v="175"/>
    <n v="35"/>
    <n v="35"/>
    <n v="15"/>
    <n v="8"/>
    <n v="1.8374999999999999E-2"/>
    <x v="378"/>
    <n v="250"/>
    <x v="498"/>
    <n v="22"/>
    <n v="11.363636363636363"/>
    <n v="183.33333333333334"/>
    <n v="194.69696969696972"/>
    <n v="48.092580530554237"/>
    <n v="13676.290117243019"/>
    <s v="C"/>
  </r>
  <r>
    <x v="4"/>
    <s v="CONSTRUÇÃO"/>
    <s v="LAVA JATO"/>
    <s v="PRO1200"/>
    <s v="CAIXA CORRUGADA"/>
    <n v="399"/>
    <x v="178"/>
    <n v="90"/>
    <n v="40"/>
    <n v="25"/>
    <n v="10"/>
    <n v="0.09"/>
    <x v="382"/>
    <n v="150"/>
    <x v="499"/>
    <n v="22"/>
    <n v="6.8181818181818183"/>
    <n v="110"/>
    <n v="116.81818181818181"/>
    <n v="44.299206537186166"/>
    <n v="13720.589323780205"/>
    <s v="C"/>
  </r>
  <r>
    <x v="4"/>
    <s v="CONSTRUÇÃO"/>
    <s v="CORTADOR VERGALHÃO"/>
    <s v="MXZ71"/>
    <s v="CAIXA"/>
    <n v="188"/>
    <x v="153"/>
    <n v="26"/>
    <n v="10500000"/>
    <n v="17"/>
    <n v="19"/>
    <n v="4641"/>
    <x v="386"/>
    <n v="300"/>
    <x v="500"/>
    <n v="22"/>
    <n v="13.636363636363637"/>
    <n v="220"/>
    <n v="233.63636363636363"/>
    <n v="41.745618190431074"/>
    <n v="13762.334941970636"/>
    <s v="C"/>
  </r>
  <r>
    <x v="4"/>
    <s v="CONSTRUÇÃO"/>
    <s v="CORTADOR VERGALHÃO"/>
    <s v="QWE05"/>
    <s v="CAIXA"/>
    <n v="179"/>
    <x v="178"/>
    <n v="20"/>
    <n v="12000"/>
    <n v="12"/>
    <n v="14"/>
    <n v="2.88"/>
    <x v="387"/>
    <n v="300"/>
    <x v="501"/>
    <n v="22"/>
    <n v="13.636363636363637"/>
    <n v="220"/>
    <n v="233.63636363636363"/>
    <n v="39.747157745144484"/>
    <n v="13802.082099715781"/>
    <s v="C"/>
  </r>
  <r>
    <x v="4"/>
    <s v="CONSTRUÇÃO"/>
    <s v="PARAFUSADEIRA"/>
    <s v="DW257"/>
    <s v="PÇ/MALETA"/>
    <n v="1049"/>
    <x v="179"/>
    <n v="40"/>
    <n v="30"/>
    <n v="10"/>
    <n v="5"/>
    <n v="1.2E-2"/>
    <x v="388"/>
    <n v="50"/>
    <x v="502"/>
    <n v="22"/>
    <n v="2.2727272727272729"/>
    <n v="36.666666666666671"/>
    <n v="38.939393939393945"/>
    <n v="38.821944576030319"/>
    <n v="13840.90404429181"/>
    <s v="C"/>
  </r>
  <r>
    <x v="4"/>
    <s v="CONSTRUÇÃO"/>
    <s v="CORTADOR VERGALHÃO"/>
    <s v="OPI2"/>
    <s v="CAIXA"/>
    <n v="171.9"/>
    <x v="150"/>
    <n v="22"/>
    <n v="34"/>
    <n v="12"/>
    <n v="13"/>
    <n v="8.9759999999999996E-3"/>
    <x v="389"/>
    <n v="300"/>
    <x v="503"/>
    <n v="22"/>
    <n v="13.636363636363637"/>
    <n v="220"/>
    <n v="233.63636363636363"/>
    <n v="38.170594504973948"/>
    <n v="13879.074638796785"/>
    <s v="C"/>
  </r>
  <r>
    <x v="4"/>
    <s v="MOTO SERRAS"/>
    <s v="ELETROSSERRA TEKNA FOREST &amp; GARDEN ES1250"/>
    <s v="REF: ES12502"/>
    <s v="UNIDADE"/>
    <n v="211"/>
    <x v="184"/>
    <n v="41"/>
    <n v="53"/>
    <n v="43"/>
    <n v="9.4"/>
    <n v="9.3438999999999994E-2"/>
    <x v="390"/>
    <n v="240"/>
    <x v="504"/>
    <n v="40"/>
    <n v="6"/>
    <n v="320"/>
    <n v="326"/>
    <n v="37.482235907153012"/>
    <n v="13916.556874703938"/>
    <s v="C"/>
  </r>
  <r>
    <x v="4"/>
    <s v="CONSTRUÇÃO"/>
    <s v="SERR. CIRCULAR"/>
    <s v="25C755"/>
    <s v="CAIXA CORRUGADA"/>
    <n v="190.9"/>
    <x v="153"/>
    <n v="35"/>
    <n v="35"/>
    <n v="15"/>
    <n v="8"/>
    <n v="1.8374999999999999E-2"/>
    <x v="378"/>
    <n v="250"/>
    <x v="505"/>
    <n v="22"/>
    <n v="11.363636363636363"/>
    <n v="183.33333333333334"/>
    <n v="194.69696969696972"/>
    <n v="35.324638796778778"/>
    <n v="13951.881513500717"/>
    <s v="C"/>
  </r>
  <r>
    <x v="4"/>
    <s v="CONSTRUÇÃO"/>
    <s v="PARAFUSADEIRA"/>
    <s v="LT120"/>
    <s v="PÇ/MALETA"/>
    <n v="899"/>
    <x v="173"/>
    <n v="40"/>
    <n v="30"/>
    <n v="10"/>
    <n v="5"/>
    <n v="1.2E-2"/>
    <x v="388"/>
    <n v="50"/>
    <x v="506"/>
    <n v="22"/>
    <n v="2.2727272727272729"/>
    <n v="36.666666666666671"/>
    <n v="38.939393939393945"/>
    <n v="33.270665561345332"/>
    <n v="13985.152179062063"/>
    <s v="C"/>
  </r>
  <r>
    <x v="4"/>
    <s v="CONSTRUÇÃO"/>
    <s v="PLAINA"/>
    <s v="KP0810"/>
    <s v="CAIXA CORRUGADA"/>
    <n v="899"/>
    <x v="173"/>
    <n v="25"/>
    <n v="40"/>
    <n v="30"/>
    <n v="5"/>
    <n v="0.03"/>
    <x v="101"/>
    <n v="50"/>
    <x v="506"/>
    <n v="22"/>
    <n v="2.2727272727272729"/>
    <n v="36.666666666666671"/>
    <n v="38.939393939393945"/>
    <n v="33.270665561345332"/>
    <n v="14018.422844623408"/>
    <s v="C"/>
  </r>
  <r>
    <x v="4"/>
    <s v="JARDIM"/>
    <s v="APARADOR DE GRAMA"/>
    <s v="FSE 41 - 230V"/>
    <s v="UNIDADE"/>
    <n v="134"/>
    <x v="178"/>
    <n v="60"/>
    <n v="15"/>
    <n v="15"/>
    <n v="2.5"/>
    <n v="1.35E-2"/>
    <x v="60"/>
    <n v="320"/>
    <x v="507"/>
    <n v="15"/>
    <n v="21.333333333333332"/>
    <n v="160"/>
    <n v="181.33333333333334"/>
    <n v="31.738512553292278"/>
    <n v="14050.161357176701"/>
    <s v="C"/>
  </r>
  <r>
    <x v="4"/>
    <s v="MOTO SERRAS"/>
    <s v="ELETROSERRA TEKNA ES1850 C/ SABRE DE 16"/>
    <s v="REF: 60265"/>
    <s v="UNIDADE"/>
    <n v="404.7"/>
    <x v="163"/>
    <n v="20"/>
    <n v="49"/>
    <n v="27"/>
    <n v="26.5"/>
    <n v="2.6460000000000001E-2"/>
    <x v="391"/>
    <n v="100"/>
    <x v="508"/>
    <n v="40"/>
    <n v="2.5"/>
    <n v="133.33333333333334"/>
    <n v="135.83333333333334"/>
    <n v="29.954701563240171"/>
    <n v="14080.116058739941"/>
    <s v="C"/>
  </r>
  <r>
    <x v="4"/>
    <s v="CONSTRUÇÃO"/>
    <s v="LAVA JATO"/>
    <s v="PW1400"/>
    <s v="CAIXA CORRUGADA"/>
    <n v="369"/>
    <x v="177"/>
    <n v="90"/>
    <n v="40"/>
    <n v="25"/>
    <n v="10"/>
    <n v="0.09"/>
    <x v="392"/>
    <n v="100"/>
    <x v="509"/>
    <n v="22"/>
    <n v="4.5454545454545459"/>
    <n v="73.333333333333343"/>
    <n v="77.87878787878789"/>
    <n v="27.312292752250119"/>
    <n v="14107.428351492192"/>
    <s v="C"/>
  </r>
  <r>
    <x v="4"/>
    <s v="JARDIM"/>
    <s v="ROÇADEIRA"/>
    <s v="FR 220"/>
    <s v="UNIDADE"/>
    <n v="100"/>
    <x v="169"/>
    <n v="90"/>
    <n v="30"/>
    <n v="25"/>
    <n v="4"/>
    <n v="6.7500000000000004E-2"/>
    <x v="393"/>
    <n v="320"/>
    <x v="510"/>
    <n v="15"/>
    <n v="21.333333333333332"/>
    <n v="160"/>
    <n v="181.33333333333334"/>
    <n v="23.685457129322597"/>
    <n v="14131.113808621514"/>
    <s v="C"/>
  </r>
  <r>
    <x v="4"/>
    <s v="JARDIM"/>
    <s v="PODADOR"/>
    <s v="HSE 61"/>
    <s v="UNIDADE"/>
    <n v="100"/>
    <x v="169"/>
    <n v="20"/>
    <n v="113"/>
    <n v="10"/>
    <n v="4"/>
    <n v="2.2599999999999999E-2"/>
    <x v="394"/>
    <n v="320"/>
    <x v="510"/>
    <n v="15"/>
    <n v="21.333333333333332"/>
    <n v="160"/>
    <n v="181.33333333333334"/>
    <n v="23.685457129322597"/>
    <n v="14154.799265750837"/>
    <s v="C"/>
  </r>
  <r>
    <x v="4"/>
    <s v="MOTO SERRAS"/>
    <s v="MOTOSSERRA ELÉTRICA GRINGER "/>
    <s v="REF: 086528"/>
    <s v="UNIDADE"/>
    <n v="319.89999999999998"/>
    <x v="153"/>
    <n v="22"/>
    <n v="50"/>
    <n v="27"/>
    <n v="29.7"/>
    <n v="2.9700000000000001E-2"/>
    <x v="395"/>
    <n v="100"/>
    <x v="511"/>
    <n v="40"/>
    <n v="2.5"/>
    <n v="133.33333333333334"/>
    <n v="135.83333333333334"/>
    <n v="23.678055423969681"/>
    <n v="14178.477321174807"/>
    <s v="C"/>
  </r>
  <r>
    <x v="4"/>
    <s v="CONSTRUÇÃO"/>
    <s v="POLITRIZ"/>
    <s v="DTS400W"/>
    <s v="CAIXA CORRUGADA"/>
    <n v="587.9"/>
    <x v="175"/>
    <n v="30"/>
    <n v="45"/>
    <n v="20"/>
    <n v="6"/>
    <n v="2.7E-2"/>
    <x v="86"/>
    <n v="50"/>
    <x v="512"/>
    <n v="22"/>
    <n v="2.2727272727272729"/>
    <n v="36.666666666666671"/>
    <n v="38.939393939393945"/>
    <n v="21.75731288488868"/>
    <n v="14200.234634059696"/>
    <s v="C"/>
  </r>
  <r>
    <x v="4"/>
    <s v="CONSTRUÇÃO"/>
    <s v="PARAFUSADEIRA"/>
    <s v="SP600"/>
    <s v="PÇ/MALETA"/>
    <n v="579"/>
    <x v="173"/>
    <n v="40"/>
    <n v="30"/>
    <n v="10"/>
    <n v="5"/>
    <n v="1.2E-2"/>
    <x v="388"/>
    <n v="50"/>
    <x v="513"/>
    <n v="22"/>
    <n v="2.2727272727272729"/>
    <n v="36.666666666666671"/>
    <n v="38.939393939393945"/>
    <n v="21.427936996684036"/>
    <n v="14221.66257105638"/>
    <s v="C"/>
  </r>
  <r>
    <x v="4"/>
    <s v="JARDIM"/>
    <s v="PODADOR"/>
    <s v="79833512"/>
    <s v="UNIDADE"/>
    <n v="85"/>
    <x v="178"/>
    <n v="20"/>
    <n v="80"/>
    <n v="15"/>
    <n v="4"/>
    <n v="2.4E-2"/>
    <x v="24"/>
    <n v="320"/>
    <x v="514"/>
    <n v="15"/>
    <n v="21.333333333333332"/>
    <n v="160"/>
    <n v="181.33333333333334"/>
    <n v="20.132638559924207"/>
    <n v="14241.795209616304"/>
    <s v="C"/>
  </r>
  <r>
    <x v="4"/>
    <s v="JARDIM"/>
    <s v="ROÇADEIRA"/>
    <s v="FSA 85"/>
    <s v="UNIDADE"/>
    <n v="80"/>
    <x v="165"/>
    <n v="90"/>
    <n v="30"/>
    <n v="30"/>
    <n v="4.5"/>
    <n v="8.1000000000000003E-2"/>
    <x v="396"/>
    <n v="320"/>
    <x v="515"/>
    <n v="15"/>
    <n v="21.333333333333332"/>
    <n v="160"/>
    <n v="181.33333333333334"/>
    <n v="18.948365703458077"/>
    <n v="14260.743575319762"/>
    <s v="C"/>
  </r>
  <r>
    <x v="4"/>
    <s v="JARDIM"/>
    <s v="CORTADOR DE GRAMA"/>
    <s v="CE30P2"/>
    <s v="UNIDADE"/>
    <n v="530"/>
    <x v="185"/>
    <n v="70"/>
    <n v="30"/>
    <n v="20"/>
    <n v="11"/>
    <n v="4.2000000000000003E-2"/>
    <x v="115"/>
    <n v="48"/>
    <x v="516"/>
    <n v="15"/>
    <n v="3.2"/>
    <n v="24"/>
    <n v="27.2"/>
    <n v="18.829938417811466"/>
    <n v="14279.573513737574"/>
    <s v="C"/>
  </r>
  <r>
    <x v="4"/>
    <s v="CONSTRUÇÃO"/>
    <s v="PLAINA"/>
    <s v="KP0800"/>
    <s v="CAIXA CORRUGADA"/>
    <n v="493.99"/>
    <x v="173"/>
    <n v="25"/>
    <n v="40"/>
    <n v="30"/>
    <n v="5"/>
    <n v="0.03"/>
    <x v="101"/>
    <n v="50"/>
    <x v="517"/>
    <n v="22"/>
    <n v="2.2727272727272729"/>
    <n v="36.666666666666671"/>
    <n v="38.939393939393945"/>
    <n v="18.281842136428235"/>
    <n v="14297.855355874002"/>
    <s v="C"/>
  </r>
  <r>
    <x v="4"/>
    <s v="CONSTRUÇÃO"/>
    <s v="PARAFUSADEIRA"/>
    <s v="GSR1080"/>
    <s v="PÇ/MALETA"/>
    <n v="489"/>
    <x v="176"/>
    <n v="40"/>
    <n v="30"/>
    <n v="10"/>
    <n v="5"/>
    <n v="1.2E-2"/>
    <x v="388"/>
    <n v="50"/>
    <x v="518"/>
    <n v="22"/>
    <n v="2.2727272727272729"/>
    <n v="36.666666666666671"/>
    <n v="38.939393939393945"/>
    <n v="18.097169587873047"/>
    <n v="14315.952525461875"/>
    <s v="C"/>
  </r>
  <r>
    <x v="4"/>
    <s v="CONSTRUÇÃO"/>
    <s v="CARRINHO DE MÃO"/>
    <s v="M22"/>
    <s v="PEÇA"/>
    <n v="95"/>
    <x v="186"/>
    <n v="80"/>
    <n v="98"/>
    <n v="68"/>
    <n v="8.5"/>
    <n v="0.53312000000000004"/>
    <x v="397"/>
    <n v="250"/>
    <x v="519"/>
    <n v="22"/>
    <n v="11.363636363636363"/>
    <n v="183.33333333333334"/>
    <n v="194.69696969696972"/>
    <n v="17.579050213169115"/>
    <n v="14333.531575675044"/>
    <s v="C"/>
  </r>
  <r>
    <x v="4"/>
    <s v="CONSTRUÇÃO"/>
    <s v="ESMERILHADEIRA"/>
    <s v="06018A10E000"/>
    <s v="CAIXA"/>
    <n v="469"/>
    <x v="176"/>
    <n v="12.8"/>
    <n v="26.6"/>
    <n v="10.3"/>
    <n v="4.9000000000000004"/>
    <n v="3.5069440000000006E-3"/>
    <x v="398"/>
    <n v="50"/>
    <x v="520"/>
    <n v="22"/>
    <n v="2.2727272727272729"/>
    <n v="36.666666666666671"/>
    <n v="38.939393939393945"/>
    <n v="17.356999052581717"/>
    <n v="14350.888574727625"/>
    <s v="C"/>
  </r>
  <r>
    <x v="4"/>
    <s v="CONSTRUÇÃO"/>
    <s v="ESMERILHADEIRA"/>
    <s v="DW28490B2"/>
    <s v="CAIXA"/>
    <n v="439.9"/>
    <x v="179"/>
    <n v="30"/>
    <n v="40"/>
    <n v="15"/>
    <n v="5.7"/>
    <n v="1.7999999999999999E-2"/>
    <x v="399"/>
    <n v="50"/>
    <x v="521"/>
    <n v="22"/>
    <n v="2.2727272727272729"/>
    <n v="36.666666666666671"/>
    <n v="38.939393939393945"/>
    <n v="16.28005092373283"/>
    <n v="14367.168625651359"/>
    <s v="C"/>
  </r>
  <r>
    <x v="4"/>
    <s v="CONSTRUÇÃO"/>
    <s v="TUPIA"/>
    <s v="RG18"/>
    <s v="PEÇA"/>
    <n v="419"/>
    <x v="175"/>
    <n v="20"/>
    <n v="36"/>
    <n v="38"/>
    <n v="3.2"/>
    <n v="2.7359999999999999E-2"/>
    <x v="47"/>
    <n v="50"/>
    <x v="522"/>
    <n v="22"/>
    <n v="2.2727272727272729"/>
    <n v="36.666666666666671"/>
    <n v="38.939393939393945"/>
    <n v="15.506572714353387"/>
    <n v="14382.675198365712"/>
    <s v="C"/>
  </r>
  <r>
    <x v="4"/>
    <s v="CONSTRUÇÃO"/>
    <s v="PARAFUSADEIRA"/>
    <s v="FS4000"/>
    <s v="PÇ/MALETA"/>
    <n v="399"/>
    <x v="173"/>
    <n v="40"/>
    <n v="30"/>
    <n v="10"/>
    <n v="5"/>
    <n v="1.2E-2"/>
    <x v="388"/>
    <n v="50"/>
    <x v="523"/>
    <n v="22"/>
    <n v="2.2727272727272729"/>
    <n v="36.666666666666671"/>
    <n v="38.939393939393945"/>
    <n v="14.766402179062057"/>
    <n v="14397.441600544775"/>
    <s v="C"/>
  </r>
  <r>
    <x v="4"/>
    <s v="CONSTRUÇÃO"/>
    <s v="PLAINA"/>
    <s v="P20ST"/>
    <s v="CAIXA CORRUGADA"/>
    <n v="389"/>
    <x v="164"/>
    <n v="25"/>
    <n v="40"/>
    <n v="30"/>
    <n v="5"/>
    <n v="0.03"/>
    <x v="101"/>
    <n v="50"/>
    <x v="524"/>
    <n v="22"/>
    <n v="2.2727272727272729"/>
    <n v="36.666666666666671"/>
    <n v="38.939393939393945"/>
    <n v="14.39631691141639"/>
    <n v="14411.837917456191"/>
    <s v="C"/>
  </r>
  <r>
    <x v="4"/>
    <s v="CONSTRUÇÃO"/>
    <s v="POLITRIZ"/>
    <s v="DWTO13"/>
    <s v="CAIXA CORRUGADA"/>
    <n v="379.9"/>
    <x v="157"/>
    <n v="30"/>
    <n v="45"/>
    <n v="20"/>
    <n v="6"/>
    <n v="2.7E-2"/>
    <x v="86"/>
    <n v="50"/>
    <x v="525"/>
    <n v="22"/>
    <n v="2.2727272727272729"/>
    <n v="36.666666666666671"/>
    <n v="38.939393939393945"/>
    <n v="14.059539317858835"/>
    <n v="14425.89745677405"/>
    <s v="C"/>
  </r>
  <r>
    <x v="4"/>
    <s v="CONSTRUÇÃO"/>
    <s v="PARAFUSADEIRA"/>
    <s v="LD112"/>
    <s v="PÇ/MALETA"/>
    <n v="368"/>
    <x v="177"/>
    <n v="40"/>
    <n v="30"/>
    <n v="10"/>
    <n v="5"/>
    <n v="1.2E-2"/>
    <x v="388"/>
    <n v="50"/>
    <x v="526"/>
    <n v="22"/>
    <n v="2.2727272727272729"/>
    <n v="36.666666666666671"/>
    <n v="38.939393939393945"/>
    <n v="13.619137849360493"/>
    <n v="14439.51659462341"/>
    <s v="C"/>
  </r>
  <r>
    <x v="4"/>
    <s v="CONSTRUÇÃO"/>
    <s v="PLAINA"/>
    <s v="7698K"/>
    <s v="CAIXA CORRUGADA"/>
    <n v="350.9"/>
    <x v="177"/>
    <n v="25"/>
    <n v="40"/>
    <n v="30"/>
    <n v="5"/>
    <n v="0.03"/>
    <x v="101"/>
    <n v="50"/>
    <x v="527"/>
    <n v="22"/>
    <n v="2.2727272727272729"/>
    <n v="36.666666666666671"/>
    <n v="38.939393939393945"/>
    <n v="12.986292041686404"/>
    <n v="14452.502886665097"/>
    <s v="C"/>
  </r>
  <r>
    <x v="4"/>
    <s v="MOTORES"/>
    <s v="BOMBA SUBMERSA"/>
    <s v="P/ AGUA TURVA"/>
    <s v="UNIDADE"/>
    <n v="575"/>
    <x v="187"/>
    <n v="60"/>
    <n v="40"/>
    <n v="45"/>
    <n v="11"/>
    <n v="0.108"/>
    <x v="400"/>
    <n v="29"/>
    <x v="528"/>
    <n v="40"/>
    <n v="0.72499999999999998"/>
    <n v="38.666666666666664"/>
    <n v="39.391666666666666"/>
    <n v="12.342343675982947"/>
    <n v="14464.84523034108"/>
    <s v="C"/>
  </r>
  <r>
    <x v="4"/>
    <s v="CONSTRUÇÃO"/>
    <s v="PARAFUSADEIRA"/>
    <s v="LD116"/>
    <s v="PÇ/MALETA"/>
    <n v="329"/>
    <x v="188"/>
    <n v="40"/>
    <n v="30"/>
    <n v="10"/>
    <n v="5"/>
    <n v="1.2E-2"/>
    <x v="388"/>
    <n v="50"/>
    <x v="529"/>
    <n v="22"/>
    <n v="2.2727272727272729"/>
    <n v="36.666666666666671"/>
    <n v="38.939393939393945"/>
    <n v="12.175805305542397"/>
    <n v="14477.021035646621"/>
    <s v="C"/>
  </r>
  <r>
    <x v="4"/>
    <s v="JARDIM"/>
    <s v="LAMINA"/>
    <s v="OITO PONTAS"/>
    <s v="CAIXA"/>
    <n v="400"/>
    <x v="169"/>
    <n v="5"/>
    <n v="15"/>
    <n v="15"/>
    <n v="1"/>
    <n v="1.1249999999999999E-3"/>
    <x v="401"/>
    <n v="40"/>
    <x v="530"/>
    <n v="15"/>
    <n v="2.6666666666666665"/>
    <n v="20"/>
    <n v="22.666666666666668"/>
    <n v="11.842728564661298"/>
    <n v="14488.863764211283"/>
    <s v="C"/>
  </r>
  <r>
    <x v="4"/>
    <s v="CONSTRUÇÃO"/>
    <s v="ESMERILHADEIRA"/>
    <s v="GWS 11-125"/>
    <s v="CAIXA"/>
    <n v="450"/>
    <x v="176"/>
    <n v="11.5"/>
    <n v="30"/>
    <n v="13"/>
    <n v="2"/>
    <n v="4.4850000000000003E-3"/>
    <x v="402"/>
    <n v="35"/>
    <x v="531"/>
    <n v="22"/>
    <n v="1.5909090909090908"/>
    <n v="25.666666666666668"/>
    <n v="27.257575757575758"/>
    <n v="11.657685930838465"/>
    <n v="14500.521450142121"/>
    <s v="C"/>
  </r>
  <r>
    <x v="4"/>
    <s v="MOTORES"/>
    <s v="BOMBA SUBMERSA"/>
    <s v="P/ POÇO"/>
    <s v="UNIDADE"/>
    <n v="530"/>
    <x v="189"/>
    <n v="60"/>
    <n v="40"/>
    <n v="45"/>
    <n v="12"/>
    <n v="0.108"/>
    <x v="400"/>
    <n v="29"/>
    <x v="532"/>
    <n v="40"/>
    <n v="0.72499999999999998"/>
    <n v="38.666666666666664"/>
    <n v="39.391666666666666"/>
    <n v="11.37642112742776"/>
    <n v="14511.89787126955"/>
    <s v="C"/>
  </r>
  <r>
    <x v="4"/>
    <s v="MOTORES"/>
    <s v="BOMBA SUBMERSA"/>
    <s v="P/ AGUA LIMPA"/>
    <s v="UNIDADE"/>
    <n v="500"/>
    <x v="190"/>
    <n v="40"/>
    <n v="20"/>
    <n v="30"/>
    <n v="9"/>
    <n v="2.4E-2"/>
    <x v="403"/>
    <n v="29"/>
    <x v="533"/>
    <n v="40"/>
    <n v="0.72499999999999998"/>
    <n v="38.666666666666664"/>
    <n v="39.391666666666666"/>
    <n v="10.732472761724301"/>
    <n v="14522.630344031275"/>
    <s v="C"/>
  </r>
  <r>
    <x v="4"/>
    <s v="JARDIM"/>
    <s v="LAMINA"/>
    <s v="SUPERCUT"/>
    <s v="CAIXA"/>
    <n v="350"/>
    <x v="191"/>
    <n v="5"/>
    <n v="15"/>
    <n v="15"/>
    <n v="1"/>
    <n v="1.1249999999999999E-3"/>
    <x v="401"/>
    <n v="40"/>
    <x v="240"/>
    <n v="15"/>
    <n v="2.6666666666666665"/>
    <n v="20"/>
    <n v="22.666666666666668"/>
    <n v="10.362387494078636"/>
    <n v="14532.992731525354"/>
    <s v="C"/>
  </r>
  <r>
    <x v="4"/>
    <s v="CONSTRUÇÃO"/>
    <s v="TUPIA"/>
    <s v="PDF140"/>
    <s v="PEÇA"/>
    <n v="398"/>
    <x v="159"/>
    <n v="30"/>
    <n v="32"/>
    <n v="20"/>
    <n v="2.4"/>
    <n v="1.9199999999999998E-2"/>
    <x v="404"/>
    <n v="35"/>
    <x v="534"/>
    <n v="22"/>
    <n v="1.5909090909090908"/>
    <n v="25.666666666666668"/>
    <n v="27.257575757575758"/>
    <n v="10.310575556608242"/>
    <n v="14543.303307081962"/>
    <s v="C"/>
  </r>
  <r>
    <x v="4"/>
    <s v="MOTORES"/>
    <s v="BOMBA SUBMERSA"/>
    <s v="ANAUGER "/>
    <s v="UNIDADE"/>
    <n v="450"/>
    <x v="190"/>
    <n v="40"/>
    <n v="20"/>
    <n v="30"/>
    <n v="10"/>
    <n v="2.4E-2"/>
    <x v="403"/>
    <n v="29"/>
    <x v="535"/>
    <n v="40"/>
    <n v="0.72499999999999998"/>
    <n v="38.666666666666664"/>
    <n v="39.391666666666666"/>
    <n v="9.6592254855518718"/>
    <n v="14552.962532567513"/>
    <s v="C"/>
  </r>
  <r>
    <x v="4"/>
    <s v="CONSTRUÇÃO"/>
    <s v="ESMERILHADEIRA"/>
    <s v="DFA42"/>
    <s v="CAIXA"/>
    <n v="255.4"/>
    <x v="175"/>
    <n v="12.5"/>
    <n v="35.5"/>
    <n v="9.1999999999999993"/>
    <n v="2.7"/>
    <n v="4.0824999999999993E-3"/>
    <x v="405"/>
    <n v="50"/>
    <x v="536"/>
    <n v="22"/>
    <n v="2.2727272727272729"/>
    <n v="36.666666666666671"/>
    <n v="38.939393939393945"/>
    <n v="9.4519777356702992"/>
    <n v="14562.414510303184"/>
    <s v="C"/>
  </r>
  <r>
    <x v="4"/>
    <s v="CONSTRUÇÃO"/>
    <s v="POLITRIZ"/>
    <s v="RT-OS30"/>
    <s v="CAIXA CORRUGADA"/>
    <n v="249.9"/>
    <x v="157"/>
    <n v="30"/>
    <n v="45"/>
    <n v="20"/>
    <n v="6"/>
    <n v="2.7E-2"/>
    <x v="86"/>
    <n v="50"/>
    <x v="537"/>
    <n v="22"/>
    <n v="2.2727272727272729"/>
    <n v="36.666666666666671"/>
    <n v="38.939393939393945"/>
    <n v="9.2484308384651825"/>
    <n v="14571.662941141649"/>
    <s v="C"/>
  </r>
  <r>
    <x v="4"/>
    <s v="JARDIM"/>
    <s v="LAMINA"/>
    <s v="DUAS PONTAS"/>
    <s v="CAIXA"/>
    <n v="300"/>
    <x v="169"/>
    <n v="5"/>
    <n v="15"/>
    <n v="15"/>
    <n v="1"/>
    <n v="1.1249999999999999E-3"/>
    <x v="401"/>
    <n v="40"/>
    <x v="538"/>
    <n v="15"/>
    <n v="2.6666666666666665"/>
    <n v="20"/>
    <n v="22.666666666666668"/>
    <n v="8.8820464234959733"/>
    <n v="14580.544987565145"/>
    <s v="C"/>
  </r>
  <r>
    <x v="4"/>
    <s v="MOTORES"/>
    <s v="MOTOR ELETRICO"/>
    <s v="INDUÇÃO TRIFÁSICO 1 CV 2 POLOS 220/ 380 "/>
    <s v="UNIDADE"/>
    <n v="400"/>
    <x v="192"/>
    <n v="30"/>
    <n v="50"/>
    <n v="40"/>
    <n v="21"/>
    <n v="0.06"/>
    <x v="406"/>
    <n v="30"/>
    <x v="538"/>
    <n v="40"/>
    <n v="0.75"/>
    <n v="40"/>
    <n v="40.75"/>
    <n v="8.8820464234959733"/>
    <n v="14589.427033988641"/>
    <s v="C"/>
  </r>
  <r>
    <x v="4"/>
    <s v="MOTORES"/>
    <s v="MOTOR ELETRICO"/>
    <s v="3 HP 220 V REF"/>
    <s v="UNIDADE"/>
    <n v="400"/>
    <x v="193"/>
    <n v="30"/>
    <n v="50"/>
    <n v="40"/>
    <n v="19"/>
    <n v="0.06"/>
    <x v="406"/>
    <n v="30"/>
    <x v="538"/>
    <n v="40"/>
    <n v="0.75"/>
    <n v="40"/>
    <n v="40.75"/>
    <n v="8.8820464234959733"/>
    <n v="14598.309080412137"/>
    <s v="C"/>
  </r>
  <r>
    <x v="4"/>
    <s v="JARDIM"/>
    <s v="PODADOR"/>
    <s v="321P5X"/>
    <s v="UNIDADE"/>
    <n v="90"/>
    <x v="152"/>
    <n v="20"/>
    <n v="80"/>
    <n v="15"/>
    <n v="6.4"/>
    <n v="2.4E-2"/>
    <x v="407"/>
    <n v="130"/>
    <x v="539"/>
    <n v="15"/>
    <n v="8.6666666666666661"/>
    <n v="65"/>
    <n v="73.666666666666671"/>
    <n v="8.6599952629085752"/>
    <n v="14606.969075675046"/>
    <s v="C"/>
  </r>
  <r>
    <x v="4"/>
    <s v="CONSTRUÇÃO"/>
    <s v="FURADEIRA"/>
    <s v="M33"/>
    <s v="CAIXA"/>
    <n v="317.89999999999998"/>
    <x v="175"/>
    <n v="26"/>
    <n v="27"/>
    <n v="9"/>
    <n v="1.6"/>
    <n v="6.3179999999999998E-3"/>
    <x v="408"/>
    <n v="35"/>
    <x v="540"/>
    <n v="22"/>
    <n v="1.5909090909090908"/>
    <n v="25.666666666666668"/>
    <n v="27.257575757575758"/>
    <n v="8.2355074609189955"/>
    <n v="14615.204583135965"/>
    <s v="C"/>
  </r>
  <r>
    <x v="4"/>
    <s v="CONSTRUÇÃO"/>
    <s v="TUPIA"/>
    <s v="GH42"/>
    <s v="PEÇA"/>
    <n v="309.89999999999998"/>
    <x v="173"/>
    <n v="29"/>
    <n v="30"/>
    <n v="18"/>
    <n v="1.5"/>
    <n v="1.566E-2"/>
    <x v="409"/>
    <n v="35"/>
    <x v="541"/>
    <n v="22"/>
    <n v="1.5909090909090908"/>
    <n v="25.666666666666668"/>
    <n v="27.257575757575758"/>
    <n v="8.028259711037423"/>
    <n v="14623.232842847003"/>
    <s v="C"/>
  </r>
  <r>
    <x v="4"/>
    <s v="MOTORES"/>
    <s v="MOTOR ELETRICO"/>
    <s v=" 5HP MONOFÁSICO 220V 60HZ "/>
    <s v="UNIDADE"/>
    <n v="350"/>
    <x v="193"/>
    <n v="30"/>
    <n v="50"/>
    <n v="40"/>
    <n v="20"/>
    <n v="0.06"/>
    <x v="406"/>
    <n v="30"/>
    <x v="404"/>
    <n v="40"/>
    <n v="0.75"/>
    <n v="40"/>
    <n v="40.75"/>
    <n v="7.7717906205589768"/>
    <n v="14631.004633467563"/>
    <s v="C"/>
  </r>
  <r>
    <x v="4"/>
    <s v="CONSTRUÇÃO"/>
    <s v="FURADEIRA"/>
    <s v="M30"/>
    <s v="CAIXA"/>
    <n v="289.89999999999998"/>
    <x v="173"/>
    <n v="183"/>
    <n v="157"/>
    <n v="53"/>
    <n v="1.8"/>
    <n v="1.522743"/>
    <x v="410"/>
    <n v="35"/>
    <x v="542"/>
    <n v="22"/>
    <n v="1.5909090909090908"/>
    <n v="25.666666666666668"/>
    <n v="27.257575757575758"/>
    <n v="7.5101403363334915"/>
    <n v="14638.514773803896"/>
    <s v="C"/>
  </r>
  <r>
    <x v="4"/>
    <s v="JARDIM"/>
    <s v="CORTADOR DE GRAMA"/>
    <s v="LM320E"/>
    <s v="UNIDADE"/>
    <n v="250"/>
    <x v="194"/>
    <n v="65"/>
    <n v="35"/>
    <n v="20"/>
    <n v="13"/>
    <n v="4.5499999999999999E-2"/>
    <x v="411"/>
    <n v="40"/>
    <x v="543"/>
    <n v="15"/>
    <n v="2.6666666666666665"/>
    <n v="20"/>
    <n v="22.666666666666668"/>
    <n v="7.4017053529133117"/>
    <n v="14645.916479156809"/>
    <s v="C"/>
  </r>
  <r>
    <x v="4"/>
    <s v="JARDIM"/>
    <s v="APARADOR DE GRAMA"/>
    <s v="MASTER 1000 PLUS"/>
    <s v="UNIDADE"/>
    <n v="250"/>
    <x v="195"/>
    <n v="60"/>
    <n v="15"/>
    <n v="15"/>
    <n v="2.14"/>
    <n v="1.35E-2"/>
    <x v="412"/>
    <n v="40"/>
    <x v="543"/>
    <n v="15"/>
    <n v="2.6666666666666665"/>
    <n v="20"/>
    <n v="22.666666666666668"/>
    <n v="7.4017053529133117"/>
    <n v="14653.318184509722"/>
    <s v="C"/>
  </r>
  <r>
    <x v="4"/>
    <s v="JARDIM"/>
    <s v="LAMINA"/>
    <s v="STANDART"/>
    <s v="CAIXA"/>
    <n v="250"/>
    <x v="196"/>
    <n v="5"/>
    <n v="15"/>
    <n v="15"/>
    <n v="1"/>
    <n v="1.1249999999999999E-3"/>
    <x v="401"/>
    <n v="40"/>
    <x v="543"/>
    <n v="15"/>
    <n v="2.6666666666666665"/>
    <n v="20"/>
    <n v="22.666666666666668"/>
    <n v="7.4017053529133117"/>
    <n v="14660.719889862636"/>
    <s v="C"/>
  </r>
  <r>
    <x v="4"/>
    <s v="CONSTRUÇÃO"/>
    <s v="FURADEIRA"/>
    <s v="M14"/>
    <s v="CAIXA"/>
    <n v="271.89999999999998"/>
    <x v="176"/>
    <n v="26"/>
    <n v="40"/>
    <n v="21"/>
    <n v="1.6"/>
    <n v="2.1839999999999998E-2"/>
    <x v="413"/>
    <n v="35"/>
    <x v="544"/>
    <n v="22"/>
    <n v="1.5909090909090908"/>
    <n v="25.666666666666668"/>
    <n v="27.257575757575758"/>
    <n v="7.0438328990999528"/>
    <n v="14667.763722761736"/>
    <s v="C"/>
  </r>
  <r>
    <x v="4"/>
    <s v="CONSTRUÇÃO"/>
    <s v="CARRINHO DE MÃO"/>
    <s v="M32"/>
    <s v="PEÇA"/>
    <n v="117.9"/>
    <x v="178"/>
    <n v="78"/>
    <n v="100"/>
    <n v="70"/>
    <n v="10"/>
    <n v="0.54600000000000004"/>
    <x v="414"/>
    <n v="80"/>
    <x v="545"/>
    <n v="22"/>
    <n v="3.6363636363636362"/>
    <n v="58.666666666666664"/>
    <n v="62.303030303030297"/>
    <n v="6.9812884888678353"/>
    <n v="14674.745011250603"/>
    <s v="C"/>
  </r>
  <r>
    <x v="4"/>
    <s v="CONSTRUÇÃO"/>
    <s v="FURADEIRA"/>
    <s v="M96"/>
    <s v="CAIXA"/>
    <n v="168.9"/>
    <x v="159"/>
    <n v="27"/>
    <n v="26"/>
    <n v="8"/>
    <n v="2.5"/>
    <n v="5.6160000000000003E-3"/>
    <x v="415"/>
    <n v="50"/>
    <x v="546"/>
    <n v="22"/>
    <n v="2.2727272727272729"/>
    <n v="36.666666666666671"/>
    <n v="38.939393939393945"/>
    <n v="6.2507401705352912"/>
    <n v="14680.995751421138"/>
    <s v="C"/>
  </r>
  <r>
    <x v="4"/>
    <s v="CONSTRUÇÃO"/>
    <s v="ESMERILHADEIRA"/>
    <s v="60138800"/>
    <s v="CAIXA"/>
    <n v="229"/>
    <x v="176"/>
    <n v="13"/>
    <n v="27"/>
    <n v="9"/>
    <n v="1.5"/>
    <n v="3.1589999999999999E-3"/>
    <x v="416"/>
    <n v="35"/>
    <x v="547"/>
    <n v="22"/>
    <n v="1.5909090909090908"/>
    <n v="25.666666666666668"/>
    <n v="27.257575757575758"/>
    <n v="5.9324668403600187"/>
    <n v="14686.928218261499"/>
    <s v="C"/>
  </r>
  <r>
    <x v="4"/>
    <s v="JARDIM"/>
    <s v="CORTADOR DE GRAMA"/>
    <s v="GR3000 "/>
    <s v="UNIDADE"/>
    <n v="200"/>
    <x v="195"/>
    <n v="60"/>
    <n v="30"/>
    <n v="20"/>
    <n v="13"/>
    <n v="3.5999999999999997E-2"/>
    <x v="417"/>
    <n v="40"/>
    <x v="548"/>
    <n v="15"/>
    <n v="2.6666666666666665"/>
    <n v="20"/>
    <n v="22.666666666666668"/>
    <n v="5.9213642823306492"/>
    <n v="14692.849582543829"/>
    <s v="C"/>
  </r>
  <r>
    <x v="4"/>
    <s v="CONSTRUÇÃO"/>
    <s v="POLITRIZ"/>
    <s v="BT-OS280"/>
    <s v="CAIXA CORRUGADA"/>
    <n v="151.91"/>
    <x v="157"/>
    <n v="30"/>
    <n v="45"/>
    <n v="20"/>
    <n v="6"/>
    <n v="2.7E-2"/>
    <x v="86"/>
    <n v="50"/>
    <x v="549"/>
    <n v="22"/>
    <n v="2.2727272727272729"/>
    <n v="36.666666666666671"/>
    <n v="38.939393939393945"/>
    <n v="5.6219653008053054"/>
    <n v="14698.471547844634"/>
    <s v="C"/>
  </r>
  <r>
    <x v="4"/>
    <s v="CONSTRUÇÃO"/>
    <s v="POLITRIZ"/>
    <s v="RT-OS13"/>
    <s v="CAIXA CORRUGADA"/>
    <n v="137.91"/>
    <x v="157"/>
    <n v="30"/>
    <n v="45"/>
    <n v="20"/>
    <n v="6"/>
    <n v="2.7E-2"/>
    <x v="86"/>
    <n v="50"/>
    <x v="550"/>
    <n v="22"/>
    <n v="2.2727272727272729"/>
    <n v="36.666666666666671"/>
    <n v="38.939393939393945"/>
    <n v="5.103845926101374"/>
    <n v="14703.575393770736"/>
    <s v="C"/>
  </r>
  <r>
    <x v="4"/>
    <s v="CONSTRUÇÃO"/>
    <s v="CARRINHO DE MÃO"/>
    <s v="M44"/>
    <s v="PEÇA"/>
    <n v="85.4"/>
    <x v="194"/>
    <n v="143"/>
    <n v="63"/>
    <n v="63"/>
    <n v="9"/>
    <n v="0.56756700000000004"/>
    <x v="418"/>
    <n v="80"/>
    <x v="551"/>
    <n v="22"/>
    <n v="3.6363636363636362"/>
    <n v="58.666666666666664"/>
    <n v="62.303030303030297"/>
    <n v="5.056845097110374"/>
    <n v="14708.632238867845"/>
    <s v="C"/>
  </r>
  <r>
    <x v="4"/>
    <s v="CONSTRUÇÃO"/>
    <s v="FURADEIRA"/>
    <s v="M17"/>
    <s v="CAIXA"/>
    <n v="174.9"/>
    <x v="179"/>
    <n v="25"/>
    <n v="30"/>
    <n v="8"/>
    <n v="2.5"/>
    <n v="6.0000000000000001E-3"/>
    <x v="419"/>
    <n v="35"/>
    <x v="552"/>
    <n v="22"/>
    <n v="1.5909090909090908"/>
    <n v="25.666666666666668"/>
    <n v="27.257575757575758"/>
    <n v="4.5309539317858833"/>
    <n v="14713.163192799631"/>
    <s v="C"/>
  </r>
  <r>
    <x v="4"/>
    <s v="JARDIM"/>
    <s v="APARADOR DE GRAMA"/>
    <s v="SUPER TURBO 1000"/>
    <s v="UNIDADE"/>
    <n v="150"/>
    <x v="195"/>
    <n v="55"/>
    <n v="15"/>
    <n v="15"/>
    <n v="1.67"/>
    <n v="1.2375000000000001E-2"/>
    <x v="420"/>
    <n v="40"/>
    <x v="553"/>
    <n v="15"/>
    <n v="2.6666666666666665"/>
    <n v="20"/>
    <n v="22.666666666666668"/>
    <n v="4.4410232117479866"/>
    <n v="14717.604216011379"/>
    <s v="C"/>
  </r>
  <r>
    <x v="4"/>
    <s v="MOTO SERRAS"/>
    <s v="ELETROSSERRA GK 1740"/>
    <s v="REF: 246014"/>
    <s v="UNIDADE"/>
    <n v="483.9"/>
    <x v="172"/>
    <n v="22.5"/>
    <n v="50"/>
    <n v="32"/>
    <n v="36"/>
    <n v="3.5999999999999997E-2"/>
    <x v="421"/>
    <n v="12"/>
    <x v="554"/>
    <n v="40"/>
    <n v="0.3"/>
    <n v="16"/>
    <n v="16.3"/>
    <n v="4.2980222643297008"/>
    <n v="14721.902238275708"/>
    <s v="C"/>
  </r>
  <r>
    <x v="4"/>
    <s v="JARDIM"/>
    <s v="CORTADOR DE GRAMA"/>
    <s v="BG-EM 1643 "/>
    <s v="UNIDADE"/>
    <n v="139"/>
    <x v="177"/>
    <n v="65"/>
    <n v="40"/>
    <n v="20"/>
    <n v="10"/>
    <n v="5.1999999999999998E-2"/>
    <x v="422"/>
    <n v="40"/>
    <x v="555"/>
    <n v="15"/>
    <n v="2.6666666666666665"/>
    <n v="20"/>
    <n v="22.666666666666668"/>
    <n v="4.1153481762198014"/>
    <n v="14726.017586451928"/>
    <s v="C"/>
  </r>
  <r>
    <x v="4"/>
    <s v="CONSTRUÇÃO"/>
    <s v="DISCO"/>
    <s v="QPO96"/>
    <s v="CAIXA"/>
    <n v="137.9"/>
    <x v="176"/>
    <n v="10"/>
    <n v="20"/>
    <n v="20"/>
    <n v="0.09"/>
    <n v="4.0000000000000001E-3"/>
    <x v="423"/>
    <n v="40"/>
    <x v="556"/>
    <n v="22"/>
    <n v="1.8181818181818181"/>
    <n v="29.333333333333332"/>
    <n v="31.151515151515149"/>
    <n v="4.0827806726669822"/>
    <n v="14730.100367124594"/>
    <s v="C"/>
  </r>
  <r>
    <x v="4"/>
    <s v="JARDIM"/>
    <s v="CORTADOR DE GRAMA"/>
    <s v="MC-40L "/>
    <s v="UNIDADE"/>
    <n v="100"/>
    <x v="178"/>
    <n v="70"/>
    <n v="30"/>
    <n v="20"/>
    <n v="11"/>
    <n v="4.2000000000000003E-2"/>
    <x v="424"/>
    <n v="55"/>
    <x v="557"/>
    <n v="15"/>
    <n v="3.6666666666666665"/>
    <n v="27.5"/>
    <n v="31.166666666666668"/>
    <n v="4.0709379441023215"/>
    <n v="14734.171305068698"/>
    <s v="C"/>
  </r>
  <r>
    <x v="4"/>
    <s v="JARDIM"/>
    <s v="SOPRADOR"/>
    <s v="BV2500"/>
    <s v="UNIDADE"/>
    <n v="124"/>
    <x v="177"/>
    <n v="10"/>
    <n v="40"/>
    <n v="25"/>
    <n v="2.5"/>
    <n v="0.01"/>
    <x v="425"/>
    <n v="40"/>
    <x v="558"/>
    <n v="15"/>
    <n v="2.6666666666666665"/>
    <n v="20"/>
    <n v="22.666666666666668"/>
    <n v="3.6712458550450027"/>
    <n v="14737.842550923742"/>
    <s v="C"/>
  </r>
  <r>
    <x v="4"/>
    <s v="CONSTRUÇÃO"/>
    <s v="PARAFUSADEIRA"/>
    <s v="3,6VPOWER"/>
    <s v="PÇ/MALETA"/>
    <n v="99"/>
    <x v="171"/>
    <n v="40"/>
    <n v="30"/>
    <n v="10"/>
    <n v="5"/>
    <n v="1.2E-2"/>
    <x v="388"/>
    <n v="50"/>
    <x v="559"/>
    <n v="22"/>
    <n v="2.2727272727272729"/>
    <n v="36.666666666666671"/>
    <n v="38.939393939393945"/>
    <n v="3.663844149692089"/>
    <n v="14741.506395073435"/>
    <s v="C"/>
  </r>
  <r>
    <x v="4"/>
    <s v="MOTO SERRAS"/>
    <s v="MOTOSSERRA 2 TEMPOS"/>
    <s v="REF: 92700"/>
    <s v="UNIDADE"/>
    <n v="399.9"/>
    <x v="163"/>
    <n v="29"/>
    <n v="46"/>
    <n v="27"/>
    <n v="36"/>
    <n v="3.6018000000000001E-2"/>
    <x v="426"/>
    <n v="12"/>
    <x v="560"/>
    <n v="40"/>
    <n v="0.3"/>
    <n v="16"/>
    <n v="16.3"/>
    <n v="3.5519303647560392"/>
    <n v="14745.058325438191"/>
    <s v="C"/>
  </r>
  <r>
    <x v="4"/>
    <s v="CONSTRUÇÃO"/>
    <s v="ESMERILHADEIRA"/>
    <s v="F0129002JA000"/>
    <s v="CAIXA"/>
    <n v="132.22"/>
    <x v="175"/>
    <n v="14"/>
    <n v="33"/>
    <n v="8"/>
    <n v="1.5"/>
    <n v="3.6960000000000001E-3"/>
    <x v="427"/>
    <n v="35"/>
    <x v="561"/>
    <n v="22"/>
    <n v="1.5909090909090908"/>
    <n v="25.666666666666668"/>
    <n v="27.257575757575758"/>
    <n v="3.4252871861676928"/>
    <n v="14748.483612624359"/>
    <s v="C"/>
  </r>
  <r>
    <x v="4"/>
    <s v="JARDIM"/>
    <s v="SOPRADOR"/>
    <s v="UB1101"/>
    <s v="UNIDADE"/>
    <n v="100"/>
    <x v="173"/>
    <n v="10"/>
    <n v="40"/>
    <n v="25"/>
    <n v="1.9"/>
    <n v="0.01"/>
    <x v="425"/>
    <n v="40"/>
    <x v="562"/>
    <n v="15"/>
    <n v="2.6666666666666665"/>
    <n v="20"/>
    <n v="22.666666666666668"/>
    <n v="2.9606821411653246"/>
    <n v="14751.444294765524"/>
    <s v="C"/>
  </r>
  <r>
    <x v="4"/>
    <s v="CONSTRUÇÃO"/>
    <s v="PLAINA"/>
    <s v="12-210"/>
    <s v="CAIXA CORRUGADA"/>
    <n v="79.989999999999995"/>
    <x v="197"/>
    <n v="25"/>
    <n v="40"/>
    <n v="30"/>
    <n v="5"/>
    <n v="0.03"/>
    <x v="101"/>
    <n v="50"/>
    <x v="563"/>
    <n v="22"/>
    <n v="2.2727272727272729"/>
    <n v="36.666666666666671"/>
    <n v="38.939393939393945"/>
    <n v="2.9603120558976785"/>
    <n v="14754.404606821421"/>
    <s v="C"/>
  </r>
  <r>
    <x v="4"/>
    <s v="JARDIM"/>
    <s v="FIO DE NYLON"/>
    <s v="10 MM"/>
    <s v="CAIXA"/>
    <n v="90"/>
    <x v="198"/>
    <n v="35"/>
    <n v="40"/>
    <n v="35"/>
    <n v="2"/>
    <n v="4.9000000000000002E-2"/>
    <x v="428"/>
    <n v="40"/>
    <x v="564"/>
    <n v="15"/>
    <n v="2.6666666666666665"/>
    <n v="20"/>
    <n v="22.666666666666668"/>
    <n v="2.6646139270487921"/>
    <n v="14757.06922074847"/>
    <s v="C"/>
  </r>
  <r>
    <x v="4"/>
    <s v="JARDIM"/>
    <s v="SOPRADOR"/>
    <s v="BR 600"/>
    <s v="UNIDADE"/>
    <n v="89"/>
    <x v="169"/>
    <n v="10"/>
    <n v="40"/>
    <n v="25"/>
    <n v="2"/>
    <n v="0.01"/>
    <x v="425"/>
    <n v="40"/>
    <x v="565"/>
    <n v="15"/>
    <n v="2.6666666666666665"/>
    <n v="20"/>
    <n v="22.666666666666668"/>
    <n v="2.6350071056371389"/>
    <n v="14759.704227854107"/>
    <s v="C"/>
  </r>
  <r>
    <x v="4"/>
    <s v="JARDIM"/>
    <s v="FIO DE NYLON"/>
    <s v="8 MM"/>
    <s v="CAIXA"/>
    <n v="85"/>
    <x v="198"/>
    <n v="35"/>
    <n v="40"/>
    <n v="35"/>
    <n v="2"/>
    <n v="4.9000000000000002E-2"/>
    <x v="428"/>
    <n v="40"/>
    <x v="566"/>
    <n v="15"/>
    <n v="2.6666666666666665"/>
    <n v="20"/>
    <n v="22.666666666666668"/>
    <n v="2.5165798199905258"/>
    <n v="14762.220807674097"/>
    <s v="C"/>
  </r>
  <r>
    <x v="4"/>
    <s v="CONSTRUÇÃO"/>
    <s v="COMPRESSORES DE AR"/>
    <s v="MCA-12"/>
    <s v="PEÇA"/>
    <n v="83.4"/>
    <x v="187"/>
    <n v="15"/>
    <n v="17.3"/>
    <n v="8.5"/>
    <n v="1"/>
    <n v="2.2057499999999998E-3"/>
    <x v="429"/>
    <n v="40"/>
    <x v="567"/>
    <n v="22"/>
    <n v="1.8181818181818181"/>
    <n v="29.333333333333332"/>
    <n v="31.151515151515149"/>
    <n v="2.4692089057318807"/>
    <n v="14764.690016579829"/>
    <s v="C"/>
  </r>
  <r>
    <x v="4"/>
    <s v="CONSTRUÇÃO"/>
    <s v="FURADEIRA"/>
    <s v="M52"/>
    <s v="CAIXA"/>
    <n v="69.900000000000006"/>
    <x v="179"/>
    <n v="23"/>
    <n v="7"/>
    <n v="26"/>
    <n v="1.5"/>
    <n v="4.1859999999999996E-3"/>
    <x v="430"/>
    <n v="35"/>
    <x v="568"/>
    <n v="22"/>
    <n v="1.5909090909090908"/>
    <n v="25.666666666666668"/>
    <n v="27.257575757575758"/>
    <n v="1.8108272145902415"/>
    <n v="14766.50084379442"/>
    <s v="C"/>
  </r>
  <r>
    <x v="4"/>
    <s v="CONSTRUÇÃO"/>
    <s v="DISCO"/>
    <s v="DS40"/>
    <s v="CAIXA"/>
    <n v="52.4"/>
    <x v="176"/>
    <n v="10"/>
    <n v="20"/>
    <n v="20"/>
    <n v="0.15"/>
    <n v="4.0000000000000001E-3"/>
    <x v="423"/>
    <n v="40"/>
    <x v="569"/>
    <n v="22"/>
    <n v="1.8181818181818181"/>
    <n v="29.333333333333332"/>
    <n v="31.151515151515149"/>
    <n v="1.55139744197063"/>
    <n v="14768.05224123639"/>
    <s v="C"/>
  </r>
  <r>
    <x v="4"/>
    <s v="JARDIM"/>
    <s v="FIO DE NYLON"/>
    <s v="4MM"/>
    <s v="CAIXA"/>
    <n v="50"/>
    <x v="198"/>
    <n v="35"/>
    <n v="40"/>
    <n v="35"/>
    <n v="2"/>
    <n v="4.9000000000000002E-2"/>
    <x v="428"/>
    <n v="40"/>
    <x v="570"/>
    <n v="15"/>
    <n v="2.6666666666666665"/>
    <n v="20"/>
    <n v="22.666666666666668"/>
    <n v="1.4803410705826623"/>
    <n v="14769.532582306972"/>
    <s v="C"/>
  </r>
  <r>
    <x v="4"/>
    <s v="JARDIM"/>
    <s v="FIO DE NYLON"/>
    <s v="3 MM"/>
    <s v="CAIXA"/>
    <n v="40"/>
    <x v="198"/>
    <n v="35"/>
    <n v="40"/>
    <n v="35"/>
    <n v="2"/>
    <n v="4.9000000000000002E-2"/>
    <x v="428"/>
    <n v="40"/>
    <x v="571"/>
    <n v="15"/>
    <n v="2.6666666666666665"/>
    <n v="20"/>
    <n v="22.666666666666668"/>
    <n v="1.1842728564661298"/>
    <n v="14770.716855163439"/>
    <s v="C"/>
  </r>
  <r>
    <x v="4"/>
    <s v="CONSTRUÇÃO"/>
    <s v="DISCO"/>
    <s v="CVX35"/>
    <s v="CAIXA"/>
    <n v="33.4"/>
    <x v="176"/>
    <n v="10"/>
    <n v="20"/>
    <n v="20"/>
    <n v="0.12"/>
    <n v="4.0000000000000001E-3"/>
    <x v="423"/>
    <n v="40"/>
    <x v="572"/>
    <n v="22"/>
    <n v="1.8181818181818181"/>
    <n v="29.333333333333332"/>
    <n v="31.151515151515149"/>
    <n v="0.98886783514921839"/>
    <n v="14771.705722998588"/>
    <s v="C"/>
  </r>
  <r>
    <x v="4"/>
    <s v="MOTO SERRAS"/>
    <s v="CORRENTE PARA MOTOSSERRA"/>
    <s v="REF: 071403"/>
    <s v="CAIXA"/>
    <n v="85.9"/>
    <x v="199"/>
    <n v="15"/>
    <n v="50"/>
    <n v="20"/>
    <n v="15"/>
    <n v="1.4999999999999999E-2"/>
    <x v="431"/>
    <n v="12"/>
    <x v="573"/>
    <n v="40"/>
    <n v="0.3"/>
    <n v="16"/>
    <n v="16.3"/>
    <n v="0.76296778777830432"/>
    <n v="14772.468690786365"/>
    <s v="C"/>
  </r>
  <r>
    <x v="4"/>
    <s v="CONSTRUÇÃO"/>
    <s v="DISCO"/>
    <s v="LAD18"/>
    <s v="CAIXA"/>
    <n v="18.68"/>
    <x v="200"/>
    <n v="10"/>
    <n v="20"/>
    <n v="20"/>
    <n v="0.1"/>
    <n v="4.0000000000000001E-3"/>
    <x v="423"/>
    <n v="40"/>
    <x v="574"/>
    <n v="22"/>
    <n v="1.8181818181818181"/>
    <n v="29.333333333333332"/>
    <n v="31.151515151515149"/>
    <n v="0.55305542396968266"/>
    <n v="14773.021746210336"/>
    <s v="C"/>
  </r>
  <r>
    <x v="4"/>
    <s v="MOTO SERRAS"/>
    <s v="CORRENTE PARA SINALIZAÇÃO"/>
    <s v="REF: 080350"/>
    <s v="CAIXA"/>
    <n v="56.6"/>
    <x v="201"/>
    <n v="0.8"/>
    <n v="1000"/>
    <n v="3"/>
    <n v="24"/>
    <n v="2.3999999999999998E-3"/>
    <x v="432"/>
    <n v="12"/>
    <x v="575"/>
    <n v="40"/>
    <n v="0.3"/>
    <n v="16"/>
    <n v="16.3"/>
    <n v="0.50272382756987211"/>
    <n v="14773.524470037906"/>
    <s v="C"/>
  </r>
  <r>
    <x v="4"/>
    <s v="MOTO SERRAS"/>
    <s v="SABRE  PONTA ROLANTE PARA MOTOSSERRA HUSQVARNA"/>
    <s v="REF: 18B58"/>
    <s v="CAIXA"/>
    <n v="54.9"/>
    <x v="152"/>
    <n v="5"/>
    <n v="50"/>
    <n v="15"/>
    <n v="3.75"/>
    <n v="3.7499999999999999E-3"/>
    <x v="401"/>
    <n v="12"/>
    <x v="576"/>
    <n v="40"/>
    <n v="0.3"/>
    <n v="16"/>
    <n v="16.3"/>
    <n v="0.48762434864992893"/>
    <n v="14774.012094386557"/>
    <s v="C"/>
  </r>
  <r>
    <x v="4"/>
    <s v="CONSTRUÇÃO"/>
    <s v="DISCO"/>
    <s v="QOP32"/>
    <s v="CAIXA"/>
    <n v="16.399999999999999"/>
    <x v="202"/>
    <n v="30"/>
    <n v="24"/>
    <n v="40"/>
    <n v="0.02"/>
    <n v="2.8799999999999999E-2"/>
    <x v="433"/>
    <n v="40"/>
    <x v="577"/>
    <n v="22"/>
    <n v="1.8181818181818181"/>
    <n v="29.333333333333332"/>
    <n v="31.151515151515149"/>
    <n v="0.48555187115111326"/>
    <n v="14774.497646257709"/>
    <s v="C"/>
  </r>
  <r>
    <x v="4"/>
    <s v="CONSTRUÇÃO"/>
    <s v="DISCO"/>
    <s v="USA17"/>
    <s v="CAIXA"/>
    <n v="11.4"/>
    <x v="202"/>
    <n v="10"/>
    <n v="20"/>
    <n v="20"/>
    <n v="0.11"/>
    <n v="4.0000000000000001E-3"/>
    <x v="423"/>
    <n v="40"/>
    <x v="578"/>
    <n v="22"/>
    <n v="1.8181818181818181"/>
    <n v="29.333333333333332"/>
    <n v="31.151515151515149"/>
    <n v="0.33751776409284701"/>
    <n v="14774.835164021802"/>
    <s v="C"/>
  </r>
  <r>
    <x v="4"/>
    <s v="MOTO SERRAS"/>
    <s v="ÓLEO PARA MOTOR "/>
    <s v="REF: 2TSUPER"/>
    <s v="CAIXA"/>
    <n v="11.25"/>
    <x v="203"/>
    <n v="3"/>
    <n v="15"/>
    <n v="8"/>
    <n v="360"/>
    <n v="3.6000000000000002E-4"/>
    <x v="434"/>
    <n v="12"/>
    <x v="579"/>
    <n v="40"/>
    <n v="0.3"/>
    <n v="16"/>
    <n v="16.3"/>
    <n v="9.9923022264329711E-2"/>
    <n v="14774.935087044067"/>
    <s v="C"/>
  </r>
  <r>
    <x v="4"/>
    <s v="MOTO SERRAS"/>
    <s v="ÓLEO PARA MÁQUINA"/>
    <s v="REF: 13705"/>
    <s v="CAIXA"/>
    <n v="3.1"/>
    <x v="204"/>
    <n v="2"/>
    <n v="10"/>
    <n v="5"/>
    <n v="100"/>
    <n v="1E-4"/>
    <x v="435"/>
    <n v="12"/>
    <x v="580"/>
    <n v="40"/>
    <n v="0.3"/>
    <n v="16"/>
    <n v="16.3"/>
    <n v="2.753434391283752E-2"/>
    <n v="14774.96262138798"/>
    <s v="C"/>
  </r>
  <r>
    <x v="5"/>
    <s v="MATERIAL ELÉTRICO"/>
    <s v="FIO DE COBRE"/>
    <s v="B-02"/>
    <s v="ROLO"/>
    <n v="3000"/>
    <x v="205"/>
    <n v="60"/>
    <n v="500"/>
    <n v="0.55000000000000004"/>
    <n v="1.6500000000000001E-2"/>
    <n v="1.6500000000000001E-2"/>
    <x v="436"/>
    <n v="95"/>
    <x v="461"/>
    <n v="20"/>
    <n v="4.75"/>
    <n v="63.333333333333329"/>
    <n v="68.083333333333329"/>
    <n v="210.94860255802936"/>
    <n v="210.94860255802936"/>
    <s v="A"/>
  </r>
  <r>
    <x v="5"/>
    <s v="PARA MADEIRA"/>
    <s v="FECHADURA P/ PORTA"/>
    <s v="1501 06 - EZL"/>
    <s v="CAIXA"/>
    <n v="2000"/>
    <x v="206"/>
    <n v="25"/>
    <n v="45"/>
    <n v="30"/>
    <n v="2.7"/>
    <n v="3.3750000000000002E-2"/>
    <x v="437"/>
    <n v="110"/>
    <x v="581"/>
    <n v="25"/>
    <n v="4.4000000000000004"/>
    <n v="91.666666666666657"/>
    <n v="96.066666666666663"/>
    <n v="162.83751776409287"/>
    <n v="373.7861203221222"/>
    <s v="A"/>
  </r>
  <r>
    <x v="5"/>
    <s v="PARA MADEIRA"/>
    <s v="FECHADURA P/ PORTA"/>
    <s v="MA141"/>
    <s v="CAIXA"/>
    <n v="2000"/>
    <x v="207"/>
    <n v="25"/>
    <n v="45"/>
    <n v="30"/>
    <n v="2.6"/>
    <n v="3.3750000000000002E-2"/>
    <x v="437"/>
    <n v="110"/>
    <x v="581"/>
    <n v="25"/>
    <n v="4.4000000000000004"/>
    <n v="91.666666666666657"/>
    <n v="96.066666666666663"/>
    <n v="162.83751776409287"/>
    <n v="536.62363808621512"/>
    <s v="A"/>
  </r>
  <r>
    <x v="5"/>
    <s v="PARA MADEIRA"/>
    <s v="DOBRADIÇA"/>
    <s v="CAMARRÃO 24"/>
    <s v="CAIXA"/>
    <n v="1900"/>
    <x v="208"/>
    <n v="20"/>
    <n v="30"/>
    <n v="30"/>
    <n v="2"/>
    <n v="1.7999999999999999E-2"/>
    <x v="438"/>
    <n v="110"/>
    <x v="582"/>
    <n v="25"/>
    <n v="4.4000000000000004"/>
    <n v="91.666666666666657"/>
    <n v="96.066666666666663"/>
    <n v="154.69564187588821"/>
    <n v="691.31927996210334"/>
    <s v="A"/>
  </r>
  <r>
    <x v="5"/>
    <s v="MATERIAL HIDRÁULICO"/>
    <s v="TORNEIRA BICA ALTA CLASSICA "/>
    <s v="ROSQUEAVEL"/>
    <s v="CAIXA"/>
    <n v="35000"/>
    <x v="41"/>
    <n v="170"/>
    <n v="50"/>
    <n v="170"/>
    <n v="83"/>
    <n v="1.4450000000000001"/>
    <x v="439"/>
    <n v="5"/>
    <x v="583"/>
    <n v="20"/>
    <n v="0.25"/>
    <n v="3.333333333333333"/>
    <n v="3.583333333333333"/>
    <n v="129.52984367598296"/>
    <n v="820.84912363808633"/>
    <s v="A"/>
  </r>
  <r>
    <x v="5"/>
    <s v="MATERIAL ELÉTRICO"/>
    <s v="FIO DE COBRE FLEXIVEL"/>
    <s v="B-02"/>
    <s v="ROLO"/>
    <n v="4800"/>
    <x v="205"/>
    <n v="8"/>
    <n v="1000"/>
    <n v="0.8"/>
    <n v="6.4000000000000003E-3"/>
    <n v="6.4000000000000003E-3"/>
    <x v="440"/>
    <n v="36"/>
    <x v="584"/>
    <n v="20"/>
    <n v="1.8"/>
    <n v="24"/>
    <n v="25.8"/>
    <n v="127.90146849834203"/>
    <n v="948.75059213642839"/>
    <s v="A"/>
  </r>
  <r>
    <x v="5"/>
    <s v="PARA MADEIRA"/>
    <s v="FECHADURA P/ PORTA"/>
    <s v="1501 03 - EZL"/>
    <s v="CAIXA"/>
    <n v="1500"/>
    <x v="209"/>
    <n v="25"/>
    <n v="45"/>
    <n v="30"/>
    <n v="2.8"/>
    <n v="3.3750000000000002E-2"/>
    <x v="437"/>
    <n v="110"/>
    <x v="585"/>
    <n v="25"/>
    <n v="4.4000000000000004"/>
    <n v="91.666666666666657"/>
    <n v="96.066666666666663"/>
    <n v="122.12813832306963"/>
    <n v="1070.878730459498"/>
    <s v="A"/>
  </r>
  <r>
    <x v="5"/>
    <s v="PARA MADEIRA"/>
    <s v="FECHADURA P/ PORTA"/>
    <s v="BLMA510 -ZCE AROUCA"/>
    <s v="CAIXA"/>
    <n v="1500"/>
    <x v="210"/>
    <n v="25"/>
    <n v="45"/>
    <n v="30"/>
    <n v="2.5"/>
    <n v="3.3750000000000002E-2"/>
    <x v="437"/>
    <n v="110"/>
    <x v="585"/>
    <n v="25"/>
    <n v="4.4000000000000004"/>
    <n v="91.666666666666657"/>
    <n v="96.066666666666663"/>
    <n v="122.12813832306963"/>
    <n v="1193.0068687825676"/>
    <s v="A"/>
  </r>
  <r>
    <x v="5"/>
    <s v="PARA MADEIRA"/>
    <s v="DOBRADIÇA"/>
    <s v="AÇO ANEL"/>
    <s v="CAIXA"/>
    <n v="1500"/>
    <x v="208"/>
    <n v="20"/>
    <n v="30"/>
    <n v="30"/>
    <n v="2"/>
    <n v="1.7999999999999999E-2"/>
    <x v="438"/>
    <n v="110"/>
    <x v="585"/>
    <n v="25"/>
    <n v="4.4000000000000004"/>
    <n v="91.666666666666657"/>
    <n v="96.066666666666663"/>
    <n v="122.12813832306963"/>
    <n v="1315.1350071056372"/>
    <s v="A"/>
  </r>
  <r>
    <x v="5"/>
    <s v="PARA MADEIRA"/>
    <s v="DOBRADIÇA"/>
    <s v="INVISIVEL 86291/1"/>
    <s v="CAIXA"/>
    <n v="1500"/>
    <x v="192"/>
    <n v="20"/>
    <n v="30"/>
    <n v="30"/>
    <n v="1.5"/>
    <n v="1.7999999999999999E-2"/>
    <x v="438"/>
    <n v="110"/>
    <x v="585"/>
    <n v="25"/>
    <n v="4.4000000000000004"/>
    <n v="91.666666666666657"/>
    <n v="96.066666666666663"/>
    <n v="122.12813832306963"/>
    <n v="1437.2631454287068"/>
    <s v="A"/>
  </r>
  <r>
    <x v="5"/>
    <s v="MATERIAL ELÉTRICO"/>
    <s v="FIO DE COBRE"/>
    <s v="B-01"/>
    <s v="ROLO"/>
    <n v="1350"/>
    <x v="205"/>
    <n v="40"/>
    <n v="1000"/>
    <n v="0.55000000000000004"/>
    <n v="2.1999999999999999E-2"/>
    <n v="2.1999999999999999E-2"/>
    <x v="441"/>
    <n v="95"/>
    <x v="586"/>
    <n v="20"/>
    <n v="4.75"/>
    <n v="63.333333333333329"/>
    <n v="68.083333333333329"/>
    <n v="94.926871151113218"/>
    <n v="1532.1900165798199"/>
    <s v="A"/>
  </r>
  <r>
    <x v="5"/>
    <s v="MATERIAL HIDRÁULICO"/>
    <s v="TORNEIRA ALTA CROMADA LINK"/>
    <s v="ROSQUEAVEL"/>
    <s v="CAIXA"/>
    <n v="24000"/>
    <x v="41"/>
    <n v="150"/>
    <n v="45"/>
    <n v="150"/>
    <n v="70"/>
    <n v="1.0125"/>
    <x v="68"/>
    <n v="5"/>
    <x v="587"/>
    <n v="20"/>
    <n v="0.25"/>
    <n v="3.333333333333333"/>
    <n v="3.583333333333333"/>
    <n v="88.820464234959744"/>
    <n v="1621.0104808147796"/>
    <s v="A"/>
  </r>
  <r>
    <x v="5"/>
    <s v="MATERIAL HIDRÁULICO"/>
    <s v="TORNEIRA MESA PRATA LINK"/>
    <s v="LNQ"/>
    <s v="CAIXA"/>
    <n v="23600"/>
    <x v="41"/>
    <n v="110"/>
    <n v="60"/>
    <n v="120"/>
    <n v="82"/>
    <n v="0.79200000000000004"/>
    <x v="442"/>
    <n v="5"/>
    <x v="588"/>
    <n v="20"/>
    <n v="0.25"/>
    <n v="3.333333333333333"/>
    <n v="3.583333333333333"/>
    <n v="87.340123164377076"/>
    <n v="1708.3506039791566"/>
    <s v="A"/>
  </r>
  <r>
    <x v="5"/>
    <s v="MATERIAL ELÉTRICO"/>
    <s v="FIO DE COBRE"/>
    <s v="B-03"/>
    <s v="ROLO"/>
    <n v="1500"/>
    <x v="205"/>
    <n v="55"/>
    <n v="420"/>
    <n v="0.5"/>
    <n v="1.155E-2"/>
    <n v="1.155E-2"/>
    <x v="443"/>
    <n v="75"/>
    <x v="589"/>
    <n v="20"/>
    <n v="3.75"/>
    <n v="50"/>
    <n v="53.75"/>
    <n v="83.26918522027475"/>
    <n v="1791.6197891994314"/>
    <s v="A"/>
  </r>
  <r>
    <x v="5"/>
    <s v="PARA MADEIRA"/>
    <s v="DOBRADIÇA"/>
    <s v="CROMO 48"/>
    <s v="CAIXA"/>
    <n v="1000"/>
    <x v="211"/>
    <n v="20"/>
    <n v="30"/>
    <n v="30"/>
    <n v="2"/>
    <n v="1.7999999999999999E-2"/>
    <x v="438"/>
    <n v="110"/>
    <x v="590"/>
    <n v="25"/>
    <n v="4.4000000000000004"/>
    <n v="91.666666666666657"/>
    <n v="96.066666666666663"/>
    <n v="81.418758882046433"/>
    <n v="1873.0385480814778"/>
    <s v="A"/>
  </r>
  <r>
    <x v="5"/>
    <s v="PARA MADEIRA"/>
    <s v="DOBRADIÇA"/>
    <s v="SM-3025"/>
    <s v="CAIXA"/>
    <n v="950"/>
    <x v="211"/>
    <n v="20"/>
    <n v="30"/>
    <n v="30"/>
    <n v="2"/>
    <n v="1.7999999999999999E-2"/>
    <x v="438"/>
    <n v="110"/>
    <x v="591"/>
    <n v="25"/>
    <n v="4.4000000000000004"/>
    <n v="91.666666666666657"/>
    <n v="96.066666666666663"/>
    <n v="77.347820937944107"/>
    <n v="1950.3863690194219"/>
    <s v="A"/>
  </r>
  <r>
    <x v="5"/>
    <s v="MATERIAL ELÉTRICO"/>
    <s v="CAIXA LUZ  8 MEDIDORES"/>
    <s v="D-02"/>
    <s v="UNIDADE"/>
    <n v="2320"/>
    <x v="212"/>
    <n v="130"/>
    <n v="165"/>
    <n v="50"/>
    <n v="1.0725"/>
    <n v="1.0725"/>
    <x v="444"/>
    <n v="40"/>
    <x v="592"/>
    <n v="20"/>
    <n v="2"/>
    <n v="26.666666666666664"/>
    <n v="28.666666666666664"/>
    <n v="68.687825675035526"/>
    <n v="2019.0741946944574"/>
    <s v="A"/>
  </r>
  <r>
    <x v="5"/>
    <s v="PREGOS E PARAFUSOS"/>
    <s v="BROCAS CALIBRADORA "/>
    <s v="M45"/>
    <s v="KITS DE BROCAS"/>
    <n v="259"/>
    <x v="213"/>
    <n v="25"/>
    <n v="23.5"/>
    <n v="4"/>
    <n v="2.8"/>
    <n v="2.3500000000000001E-3"/>
    <x v="445"/>
    <n v="350"/>
    <x v="593"/>
    <n v="25"/>
    <n v="7.1428571428571425E-2"/>
    <n v="25.071428571428573"/>
    <n v="25.142857142857146"/>
    <n v="67.096459024159174"/>
    <n v="2086.1706537186164"/>
    <s v="A"/>
  </r>
  <r>
    <x v="5"/>
    <s v="MATERIAL HIDRÁULICO"/>
    <s v="TORNEIRA CROMADA SKY"/>
    <s v="1195"/>
    <s v="CAIXA"/>
    <n v="18000"/>
    <x v="41"/>
    <n v="67"/>
    <n v="40"/>
    <n v="50"/>
    <n v="60"/>
    <n v="0.13400000000000001"/>
    <x v="446"/>
    <n v="5"/>
    <x v="594"/>
    <n v="20"/>
    <n v="0.25"/>
    <n v="3.333333333333333"/>
    <n v="3.583333333333333"/>
    <n v="66.615348176219797"/>
    <n v="2152.7860018948363"/>
    <s v="A"/>
  </r>
  <r>
    <x v="5"/>
    <s v="PARA MADEIRA"/>
    <s v="N° RESIDENCIAL"/>
    <s v="1 AO 3"/>
    <s v="CAIXA"/>
    <n v="700"/>
    <x v="214"/>
    <n v="30"/>
    <n v="40"/>
    <n v="35"/>
    <n v="2.5"/>
    <n v="4.2000000000000003E-2"/>
    <x v="447"/>
    <n v="110"/>
    <x v="595"/>
    <n v="25"/>
    <n v="4.4000000000000004"/>
    <n v="91.666666666666657"/>
    <n v="96.066666666666663"/>
    <n v="56.993131217432499"/>
    <n v="2209.7791331122689"/>
    <s v="A"/>
  </r>
  <r>
    <x v="5"/>
    <s v="PARA MADEIRA"/>
    <s v="N° RESIDENCIAL"/>
    <s v="4 AO 6"/>
    <s v="CAIXA"/>
    <n v="700"/>
    <x v="214"/>
    <n v="30"/>
    <n v="40"/>
    <n v="35"/>
    <n v="2.5"/>
    <n v="4.2000000000000003E-2"/>
    <x v="447"/>
    <n v="110"/>
    <x v="595"/>
    <n v="25"/>
    <n v="4.4000000000000004"/>
    <n v="91.666666666666657"/>
    <n v="96.066666666666663"/>
    <n v="56.993131217432499"/>
    <n v="2266.7722643297016"/>
    <s v="A"/>
  </r>
  <r>
    <x v="5"/>
    <s v="PARA MADEIRA"/>
    <s v="N° RESIDENCIAL"/>
    <s v="6 AO 8"/>
    <s v="CAIXA"/>
    <n v="700"/>
    <x v="214"/>
    <n v="30"/>
    <n v="40"/>
    <n v="35"/>
    <n v="2.5"/>
    <n v="4.2000000000000003E-2"/>
    <x v="447"/>
    <n v="110"/>
    <x v="595"/>
    <n v="25"/>
    <n v="4.4000000000000004"/>
    <n v="91.666666666666657"/>
    <n v="96.066666666666663"/>
    <n v="56.993131217432499"/>
    <n v="2323.7653955471342"/>
    <s v="A"/>
  </r>
  <r>
    <x v="5"/>
    <s v="PARA MADEIRA"/>
    <s v="N° RESIDENCIAL"/>
    <s v="9 AO 10"/>
    <s v="CAIXA"/>
    <n v="700"/>
    <x v="214"/>
    <n v="30"/>
    <n v="40"/>
    <n v="35"/>
    <n v="2.5"/>
    <n v="4.2000000000000003E-2"/>
    <x v="447"/>
    <n v="110"/>
    <x v="595"/>
    <n v="25"/>
    <n v="4.4000000000000004"/>
    <n v="91.666666666666657"/>
    <n v="96.066666666666663"/>
    <n v="56.993131217432499"/>
    <n v="2380.7585267645668"/>
    <s v="A"/>
  </r>
  <r>
    <x v="5"/>
    <s v="PARA MADEIRA"/>
    <s v="FECHADURA P/ JANELA"/>
    <s v="  23 EI"/>
    <s v="CAIXA"/>
    <n v="700"/>
    <x v="206"/>
    <n v="25"/>
    <n v="45"/>
    <n v="30"/>
    <n v="2.1"/>
    <n v="3.3750000000000002E-2"/>
    <x v="437"/>
    <n v="110"/>
    <x v="595"/>
    <n v="25"/>
    <n v="4.4000000000000004"/>
    <n v="91.666666666666657"/>
    <n v="96.066666666666663"/>
    <n v="56.993131217432499"/>
    <n v="2437.7516579819994"/>
    <s v="A"/>
  </r>
  <r>
    <x v="5"/>
    <s v="MATERIAL ELÉTRICO"/>
    <s v="FIO DE COBRE"/>
    <s v="C-05"/>
    <s v="ROLO"/>
    <n v="700"/>
    <x v="215"/>
    <n v="80"/>
    <n v="540"/>
    <n v="0.7"/>
    <n v="3.024E-2"/>
    <n v="3.024E-2"/>
    <x v="448"/>
    <n v="95"/>
    <x v="596"/>
    <n v="20"/>
    <n v="4.75"/>
    <n v="63.333333333333329"/>
    <n v="68.083333333333329"/>
    <n v="49.221340596873524"/>
    <n v="2486.9729985788731"/>
    <s v="A"/>
  </r>
  <r>
    <x v="5"/>
    <s v="MATERIAL ELÉTRICO"/>
    <s v="PRESSURIZADOR"/>
    <s v="5421944"/>
    <s v="CAIXA"/>
    <n v="1549"/>
    <x v="216"/>
    <n v="30"/>
    <n v="50"/>
    <n v="50"/>
    <n v="10"/>
    <n v="7.4999999999999997E-2"/>
    <x v="449"/>
    <n v="40"/>
    <x v="597"/>
    <n v="20"/>
    <n v="2"/>
    <n v="26.666666666666664"/>
    <n v="28.666666666666664"/>
    <n v="45.860966366650878"/>
    <n v="2532.8339649455238"/>
    <s v="A"/>
  </r>
  <r>
    <x v="5"/>
    <s v="FERRAMENTAS"/>
    <s v="FERRO DE SOLDA"/>
    <s v="H4735"/>
    <s v="CAIXA"/>
    <n v="238"/>
    <x v="217"/>
    <n v="30"/>
    <n v="35"/>
    <n v="20"/>
    <n v="1.5"/>
    <n v="2.1000000000000001E-2"/>
    <x v="450"/>
    <n v="260"/>
    <x v="598"/>
    <n v="20"/>
    <n v="13"/>
    <n v="173.33333333333331"/>
    <n v="186.33333333333331"/>
    <n v="45.801752723827569"/>
    <n v="2578.6357176693514"/>
    <s v="A"/>
  </r>
  <r>
    <x v="5"/>
    <s v="PREGOS E PARAFUSOS"/>
    <s v="BROCAS TXW"/>
    <s v="M43"/>
    <s v="KITS DE BROCAS"/>
    <n v="166.3"/>
    <x v="218"/>
    <n v="30"/>
    <n v="54"/>
    <n v="32"/>
    <n v="1.7"/>
    <n v="5.1839999999999997E-2"/>
    <x v="451"/>
    <n v="350"/>
    <x v="599"/>
    <n v="25"/>
    <n v="7.1428571428571425E-2"/>
    <n v="25.071428571428573"/>
    <n v="25.142857142857146"/>
    <n v="43.081626006631936"/>
    <n v="2621.7173436759831"/>
    <s v="A"/>
  </r>
  <r>
    <x v="5"/>
    <s v="FERRAMENTAS"/>
    <s v="FERRO DE SOLDA"/>
    <s v="H1034"/>
    <s v="CAIXA"/>
    <n v="220"/>
    <x v="217"/>
    <n v="30"/>
    <n v="35"/>
    <n v="20"/>
    <n v="1.5"/>
    <n v="2.1000000000000001E-2"/>
    <x v="450"/>
    <n v="260"/>
    <x v="600"/>
    <n v="20"/>
    <n v="13"/>
    <n v="173.33333333333331"/>
    <n v="186.33333333333331"/>
    <n v="42.337754618664142"/>
    <n v="2664.0550982946475"/>
    <s v="A"/>
  </r>
  <r>
    <x v="5"/>
    <s v="PARA MADEIRA"/>
    <s v="FECHADURA P/ JANELA"/>
    <s v="SM-3025"/>
    <s v="CAIXA"/>
    <n v="500"/>
    <x v="207"/>
    <n v="25"/>
    <n v="45"/>
    <n v="30"/>
    <n v="2.9"/>
    <n v="3.3750000000000002E-2"/>
    <x v="437"/>
    <n v="110"/>
    <x v="601"/>
    <n v="25"/>
    <n v="4.4000000000000004"/>
    <n v="91.666666666666657"/>
    <n v="96.066666666666663"/>
    <n v="40.709379441023216"/>
    <n v="2704.7644777356709"/>
    <s v="A"/>
  </r>
  <r>
    <x v="5"/>
    <s v="PARA MADEIRA"/>
    <s v="FECHADURA P/ JANELA"/>
    <s v="LINNUS 451"/>
    <s v="CAIXA"/>
    <n v="500"/>
    <x v="209"/>
    <n v="25"/>
    <n v="45"/>
    <n v="30"/>
    <n v="2.12"/>
    <n v="3.3750000000000002E-2"/>
    <x v="437"/>
    <n v="110"/>
    <x v="601"/>
    <n v="25"/>
    <n v="4.4000000000000004"/>
    <n v="91.666666666666657"/>
    <n v="96.066666666666663"/>
    <n v="40.709379441023216"/>
    <n v="2745.4738571766943"/>
    <s v="A"/>
  </r>
  <r>
    <x v="5"/>
    <s v="PREGOS E PARAFUSOS"/>
    <s v="BROCAS TLW"/>
    <s v="M40"/>
    <s v="KITS DE BROCAS"/>
    <n v="146.5"/>
    <x v="219"/>
    <n v="4.76"/>
    <n v="5.71"/>
    <n v="3.42"/>
    <n v="1.4"/>
    <n v="9.2954231999999986E-5"/>
    <x v="452"/>
    <n v="350"/>
    <x v="602"/>
    <n v="25"/>
    <n v="7.1428571428571425E-2"/>
    <n v="25.071428571428573"/>
    <n v="25.142857142857146"/>
    <n v="37.952244197063003"/>
    <n v="2783.4261013737573"/>
    <s v="A"/>
  </r>
  <r>
    <x v="5"/>
    <s v="MATERIAL HIDRÁULICO"/>
    <s v="TORNEIRA BASICA PRATA"/>
    <s v="IZY"/>
    <s v="CAIXA"/>
    <n v="10000"/>
    <x v="41"/>
    <n v="36"/>
    <n v="30"/>
    <n v="35"/>
    <n v="45"/>
    <n v="3.78E-2"/>
    <x v="453"/>
    <n v="5"/>
    <x v="603"/>
    <n v="20"/>
    <n v="0.25"/>
    <n v="3.333333333333333"/>
    <n v="3.583333333333333"/>
    <n v="37.008526764566554"/>
    <n v="2820.4346281383237"/>
    <s v="A"/>
  </r>
  <r>
    <x v="5"/>
    <s v="FERRAMENTAS"/>
    <s v="FERRO DE SOLDA"/>
    <s v="43752507"/>
    <s v="CAIXA"/>
    <n v="192"/>
    <x v="178"/>
    <n v="30"/>
    <n v="35"/>
    <n v="20"/>
    <n v="1.5"/>
    <n v="2.1000000000000001E-2"/>
    <x v="450"/>
    <n v="260"/>
    <x v="320"/>
    <n v="20"/>
    <n v="13"/>
    <n v="173.33333333333331"/>
    <n v="186.33333333333331"/>
    <n v="36.949313121743252"/>
    <n v="2857.3839412600669"/>
    <s v="A"/>
  </r>
  <r>
    <x v="5"/>
    <s v="MATERIAL HIDRÁULICO"/>
    <s v="TORNEIRA CROMADA SINGLE"/>
    <s v="ONE"/>
    <s v="CAIXA"/>
    <n v="9950"/>
    <x v="41"/>
    <n v="100"/>
    <n v="25"/>
    <n v="100"/>
    <n v="33"/>
    <n v="0.25"/>
    <x v="454"/>
    <n v="5"/>
    <x v="604"/>
    <n v="20"/>
    <n v="0.25"/>
    <n v="3.333333333333333"/>
    <n v="3.583333333333333"/>
    <n v="36.823484130743722"/>
    <n v="2894.2074253908104"/>
    <s v="A"/>
  </r>
  <r>
    <x v="5"/>
    <s v="FERRAMENTAS"/>
    <s v="FERRO DE SOLDA"/>
    <s v="H3713"/>
    <s v="CAIXA"/>
    <n v="186"/>
    <x v="217"/>
    <n v="30"/>
    <n v="35"/>
    <n v="20"/>
    <n v="1.5"/>
    <n v="2.1000000000000001E-2"/>
    <x v="450"/>
    <n v="260"/>
    <x v="605"/>
    <n v="20"/>
    <n v="13"/>
    <n v="173.33333333333331"/>
    <n v="186.33333333333331"/>
    <n v="35.794647086688776"/>
    <n v="2930.002072477499"/>
    <s v="A"/>
  </r>
  <r>
    <x v="5"/>
    <s v="MATERIAL ELÉTRICO"/>
    <s v="FIO DE COBRE"/>
    <s v="A-04"/>
    <s v="ROLO"/>
    <n v="500"/>
    <x v="220"/>
    <n v="30"/>
    <n v="5000"/>
    <n v="0.5"/>
    <n v="7.4999999999999997E-2"/>
    <n v="7.4999999999999997E-2"/>
    <x v="455"/>
    <n v="95"/>
    <x v="606"/>
    <n v="20"/>
    <n v="4.75"/>
    <n v="63.333333333333329"/>
    <n v="68.083333333333329"/>
    <n v="35.15810042633823"/>
    <n v="2965.1601729038371"/>
    <s v="A"/>
  </r>
  <r>
    <x v="5"/>
    <s v="PREGOS E PARAFUSOS"/>
    <s v="BROCAS DE VÍDIA "/>
    <s v="M36"/>
    <s v="KITS DE BROCAS"/>
    <n v="129.9"/>
    <x v="213"/>
    <n v="48"/>
    <n v="29.5"/>
    <n v="36.5"/>
    <n v="1.86"/>
    <n v="5.1684000000000001E-2"/>
    <x v="456"/>
    <n v="350"/>
    <x v="607"/>
    <n v="25"/>
    <n v="7.1428571428571425E-2"/>
    <n v="25.071428571428573"/>
    <n v="25.142857142857146"/>
    <n v="33.651853387020367"/>
    <n v="2998.8120262908574"/>
    <s v="A"/>
  </r>
  <r>
    <x v="5"/>
    <s v="PARA MADEIRA"/>
    <s v="FECHADURA P/ JANELA"/>
    <s v="NYLON 4314"/>
    <s v="CAIXA"/>
    <n v="400"/>
    <x v="210"/>
    <n v="25"/>
    <n v="45"/>
    <n v="30"/>
    <n v="2.11"/>
    <n v="3.3750000000000002E-2"/>
    <x v="437"/>
    <n v="110"/>
    <x v="608"/>
    <n v="25"/>
    <n v="4.4000000000000004"/>
    <n v="91.666666666666657"/>
    <n v="96.066666666666663"/>
    <n v="32.567503552818572"/>
    <n v="3031.3795298436758"/>
    <s v="A"/>
  </r>
  <r>
    <x v="5"/>
    <s v="FERRAMENTAS"/>
    <s v="FERRO DE SOLDA"/>
    <s v="43752506"/>
    <s v="CAIXA"/>
    <n v="158"/>
    <x v="178"/>
    <n v="30"/>
    <n v="35"/>
    <n v="20"/>
    <n v="1.5"/>
    <n v="2.1000000000000001E-2"/>
    <x v="450"/>
    <n v="260"/>
    <x v="609"/>
    <n v="20"/>
    <n v="13"/>
    <n v="173.33333333333331"/>
    <n v="186.33333333333331"/>
    <n v="30.406205589767882"/>
    <n v="3061.7857354334437"/>
    <s v="A"/>
  </r>
  <r>
    <x v="5"/>
    <s v="PREGOS E PARAFUSOS"/>
    <s v="PORCAS BORBOLETA"/>
    <s v="M56"/>
    <s v="CAIXA"/>
    <n v="117"/>
    <x v="18"/>
    <n v="20"/>
    <n v="30"/>
    <n v="25"/>
    <n v="1"/>
    <n v="1.4999999999999999E-2"/>
    <x v="457"/>
    <n v="350"/>
    <x v="610"/>
    <n v="25"/>
    <n v="7.1428571428571425E-2"/>
    <n v="25.071428571428573"/>
    <n v="25.142857142857146"/>
    <n v="30.309983420180011"/>
    <n v="3092.0957188536236"/>
    <s v="A"/>
  </r>
  <r>
    <x v="5"/>
    <s v="FERRAMENTAS"/>
    <s v="ESTILETE"/>
    <s v="2082200"/>
    <s v="CAIXA"/>
    <n v="450"/>
    <x v="221"/>
    <n v="20"/>
    <n v="30"/>
    <n v="25"/>
    <n v="1"/>
    <n v="1.4999999999999999E-2"/>
    <x v="458"/>
    <n v="90"/>
    <x v="611"/>
    <n v="20"/>
    <n v="4.5"/>
    <n v="60"/>
    <n v="64.5"/>
    <n v="29.97690667929891"/>
    <n v="3122.0726255329223"/>
    <s v="A"/>
  </r>
  <r>
    <x v="5"/>
    <s v="MATERIAL HIDRÁULICO"/>
    <s v="REGISTRO CROMADO CYTI"/>
    <s v="VALVULA"/>
    <s v="CAIXA"/>
    <n v="8000"/>
    <x v="41"/>
    <n v="25"/>
    <n v="30"/>
    <n v="25"/>
    <n v="15"/>
    <n v="1.8749999999999999E-2"/>
    <x v="459"/>
    <n v="5"/>
    <x v="612"/>
    <n v="20"/>
    <n v="0.25"/>
    <n v="3.333333333333333"/>
    <n v="3.583333333333333"/>
    <n v="29.606821411653247"/>
    <n v="3151.6794469445754"/>
    <s v="A"/>
  </r>
  <r>
    <x v="5"/>
    <s v="FERRAMENTAS"/>
    <s v="ESTILETE"/>
    <s v="43390308"/>
    <s v="CAIXA"/>
    <n v="354"/>
    <x v="178"/>
    <n v="20"/>
    <n v="30"/>
    <n v="25"/>
    <n v="1"/>
    <n v="1.4999999999999999E-2"/>
    <x v="460"/>
    <n v="110"/>
    <x v="613"/>
    <n v="20"/>
    <n v="5.5"/>
    <n v="73.333333333333329"/>
    <n v="78.833333333333329"/>
    <n v="28.822240644244435"/>
    <n v="3180.50168758882"/>
    <s v="A"/>
  </r>
  <r>
    <x v="5"/>
    <s v="MATERIAL HIDRÁULICO"/>
    <s v="MISTURADOR"/>
    <s v="M18"/>
    <s v="CAIXA"/>
    <n v="7658"/>
    <x v="222"/>
    <n v="40"/>
    <n v="50"/>
    <n v="72"/>
    <n v="25.8"/>
    <n v="0.14399999999999999"/>
    <x v="461"/>
    <n v="5"/>
    <x v="614"/>
    <n v="20"/>
    <n v="0.25"/>
    <n v="3.333333333333333"/>
    <n v="3.583333333333333"/>
    <n v="28.341129796305069"/>
    <n v="3208.8428173851253"/>
    <s v="A"/>
  </r>
  <r>
    <x v="5"/>
    <s v="PREGOS E PARAFUSOS"/>
    <s v="BROCAS MAX PLANAS"/>
    <s v="M38"/>
    <s v="KITS DE BROCAS"/>
    <n v="108.55"/>
    <x v="223"/>
    <n v="27"/>
    <n v="30"/>
    <n v="5"/>
    <n v="1"/>
    <n v="4.0499999999999998E-3"/>
    <x v="462"/>
    <n v="350"/>
    <x v="615"/>
    <n v="25"/>
    <n v="7.1428571428571425E-2"/>
    <n v="25.071428571428573"/>
    <n v="25.142857142857146"/>
    <n v="28.120929062055897"/>
    <n v="3236.9637464471812"/>
    <s v="A"/>
  </r>
  <r>
    <x v="5"/>
    <s v="MATERIAL HIDRÁULICO"/>
    <s v="REGISTRO DE GAVETA"/>
    <s v="ROSQUEAVEL"/>
    <s v="CAIXA"/>
    <n v="7400"/>
    <x v="212"/>
    <n v="38"/>
    <n v="166"/>
    <n v="40"/>
    <n v="30"/>
    <n v="0.25231999999999999"/>
    <x v="463"/>
    <n v="5"/>
    <x v="616"/>
    <n v="20"/>
    <n v="0.25"/>
    <n v="3.333333333333333"/>
    <n v="3.583333333333333"/>
    <n v="27.386309805779252"/>
    <n v="3264.3500562529603"/>
    <s v="A"/>
  </r>
  <r>
    <x v="5"/>
    <s v="PREGOS E PARAFUSOS"/>
    <s v="PORCAS RECARTILHADA ALTA"/>
    <s v="M58"/>
    <s v="CAIXA"/>
    <n v="90"/>
    <x v="224"/>
    <n v="10"/>
    <n v="15"/>
    <n v="10"/>
    <n v="1"/>
    <n v="1.5E-3"/>
    <x v="388"/>
    <n v="400"/>
    <x v="234"/>
    <n v="25"/>
    <n v="6.25E-2"/>
    <n v="25.0625"/>
    <n v="25.125"/>
    <n v="26.646139270487922"/>
    <n v="3290.996195523448"/>
    <s v="A"/>
  </r>
  <r>
    <x v="5"/>
    <s v="PREGOS E PARAFUSOS"/>
    <s v="BROCAS ESCALONADAS"/>
    <s v="M44"/>
    <s v="KITS DE BROCAS"/>
    <n v="100"/>
    <x v="223"/>
    <n v="60"/>
    <n v="1.7"/>
    <n v="1.6"/>
    <n v="1.1599999999999999"/>
    <n v="1.6320000000000001E-4"/>
    <x v="464"/>
    <n v="350"/>
    <x v="617"/>
    <n v="25"/>
    <n v="7.1428571428571425E-2"/>
    <n v="25.071428571428573"/>
    <n v="25.142857142857146"/>
    <n v="25.905968735196591"/>
    <n v="3316.9021642586445"/>
    <s v="A"/>
  </r>
  <r>
    <x v="5"/>
    <s v="PREGOS E PARAFUSOS"/>
    <s v="REBITES"/>
    <s v="M72"/>
    <s v="CAIXA"/>
    <n v="99"/>
    <x v="225"/>
    <n v="20"/>
    <n v="15"/>
    <n v="40"/>
    <n v="1"/>
    <n v="1.2E-2"/>
    <x v="465"/>
    <n v="350"/>
    <x v="618"/>
    <n v="25"/>
    <n v="7.1428571428571425E-2"/>
    <n v="25.071428571428573"/>
    <n v="25.142857142857146"/>
    <n v="25.646909047844623"/>
    <n v="3342.5490733064889"/>
    <s v="A"/>
  </r>
  <r>
    <x v="5"/>
    <s v="PREGOS E PARAFUSOS"/>
    <s v="PREGOS PARA TACO"/>
    <s v="M17"/>
    <s v="CAIXA"/>
    <n v="97"/>
    <x v="226"/>
    <n v="20"/>
    <n v="15"/>
    <n v="20"/>
    <n v="1"/>
    <n v="6.0000000000000001E-3"/>
    <x v="466"/>
    <n v="350"/>
    <x v="619"/>
    <n v="25"/>
    <n v="7.1428571428571425E-2"/>
    <n v="25.071428571428573"/>
    <n v="25.142857142857146"/>
    <n v="25.128789673140691"/>
    <n v="3367.6778629796295"/>
    <s v="A"/>
  </r>
  <r>
    <x v="5"/>
    <s v="FERRAMENTAS"/>
    <s v="ESCADA PINTOR 10 DEGRAUS "/>
    <s v="18569"/>
    <s v="CAIXA "/>
    <n v="350"/>
    <x v="227"/>
    <n v="290"/>
    <n v="50"/>
    <n v="25"/>
    <n v="3.5"/>
    <n v="0.36249999999999999"/>
    <x v="467"/>
    <n v="95"/>
    <x v="620"/>
    <n v="20"/>
    <n v="4.75"/>
    <n v="63.333333333333329"/>
    <n v="68.083333333333329"/>
    <n v="24.610670298436762"/>
    <n v="3392.2885332780661"/>
    <s v="A"/>
  </r>
  <r>
    <x v="5"/>
    <s v="PREGOS E PARAFUSOS"/>
    <s v="BROCAS HAMMER"/>
    <s v="M41"/>
    <s v="KITS DE BROCAS"/>
    <n v="95"/>
    <x v="228"/>
    <n v="6"/>
    <n v="23"/>
    <n v="20"/>
    <n v="1.1000000000000001"/>
    <n v="2.7599999999999999E-3"/>
    <x v="468"/>
    <n v="350"/>
    <x v="620"/>
    <n v="25"/>
    <n v="7.1428571428571425E-2"/>
    <n v="25.071428571428573"/>
    <n v="25.142857142857146"/>
    <n v="24.610670298436762"/>
    <n v="3416.8992035765027"/>
    <s v="A"/>
  </r>
  <r>
    <x v="5"/>
    <s v="MATERIAL HIDRÁULICO"/>
    <s v="MISTURADOR"/>
    <s v="M17"/>
    <s v="CAIXA"/>
    <n v="6518"/>
    <x v="222"/>
    <n v="40"/>
    <n v="50"/>
    <n v="72"/>
    <n v="25.8"/>
    <n v="0.14399999999999999"/>
    <x v="461"/>
    <n v="5"/>
    <x v="621"/>
    <n v="20"/>
    <n v="0.25"/>
    <n v="3.333333333333333"/>
    <n v="3.583333333333333"/>
    <n v="24.122157745144481"/>
    <n v="3441.0213613216474"/>
    <s v="A"/>
  </r>
  <r>
    <x v="5"/>
    <s v="MATERIAL HIDRÁULICO"/>
    <s v="TORNEIRA PRATA DE MESA "/>
    <s v="C55"/>
    <s v="CAIXA"/>
    <n v="6500"/>
    <x v="229"/>
    <n v="30"/>
    <n v="26"/>
    <n v="30"/>
    <n v="45"/>
    <n v="2.3400000000000001E-2"/>
    <x v="469"/>
    <n v="5"/>
    <x v="622"/>
    <n v="20"/>
    <n v="0.25"/>
    <n v="3.333333333333333"/>
    <n v="3.583333333333333"/>
    <n v="24.055542396968264"/>
    <n v="3465.0769037186155"/>
    <s v="A"/>
  </r>
  <r>
    <x v="5"/>
    <s v="FERRAMENTAS"/>
    <s v="ESCADA TELESCÓPIA ALUMINIO 10 DEGRAUS"/>
    <s v="5129"/>
    <s v="CAIXA "/>
    <n v="339"/>
    <x v="230"/>
    <n v="1200"/>
    <n v="60"/>
    <n v="15"/>
    <n v="2.5"/>
    <n v="1.08"/>
    <x v="470"/>
    <n v="95"/>
    <x v="623"/>
    <n v="20"/>
    <n v="4.75"/>
    <n v="63.333333333333329"/>
    <n v="68.083333333333329"/>
    <n v="23.837192089057318"/>
    <n v="3488.9140958076728"/>
    <s v="A"/>
  </r>
  <r>
    <x v="5"/>
    <s v="FERRAMENTAS"/>
    <s v="LUVAS"/>
    <s v="FL5475"/>
    <s v="CAIXA"/>
    <n v="327"/>
    <x v="231"/>
    <n v="30"/>
    <n v="25"/>
    <n v="25"/>
    <n v="2.5"/>
    <n v="1.8749999999999999E-2"/>
    <x v="471"/>
    <n v="95"/>
    <x v="624"/>
    <n v="20"/>
    <n v="4.75"/>
    <n v="63.333333333333329"/>
    <n v="68.083333333333329"/>
    <n v="22.9933976788252"/>
    <n v="3511.907493486498"/>
    <s v="A"/>
  </r>
  <r>
    <x v="5"/>
    <s v="MATERIAL ELÉTRICO"/>
    <s v="PRESSURIZADOR"/>
    <s v="PL280P"/>
    <s v="CAIXA"/>
    <n v="730.15"/>
    <x v="222"/>
    <n v="50"/>
    <n v="50"/>
    <n v="50"/>
    <n v="10"/>
    <n v="0.125"/>
    <x v="76"/>
    <n v="40"/>
    <x v="625"/>
    <n v="20"/>
    <n v="2"/>
    <n v="26.666666666666664"/>
    <n v="28.666666666666664"/>
    <n v="21.617420653718618"/>
    <n v="3533.5249141402164"/>
    <s v="A"/>
  </r>
  <r>
    <x v="5"/>
    <s v="MATERIAL HIDRÁULICO"/>
    <s v="REGISTRO CROMADO TWIST"/>
    <s v="VALVULA"/>
    <s v="CAIXA"/>
    <n v="5800"/>
    <x v="41"/>
    <n v="65"/>
    <n v="20"/>
    <n v="65"/>
    <n v="30"/>
    <n v="8.4500000000000006E-2"/>
    <x v="472"/>
    <n v="5"/>
    <x v="626"/>
    <n v="20"/>
    <n v="0.25"/>
    <n v="3.333333333333333"/>
    <n v="3.583333333333333"/>
    <n v="21.464945523448602"/>
    <n v="3554.9898596636649"/>
    <s v="A"/>
  </r>
  <r>
    <x v="5"/>
    <s v="PREGOS E PARAFUSOS"/>
    <s v="BROCAS TCW"/>
    <s v="M39"/>
    <s v="KITS DE BROCAS"/>
    <n v="82.6"/>
    <x v="232"/>
    <n v="3"/>
    <n v="54.2"/>
    <n v="32.200000000000003"/>
    <n v="1.7"/>
    <n v="5.235720000000001E-3"/>
    <x v="473"/>
    <n v="350"/>
    <x v="627"/>
    <n v="25"/>
    <n v="7.1428571428571425E-2"/>
    <n v="25.071428571428573"/>
    <n v="25.142857142857146"/>
    <n v="21.398330175272381"/>
    <n v="3576.3881898389373"/>
    <s v="A"/>
  </r>
  <r>
    <x v="5"/>
    <s v="MATERIAL HIDRÁULICO"/>
    <s v="TORNEIRA PRATA OGGI"/>
    <s v="CR"/>
    <s v="CAIXA"/>
    <n v="5700"/>
    <x v="233"/>
    <n v="25"/>
    <n v="30"/>
    <n v="25"/>
    <n v="37"/>
    <n v="1.8749999999999999E-2"/>
    <x v="459"/>
    <n v="5"/>
    <x v="401"/>
    <n v="20"/>
    <n v="0.25"/>
    <n v="3.333333333333333"/>
    <n v="3.583333333333333"/>
    <n v="21.094860255802939"/>
    <n v="3597.4830500947401"/>
    <s v="A"/>
  </r>
  <r>
    <x v="5"/>
    <s v="FERRAMENTAS"/>
    <s v="ESTILETE"/>
    <s v="43390301"/>
    <s v="CAIXA"/>
    <n v="255"/>
    <x v="178"/>
    <n v="20"/>
    <n v="30"/>
    <n v="25"/>
    <n v="1"/>
    <n v="1.4999999999999999E-2"/>
    <x v="460"/>
    <n v="110"/>
    <x v="628"/>
    <n v="20"/>
    <n v="5.5"/>
    <n v="73.333333333333329"/>
    <n v="78.833333333333329"/>
    <n v="20.761783514921838"/>
    <n v="3618.2448336096618"/>
    <s v="A"/>
  </r>
  <r>
    <x v="5"/>
    <s v="FERRAMENTAS"/>
    <s v="LUVAS"/>
    <s v="FL5434"/>
    <s v="CAIXA"/>
    <n v="294"/>
    <x v="231"/>
    <n v="30"/>
    <n v="25"/>
    <n v="25"/>
    <n v="2.5"/>
    <n v="1.8749999999999999E-2"/>
    <x v="471"/>
    <n v="95"/>
    <x v="629"/>
    <n v="20"/>
    <n v="4.75"/>
    <n v="63.333333333333329"/>
    <n v="68.083333333333329"/>
    <n v="20.672963050686878"/>
    <n v="3638.9177966603488"/>
    <s v="A"/>
  </r>
  <r>
    <x v="5"/>
    <s v="FERRAMENTAS"/>
    <s v="ESTILETE"/>
    <s v="1903190"/>
    <s v="CAIXA"/>
    <n v="309"/>
    <x v="221"/>
    <n v="20"/>
    <n v="30"/>
    <n v="25"/>
    <n v="1"/>
    <n v="1.4999999999999999E-2"/>
    <x v="458"/>
    <n v="90"/>
    <x v="630"/>
    <n v="20"/>
    <n v="4.5"/>
    <n v="60"/>
    <n v="64.5"/>
    <n v="20.584142586451918"/>
    <n v="3659.5019392468007"/>
    <s v="A"/>
  </r>
  <r>
    <x v="5"/>
    <s v="FERRAMENTAS"/>
    <s v="TRENA 9 METROS"/>
    <s v="ADW92"/>
    <s v="CAIXA"/>
    <n v="251.2"/>
    <x v="234"/>
    <n v="10"/>
    <n v="10"/>
    <n v="10"/>
    <n v="1.2"/>
    <n v="1E-3"/>
    <x v="474"/>
    <n v="110"/>
    <x v="631"/>
    <n v="20"/>
    <n v="5.5"/>
    <n v="73.333333333333329"/>
    <n v="78.833333333333329"/>
    <n v="20.452392231170062"/>
    <n v="3679.9543314779708"/>
    <s v="A"/>
  </r>
  <r>
    <x v="5"/>
    <s v="MATERIAL HIDRÁULICO"/>
    <s v="TORNCEIRA PRATA"/>
    <s v="C44"/>
    <s v="CAIXA"/>
    <n v="5500"/>
    <x v="229"/>
    <n v="30"/>
    <n v="25"/>
    <n v="35"/>
    <n v="45"/>
    <n v="2.6249999999999999E-2"/>
    <x v="475"/>
    <n v="5"/>
    <x v="632"/>
    <n v="20"/>
    <n v="0.25"/>
    <n v="3.333333333333333"/>
    <n v="3.583333333333333"/>
    <n v="20.354689720511608"/>
    <n v="3700.3090211984822"/>
    <s v="A"/>
  </r>
  <r>
    <x v="5"/>
    <s v="PREGOS E PARAFUSOS"/>
    <s v="PORCAS CEGA BAIXA"/>
    <s v="M59"/>
    <s v="CAIXA"/>
    <n v="67.900000000000006"/>
    <x v="224"/>
    <n v="10"/>
    <n v="15"/>
    <n v="10"/>
    <n v="1"/>
    <n v="1.5E-3"/>
    <x v="388"/>
    <n v="400"/>
    <x v="633"/>
    <n v="25"/>
    <n v="6.25E-2"/>
    <n v="25.0625"/>
    <n v="25.125"/>
    <n v="20.103031738512556"/>
    <n v="3720.4120529369948"/>
    <s v="A"/>
  </r>
  <r>
    <x v="5"/>
    <s v="FERRAMENTAS"/>
    <s v="TRENA  3 METROS"/>
    <s v="QADAW9"/>
    <s v="CAIXA"/>
    <n v="104"/>
    <x v="235"/>
    <n v="10"/>
    <n v="10"/>
    <n v="10"/>
    <n v="1.5"/>
    <n v="1E-3"/>
    <x v="476"/>
    <n v="260"/>
    <x v="634"/>
    <n v="20"/>
    <n v="13"/>
    <n v="173.33333333333331"/>
    <n v="186.33333333333331"/>
    <n v="20.014211274277596"/>
    <n v="3740.4262642112722"/>
    <s v="A"/>
  </r>
  <r>
    <x v="5"/>
    <s v="MATERIAL HIDRÁULICO"/>
    <s v="TORNEIRA PARA COZINHA MISTY"/>
    <s v="ROSQUEAVEL"/>
    <s v="CAIXA"/>
    <n v="5400"/>
    <x v="41"/>
    <n v="40"/>
    <n v="25"/>
    <n v="40"/>
    <n v="25"/>
    <n v="0.04"/>
    <x v="477"/>
    <n v="5"/>
    <x v="236"/>
    <n v="20"/>
    <n v="0.25"/>
    <n v="3.333333333333333"/>
    <n v="3.583333333333333"/>
    <n v="19.984604452865941"/>
    <n v="3760.410868664138"/>
    <s v="A"/>
  </r>
  <r>
    <x v="5"/>
    <s v="MATERIAL ELÉTRICO"/>
    <s v="PRESSURIZADOR"/>
    <s v="364304"/>
    <s v="CAIXA"/>
    <n v="674.9"/>
    <x v="222"/>
    <n v="50"/>
    <n v="50"/>
    <n v="50"/>
    <n v="10"/>
    <n v="0.125"/>
    <x v="76"/>
    <n v="40"/>
    <x v="635"/>
    <n v="20"/>
    <n v="2"/>
    <n v="26.666666666666664"/>
    <n v="28.666666666666664"/>
    <n v="19.981643770724776"/>
    <n v="3780.392512434863"/>
    <s v="A"/>
  </r>
  <r>
    <x v="5"/>
    <s v="MATERIAL ELÉTRICO"/>
    <s v="PRESSURIZADOR"/>
    <s v="PL-280P"/>
    <s v="CAIXA"/>
    <n v="674.9"/>
    <x v="222"/>
    <n v="50"/>
    <n v="50"/>
    <n v="50"/>
    <n v="10"/>
    <n v="0.125"/>
    <x v="76"/>
    <n v="40"/>
    <x v="635"/>
    <n v="20"/>
    <n v="2"/>
    <n v="26.666666666666664"/>
    <n v="28.666666666666664"/>
    <n v="19.981643770724776"/>
    <n v="3800.374156205588"/>
    <s v="A"/>
  </r>
  <r>
    <x v="5"/>
    <s v="MATERIAL ELÉTRICO"/>
    <s v="DISJUNTOR A VÁCUO"/>
    <s v="E-06"/>
    <s v="CAIXA"/>
    <n v="325"/>
    <x v="236"/>
    <n v="15"/>
    <n v="15"/>
    <n v="24"/>
    <n v="5.4000000000000003E-3"/>
    <n v="5.4000000000000003E-3"/>
    <x v="478"/>
    <n v="80"/>
    <x v="636"/>
    <n v="20"/>
    <n v="4"/>
    <n v="53.333333333333329"/>
    <n v="57.333333333333329"/>
    <n v="19.244433917574611"/>
    <n v="3819.6185901231624"/>
    <s v="A"/>
  </r>
  <r>
    <x v="5"/>
    <s v="PREGOS E PARAFUSOS"/>
    <s v="BROCAS PERFO"/>
    <s v="M42"/>
    <s v="KITS DE BROCAS"/>
    <n v="74.2"/>
    <x v="223"/>
    <n v="25"/>
    <n v="23.5"/>
    <n v="4"/>
    <n v="2.8"/>
    <n v="2.3500000000000001E-3"/>
    <x v="445"/>
    <n v="350"/>
    <x v="637"/>
    <n v="25"/>
    <n v="7.1428571428571425E-2"/>
    <n v="25.071428571428573"/>
    <n v="25.142857142857146"/>
    <n v="19.222228801515868"/>
    <n v="3838.8408189246784"/>
    <s v="A"/>
  </r>
  <r>
    <x v="5"/>
    <s v="MATERIAL HIDRÁULICO"/>
    <s v="TORNEIRA PRATA SENSEA"/>
    <s v="TANGO"/>
    <s v="CAIXA"/>
    <n v="4950"/>
    <x v="41"/>
    <n v="45"/>
    <n v="20"/>
    <n v="40"/>
    <n v="15"/>
    <n v="3.5999999999999997E-2"/>
    <x v="431"/>
    <n v="5"/>
    <x v="638"/>
    <n v="20"/>
    <n v="0.25"/>
    <n v="3.333333333333333"/>
    <n v="3.583333333333333"/>
    <n v="18.319220748460445"/>
    <n v="3857.1600396731387"/>
    <s v="A"/>
  </r>
  <r>
    <x v="5"/>
    <s v="MATERIAL ELÉTRICO"/>
    <s v="PRESSURIZADOR"/>
    <s v="407455"/>
    <s v="CAIXA"/>
    <n v="617.4"/>
    <x v="222"/>
    <n v="50"/>
    <n v="50"/>
    <n v="50"/>
    <n v="10"/>
    <n v="0.125"/>
    <x v="76"/>
    <n v="40"/>
    <x v="639"/>
    <n v="20"/>
    <n v="2"/>
    <n v="26.666666666666664"/>
    <n v="28.666666666666664"/>
    <n v="18.279251539554714"/>
    <n v="3875.4392912126937"/>
    <s v="A"/>
  </r>
  <r>
    <x v="5"/>
    <s v="MATERIAL HIDRÁULICO"/>
    <s v="TORNEIRA PRATA "/>
    <s v="SA4"/>
    <s v="CAIXA"/>
    <n v="4900"/>
    <x v="237"/>
    <n v="35"/>
    <n v="20"/>
    <n v="40"/>
    <n v="30"/>
    <n v="2.8000000000000001E-2"/>
    <x v="479"/>
    <n v="5"/>
    <x v="640"/>
    <n v="20"/>
    <n v="0.25"/>
    <n v="3.333333333333333"/>
    <n v="3.583333333333333"/>
    <n v="18.134178114637614"/>
    <n v="3893.5734693273312"/>
    <s v="A"/>
  </r>
  <r>
    <x v="5"/>
    <s v="MATERIAL ELÉTRICO"/>
    <s v="PRESSURIZADOR"/>
    <s v="303666"/>
    <s v="CAIXA"/>
    <n v="604.9"/>
    <x v="222"/>
    <n v="50"/>
    <n v="50"/>
    <n v="50"/>
    <n v="10"/>
    <n v="0.125"/>
    <x v="76"/>
    <n v="40"/>
    <x v="641"/>
    <n v="20"/>
    <n v="2"/>
    <n v="26.666666666666664"/>
    <n v="28.666666666666664"/>
    <n v="17.909166271909047"/>
    <n v="3911.4826355992404"/>
    <s v="A"/>
  </r>
  <r>
    <x v="5"/>
    <s v="MATERIAL HIDRÁULICO"/>
    <s v="MISTURADOR"/>
    <s v="M22"/>
    <s v="CAIXA"/>
    <n v="4819"/>
    <x v="41"/>
    <n v="60"/>
    <n v="40"/>
    <n v="62"/>
    <n v="51.9"/>
    <n v="0.14879999999999999"/>
    <x v="480"/>
    <n v="5"/>
    <x v="642"/>
    <n v="20"/>
    <n v="0.25"/>
    <n v="3.333333333333333"/>
    <n v="3.583333333333333"/>
    <n v="17.834409047844623"/>
    <n v="3929.3170446470849"/>
    <s v="A"/>
  </r>
  <r>
    <x v="5"/>
    <s v="MATERIAL HIDRÁULICO"/>
    <s v="TORNEIRA CROMADA ASPEN "/>
    <s v="1198D"/>
    <s v="CAIXA"/>
    <n v="4800"/>
    <x v="41"/>
    <n v="40"/>
    <n v="20"/>
    <n v="30"/>
    <n v="42"/>
    <n v="2.4E-2"/>
    <x v="481"/>
    <n v="5"/>
    <x v="643"/>
    <n v="20"/>
    <n v="0.25"/>
    <n v="3.333333333333333"/>
    <n v="3.583333333333333"/>
    <n v="17.764092846991947"/>
    <n v="3947.0811374940768"/>
    <s v="A"/>
  </r>
  <r>
    <x v="5"/>
    <s v="MATERIAL HIDRÁULICO"/>
    <s v="REGISTRO DUCHA"/>
    <s v="ROSQUEAVEL "/>
    <s v="CAIXA"/>
    <n v="4795"/>
    <x v="212"/>
    <n v="65"/>
    <n v="36"/>
    <n v="35"/>
    <n v="20"/>
    <n v="8.1900000000000001E-2"/>
    <x v="482"/>
    <n v="5"/>
    <x v="644"/>
    <n v="20"/>
    <n v="0.25"/>
    <n v="3.333333333333333"/>
    <n v="3.583333333333333"/>
    <n v="17.745588583609663"/>
    <n v="3964.8267260776865"/>
    <s v="A"/>
  </r>
  <r>
    <x v="5"/>
    <s v="MATERIAL ELÉTRICO"/>
    <s v="MINI BOMBA"/>
    <s v="111379771"/>
    <s v="CAIXA"/>
    <n v="599"/>
    <x v="238"/>
    <n v="40"/>
    <n v="40"/>
    <n v="40"/>
    <n v="10"/>
    <n v="6.4000000000000001E-2"/>
    <x v="483"/>
    <n v="40"/>
    <x v="645"/>
    <n v="20"/>
    <n v="2"/>
    <n v="26.666666666666664"/>
    <n v="28.666666666666664"/>
    <n v="17.734486025580296"/>
    <n v="3982.5612121032668"/>
    <s v="A"/>
  </r>
  <r>
    <x v="5"/>
    <s v="FERRAMENTAS"/>
    <s v="ESTILETE"/>
    <s v="1903109"/>
    <s v="CAIXA"/>
    <n v="264"/>
    <x v="221"/>
    <n v="20"/>
    <n v="30"/>
    <n v="25"/>
    <n v="1"/>
    <n v="1.4999999999999999E-2"/>
    <x v="458"/>
    <n v="90"/>
    <x v="646"/>
    <n v="20"/>
    <n v="4.5"/>
    <n v="60"/>
    <n v="64.5"/>
    <n v="17.586451918522027"/>
    <n v="4000.1476640217888"/>
    <s v="A"/>
  </r>
  <r>
    <x v="5"/>
    <s v="FERRAMENTAS"/>
    <s v="LUVAS"/>
    <s v="8607"/>
    <s v="CAIXA"/>
    <n v="240"/>
    <x v="239"/>
    <n v="30"/>
    <n v="25"/>
    <n v="25"/>
    <n v="2.5"/>
    <n v="1.8749999999999999E-2"/>
    <x v="471"/>
    <n v="95"/>
    <x v="647"/>
    <n v="20"/>
    <n v="4.75"/>
    <n v="63.333333333333329"/>
    <n v="68.083333333333329"/>
    <n v="16.875888204642351"/>
    <n v="4017.0235522264311"/>
    <s v="A"/>
  </r>
  <r>
    <x v="5"/>
    <s v="FERRAMENTAS"/>
    <s v="ESTILETE"/>
    <s v="43390302"/>
    <s v="CAIXA"/>
    <n v="207"/>
    <x v="178"/>
    <n v="20"/>
    <n v="30"/>
    <n v="25"/>
    <n v="1"/>
    <n v="1.4999999999999999E-2"/>
    <x v="460"/>
    <n v="110"/>
    <x v="648"/>
    <n v="20"/>
    <n v="5.5"/>
    <n v="73.333333333333329"/>
    <n v="78.833333333333329"/>
    <n v="16.853683088583612"/>
    <n v="4033.8772353150148"/>
    <s v="A"/>
  </r>
  <r>
    <x v="5"/>
    <s v="MATERIAL HIDRÁULICO"/>
    <s v="REGISTRO CROMDO SOHO"/>
    <s v="ROSQUEAVEL"/>
    <s v="CAIXA"/>
    <n v="4550"/>
    <x v="41"/>
    <n v="30"/>
    <n v="20"/>
    <n v="30"/>
    <n v="10"/>
    <n v="1.7999999999999999E-2"/>
    <x v="484"/>
    <n v="5"/>
    <x v="649"/>
    <n v="20"/>
    <n v="0.25"/>
    <n v="3.333333333333333"/>
    <n v="3.583333333333333"/>
    <n v="16.838879677877785"/>
    <n v="4050.7161149928925"/>
    <s v="A"/>
  </r>
  <r>
    <x v="5"/>
    <s v="FERRAMENTAS"/>
    <s v="ESTILETE"/>
    <s v="1903189"/>
    <s v="CAIXA"/>
    <n v="249"/>
    <x v="221"/>
    <n v="20"/>
    <n v="30"/>
    <n v="25"/>
    <n v="1"/>
    <n v="1.4999999999999999E-2"/>
    <x v="458"/>
    <n v="90"/>
    <x v="650"/>
    <n v="20"/>
    <n v="4.5"/>
    <n v="60"/>
    <n v="64.5"/>
    <n v="16.587221695878732"/>
    <n v="4067.3033366887712"/>
    <s v="A"/>
  </r>
  <r>
    <x v="5"/>
    <s v="FERRAMENTAS"/>
    <s v="LUVAS"/>
    <s v="FL5479"/>
    <s v="CAIXA"/>
    <n v="234"/>
    <x v="231"/>
    <n v="30"/>
    <n v="25"/>
    <n v="25"/>
    <n v="2.5"/>
    <n v="1.8749999999999999E-2"/>
    <x v="471"/>
    <n v="95"/>
    <x v="651"/>
    <n v="20"/>
    <n v="4.75"/>
    <n v="63.333333333333329"/>
    <n v="68.083333333333329"/>
    <n v="16.45399099952629"/>
    <n v="4083.7573276882977"/>
    <s v="A"/>
  </r>
  <r>
    <x v="5"/>
    <s v="MATERIAL ELÉTRICO"/>
    <s v="PRESSURIZADOR"/>
    <s v="464182"/>
    <s v="CAIXA"/>
    <n v="550.9"/>
    <x v="222"/>
    <n v="50"/>
    <n v="50"/>
    <n v="50"/>
    <n v="10"/>
    <n v="0.125"/>
    <x v="76"/>
    <n v="40"/>
    <x v="652"/>
    <n v="20"/>
    <n v="2"/>
    <n v="26.666666666666664"/>
    <n v="28.666666666666664"/>
    <n v="16.310397915679772"/>
    <n v="4100.0677256039771"/>
    <s v="A"/>
  </r>
  <r>
    <x v="5"/>
    <s v="MATERIAL ELÉTRICO"/>
    <s v="PRESSURIZADOR"/>
    <s v="464182"/>
    <s v="CAIXA"/>
    <n v="550.9"/>
    <x v="222"/>
    <n v="50"/>
    <n v="50"/>
    <n v="50"/>
    <n v="10"/>
    <n v="0.125"/>
    <x v="76"/>
    <n v="40"/>
    <x v="652"/>
    <n v="20"/>
    <n v="2"/>
    <n v="26.666666666666664"/>
    <n v="28.666666666666664"/>
    <n v="16.310397915679772"/>
    <n v="4116.3781235196566"/>
    <s v="A"/>
  </r>
  <r>
    <x v="5"/>
    <s v="MATERIAL HIDRÁULICO"/>
    <s v="REGISTRO CROMADO CREATO"/>
    <s v="VALVULA"/>
    <s v="CAIXA"/>
    <n v="4400"/>
    <x v="41"/>
    <n v="60"/>
    <n v="20"/>
    <n v="60"/>
    <n v="13"/>
    <n v="7.1999999999999995E-2"/>
    <x v="258"/>
    <n v="5"/>
    <x v="653"/>
    <n v="20"/>
    <n v="0.25"/>
    <n v="3.333333333333333"/>
    <n v="3.583333333333333"/>
    <n v="16.283751776409286"/>
    <n v="4132.6618752960658"/>
    <s v="A"/>
  </r>
  <r>
    <x v="5"/>
    <s v="PARA MADEIRA"/>
    <s v="GANCHOS"/>
    <s v="LONGO A548"/>
    <s v="SACA/CAIXA"/>
    <n v="200"/>
    <x v="240"/>
    <n v="15"/>
    <n v="25"/>
    <n v="20"/>
    <n v="1"/>
    <n v="7.4999999999999997E-3"/>
    <x v="485"/>
    <n v="110"/>
    <x v="653"/>
    <n v="25"/>
    <n v="4.4000000000000004"/>
    <n v="91.666666666666657"/>
    <n v="96.066666666666663"/>
    <n v="16.283751776409286"/>
    <n v="4148.945627072475"/>
    <s v="A"/>
  </r>
  <r>
    <x v="5"/>
    <s v="PARA MADEIRA"/>
    <s v="GANCHOS"/>
    <s v="BICROMATIZADO"/>
    <s v="SACA/CAIXA"/>
    <n v="200"/>
    <x v="241"/>
    <n v="15"/>
    <n v="25"/>
    <n v="20"/>
    <n v="1"/>
    <n v="7.4999999999999997E-3"/>
    <x v="485"/>
    <n v="110"/>
    <x v="653"/>
    <n v="25"/>
    <n v="4.4000000000000004"/>
    <n v="91.666666666666657"/>
    <n v="96.066666666666663"/>
    <n v="16.283751776409286"/>
    <n v="4165.2293788488842"/>
    <s v="A"/>
  </r>
  <r>
    <x v="5"/>
    <s v="PREGOS E PARAFUSOS"/>
    <s v="PORCAS CASTELO"/>
    <s v="M65"/>
    <s v="CAIXA"/>
    <n v="55"/>
    <x v="224"/>
    <n v="10"/>
    <n v="15"/>
    <n v="10"/>
    <n v="1"/>
    <n v="1.5E-3"/>
    <x v="388"/>
    <n v="400"/>
    <x v="653"/>
    <n v="30"/>
    <n v="13.333333333333334"/>
    <n v="400"/>
    <n v="413.33333333333331"/>
    <n v="16.283751776409286"/>
    <n v="4181.5131306252933"/>
    <s v="A"/>
  </r>
  <r>
    <x v="5"/>
    <s v="FERRAMENTAS"/>
    <s v="LUVAS"/>
    <s v="FL5467"/>
    <s v="CAIXA"/>
    <n v="231"/>
    <x v="231"/>
    <n v="30"/>
    <n v="25"/>
    <n v="25"/>
    <n v="2.5"/>
    <n v="1.8749999999999999E-2"/>
    <x v="471"/>
    <n v="95"/>
    <x v="654"/>
    <n v="20"/>
    <n v="4.75"/>
    <n v="63.333333333333329"/>
    <n v="68.083333333333329"/>
    <n v="16.243042396968264"/>
    <n v="4197.7561730222615"/>
    <s v="A"/>
  </r>
  <r>
    <x v="5"/>
    <s v="MATERIAL HIDRÁULICO"/>
    <s v="REGISTRO MOVO SMART"/>
    <s v="VALVULA"/>
    <s v="CAIXA"/>
    <n v="4350"/>
    <x v="41"/>
    <n v="30"/>
    <n v="40"/>
    <n v="30"/>
    <n v="25"/>
    <n v="3.5999999999999997E-2"/>
    <x v="431"/>
    <n v="5"/>
    <x v="655"/>
    <n v="20"/>
    <n v="0.25"/>
    <n v="3.333333333333333"/>
    <n v="3.583333333333333"/>
    <n v="16.098709142586451"/>
    <n v="4213.8548821648483"/>
    <s v="A"/>
  </r>
  <r>
    <x v="5"/>
    <s v="PREGOS E PARAFUSOS"/>
    <s v="BROCAS DE AÇO CARBONO"/>
    <s v="M37"/>
    <s v="KITS DE BROCAS"/>
    <n v="62"/>
    <x v="218"/>
    <n v="34.9"/>
    <n v="32.700000000000003"/>
    <n v="37.4"/>
    <n v="1"/>
    <n v="4.2682002000000004E-2"/>
    <x v="486"/>
    <n v="350"/>
    <x v="656"/>
    <n v="25"/>
    <n v="7.1428571428571425E-2"/>
    <n v="25.071428571428573"/>
    <n v="25.142857142857146"/>
    <n v="16.061700615821884"/>
    <n v="4229.9165827806701"/>
    <s v="A"/>
  </r>
  <r>
    <x v="5"/>
    <s v="MATERIAL HIDRÁULICO"/>
    <s v="TORNEIRA DE JARDIM PAREDE"/>
    <s v="ROSQUEAVEL"/>
    <s v="CAIXA"/>
    <n v="4300"/>
    <x v="41"/>
    <n v="45"/>
    <n v="25"/>
    <n v="45"/>
    <n v="15"/>
    <n v="5.0625000000000003E-2"/>
    <x v="487"/>
    <n v="5"/>
    <x v="657"/>
    <n v="20"/>
    <n v="0.25"/>
    <n v="3.333333333333333"/>
    <n v="3.583333333333333"/>
    <n v="15.913666508763619"/>
    <n v="4245.8302492894336"/>
    <s v="A"/>
  </r>
  <r>
    <x v="5"/>
    <s v="MATERIAL ELÉTRICO"/>
    <s v="DUCHA"/>
    <s v="S206B"/>
    <s v="SACO"/>
    <n v="429"/>
    <x v="242"/>
    <n v="10"/>
    <n v="15"/>
    <n v="10"/>
    <n v="2"/>
    <n v="1.5E-3"/>
    <x v="488"/>
    <n v="50"/>
    <x v="658"/>
    <n v="20"/>
    <n v="2.5"/>
    <n v="33.333333333333336"/>
    <n v="35.833333333333336"/>
    <n v="15.876657981999053"/>
    <n v="4261.706907271433"/>
    <s v="A"/>
  </r>
  <r>
    <x v="5"/>
    <s v="FERRAMENTAS"/>
    <s v="LUVAS"/>
    <s v="8750"/>
    <s v="CAIXA"/>
    <n v="225"/>
    <x v="239"/>
    <n v="30"/>
    <n v="25"/>
    <n v="25"/>
    <n v="2.5"/>
    <n v="1.8749999999999999E-2"/>
    <x v="471"/>
    <n v="95"/>
    <x v="659"/>
    <n v="20"/>
    <n v="4.75"/>
    <n v="63.333333333333329"/>
    <n v="68.083333333333329"/>
    <n v="15.821145191852203"/>
    <n v="4277.5280524632853"/>
    <s v="A"/>
  </r>
  <r>
    <x v="5"/>
    <s v="PREGOS E PARAFUSOS"/>
    <s v="REBITES"/>
    <s v="M68"/>
    <s v="CAIXA"/>
    <n v="61"/>
    <x v="213"/>
    <n v="15"/>
    <n v="10"/>
    <n v="20"/>
    <n v="1"/>
    <n v="3.0000000000000001E-3"/>
    <x v="489"/>
    <n v="350"/>
    <x v="660"/>
    <n v="25"/>
    <n v="7.1428571428571425E-2"/>
    <n v="25.071428571428573"/>
    <n v="25.142857142857146"/>
    <n v="15.80264092846992"/>
    <n v="4293.3306933917556"/>
    <s v="A"/>
  </r>
  <r>
    <x v="5"/>
    <s v="FERRAMENTAS"/>
    <s v="TRENA 8 METROS"/>
    <s v="AW2D"/>
    <s v="CAIXA"/>
    <n v="236"/>
    <x v="235"/>
    <n v="10"/>
    <n v="10"/>
    <n v="10"/>
    <n v="1"/>
    <n v="1E-3"/>
    <x v="484"/>
    <n v="90"/>
    <x v="661"/>
    <n v="20"/>
    <n v="4.5"/>
    <n v="60"/>
    <n v="64.5"/>
    <n v="15.721222169587874"/>
    <n v="4309.0519155613438"/>
    <s v="A"/>
  </r>
  <r>
    <x v="5"/>
    <s v="FERRAMENTAS"/>
    <s v="LUVAS"/>
    <s v="FL5481"/>
    <s v="CAIXA"/>
    <n v="219"/>
    <x v="231"/>
    <n v="30"/>
    <n v="25"/>
    <n v="25"/>
    <n v="2.5"/>
    <n v="1.8749999999999999E-2"/>
    <x v="471"/>
    <n v="95"/>
    <x v="662"/>
    <n v="20"/>
    <n v="4.75"/>
    <n v="63.333333333333329"/>
    <n v="68.083333333333329"/>
    <n v="15.399247986736144"/>
    <n v="4324.4511635480803"/>
    <s v="A"/>
  </r>
  <r>
    <x v="5"/>
    <s v="MATERIAL ELÉTRICO"/>
    <s v="DUCHA"/>
    <s v="7500W"/>
    <s v="SACO"/>
    <n v="411.97"/>
    <x v="222"/>
    <n v="10"/>
    <n v="15"/>
    <n v="10"/>
    <n v="2"/>
    <n v="1.5E-3"/>
    <x v="488"/>
    <n v="50"/>
    <x v="663"/>
    <n v="20"/>
    <n v="2.5"/>
    <n v="33.333333333333336"/>
    <n v="35.833333333333336"/>
    <n v="15.246402771198484"/>
    <n v="4339.6975663192788"/>
    <s v="A"/>
  </r>
  <r>
    <x v="5"/>
    <s v="MATERIAL ELÉTRICO"/>
    <s v="DISJUNTOR DR"/>
    <s v="E-07"/>
    <s v="CAIXA"/>
    <n v="500"/>
    <x v="236"/>
    <n v="15"/>
    <n v="15"/>
    <n v="25"/>
    <n v="5.6249999999999998E-3"/>
    <n v="5.6249999999999998E-3"/>
    <x v="490"/>
    <n v="40"/>
    <x v="664"/>
    <n v="20"/>
    <n v="2"/>
    <n v="26.666666666666664"/>
    <n v="28.666666666666664"/>
    <n v="14.803410705826623"/>
    <n v="4354.5009770251054"/>
    <s v="A"/>
  </r>
  <r>
    <x v="5"/>
    <s v="MATERIAL HIDRÁULICO"/>
    <s v="REGISTRO LOREN SLIM"/>
    <s v="VALVULA"/>
    <s v="CAIXA"/>
    <n v="4000"/>
    <x v="41"/>
    <n v="42"/>
    <n v="160"/>
    <n v="50"/>
    <n v="9"/>
    <n v="0.33600000000000002"/>
    <x v="491"/>
    <n v="5"/>
    <x v="664"/>
    <n v="20"/>
    <n v="0.25"/>
    <n v="3.333333333333333"/>
    <n v="3.583333333333333"/>
    <n v="14.803410705826623"/>
    <n v="4369.3043877309319"/>
    <s v="A"/>
  </r>
  <r>
    <x v="5"/>
    <s v="PREGOS E PARAFUSOS"/>
    <s v="PORCAS RECARTILHADA BAIXA"/>
    <s v="M57"/>
    <s v="CAIXA"/>
    <n v="50"/>
    <x v="213"/>
    <n v="10"/>
    <n v="15"/>
    <n v="10"/>
    <n v="1"/>
    <n v="1.5E-3"/>
    <x v="388"/>
    <n v="400"/>
    <x v="664"/>
    <n v="25"/>
    <n v="6.25E-2"/>
    <n v="25.0625"/>
    <n v="25.125"/>
    <n v="14.803410705826623"/>
    <n v="4384.1077984367585"/>
    <s v="B"/>
  </r>
  <r>
    <x v="5"/>
    <s v="MATERIAL ELÉTRICO"/>
    <s v="PRESSURIZADOR"/>
    <s v="RW9"/>
    <s v="CAIXA"/>
    <n v="499"/>
    <x v="243"/>
    <n v="50"/>
    <n v="50"/>
    <n v="50"/>
    <n v="10"/>
    <n v="0.125"/>
    <x v="76"/>
    <n v="40"/>
    <x v="665"/>
    <n v="20"/>
    <n v="2"/>
    <n v="26.666666666666664"/>
    <n v="28.666666666666664"/>
    <n v="14.773803884414969"/>
    <n v="4398.881602321173"/>
    <s v="B"/>
  </r>
  <r>
    <x v="5"/>
    <s v="MATERIAL ELÉTRICO"/>
    <s v="PRESSURIZADOR"/>
    <s v="25-PRESS"/>
    <s v="CAIXA"/>
    <n v="499"/>
    <x v="243"/>
    <n v="50"/>
    <n v="50"/>
    <n v="50"/>
    <n v="10"/>
    <n v="0.125"/>
    <x v="76"/>
    <n v="40"/>
    <x v="665"/>
    <n v="20"/>
    <n v="2"/>
    <n v="26.666666666666664"/>
    <n v="28.666666666666664"/>
    <n v="14.773803884414969"/>
    <n v="4413.6554062055875"/>
    <s v="B"/>
  </r>
  <r>
    <x v="5"/>
    <s v="MATERIAL ELÉTRICO"/>
    <s v="PRESSURIZADOR"/>
    <s v="18-PRESS"/>
    <s v="CAIXA"/>
    <n v="499"/>
    <x v="243"/>
    <n v="50"/>
    <n v="50"/>
    <n v="50"/>
    <n v="10"/>
    <n v="0.125"/>
    <x v="76"/>
    <n v="40"/>
    <x v="665"/>
    <n v="20"/>
    <n v="2"/>
    <n v="26.666666666666664"/>
    <n v="28.666666666666664"/>
    <n v="14.773803884414969"/>
    <n v="4428.429210090002"/>
    <s v="B"/>
  </r>
  <r>
    <x v="5"/>
    <s v="MATERIAL ELÉTRICO"/>
    <s v="DUCHA"/>
    <s v="2066696"/>
    <s v="SACO"/>
    <n v="399"/>
    <x v="244"/>
    <n v="10"/>
    <n v="15"/>
    <n v="10"/>
    <n v="2"/>
    <n v="1.5E-3"/>
    <x v="488"/>
    <n v="50"/>
    <x v="523"/>
    <n v="20"/>
    <n v="2.5"/>
    <n v="33.333333333333336"/>
    <n v="35.833333333333336"/>
    <n v="14.766402179062057"/>
    <n v="4443.1956122690644"/>
    <s v="B"/>
  </r>
  <r>
    <x v="5"/>
    <s v="MATERIAL HIDRÁULICO"/>
    <s v="TORNEIRA PRATA LONGA"/>
    <s v="SPOT"/>
    <s v="CAIXA"/>
    <n v="3950"/>
    <x v="41"/>
    <n v="38"/>
    <n v="25"/>
    <n v="36"/>
    <n v="35"/>
    <n v="3.4200000000000001E-2"/>
    <x v="492"/>
    <n v="5"/>
    <x v="666"/>
    <n v="20"/>
    <n v="0.25"/>
    <n v="3.333333333333333"/>
    <n v="3.583333333333333"/>
    <n v="14.61836807200379"/>
    <n v="4457.8139803410686"/>
    <s v="B"/>
  </r>
  <r>
    <x v="5"/>
    <s v="MATERIAL HIDRÁULICO"/>
    <s v="REGISTRO CROMADO TITAN"/>
    <s v="ROSQUEAVEL"/>
    <s v="CAIXA"/>
    <n v="3900"/>
    <x v="245"/>
    <n v="55"/>
    <n v="30"/>
    <n v="55"/>
    <n v="10"/>
    <n v="9.0749999999999997E-2"/>
    <x v="493"/>
    <n v="5"/>
    <x v="667"/>
    <n v="20"/>
    <n v="0.25"/>
    <n v="3.333333333333333"/>
    <n v="3.583333333333333"/>
    <n v="14.433325438180958"/>
    <n v="4472.2473057792495"/>
    <s v="B"/>
  </r>
  <r>
    <x v="5"/>
    <s v="MATERIAL HIDRÁULICO"/>
    <s v="MISTURADOR"/>
    <s v="M20"/>
    <s v="CAIXA"/>
    <n v="3829"/>
    <x v="41"/>
    <n v="60"/>
    <n v="40"/>
    <n v="62"/>
    <n v="51.9"/>
    <n v="0.14879999999999999"/>
    <x v="480"/>
    <n v="5"/>
    <x v="668"/>
    <n v="20"/>
    <n v="0.25"/>
    <n v="3.333333333333333"/>
    <n v="3.583333333333333"/>
    <n v="14.170564898152534"/>
    <n v="4486.4178706774019"/>
    <s v="B"/>
  </r>
  <r>
    <x v="5"/>
    <s v="FERRAMENTAS"/>
    <s v="LUVAS"/>
    <s v="8037"/>
    <s v="CAIXA"/>
    <n v="201"/>
    <x v="239"/>
    <n v="30"/>
    <n v="25"/>
    <n v="25"/>
    <n v="2.5"/>
    <n v="1.8749999999999999E-2"/>
    <x v="471"/>
    <n v="95"/>
    <x v="669"/>
    <n v="20"/>
    <n v="4.75"/>
    <n v="63.333333333333329"/>
    <n v="68.083333333333329"/>
    <n v="14.133556371387968"/>
    <n v="4500.5514270487902"/>
    <s v="B"/>
  </r>
  <r>
    <x v="5"/>
    <s v="MATERIAL HIDRÁULICO"/>
    <s v="MISTURADOR"/>
    <s v="M16"/>
    <s v="CAIXA"/>
    <n v="4698"/>
    <x v="222"/>
    <n v="40"/>
    <n v="50"/>
    <n v="72"/>
    <n v="25.8"/>
    <n v="0.14399999999999999"/>
    <x v="494"/>
    <n v="4"/>
    <x v="670"/>
    <n v="20"/>
    <n v="0.2"/>
    <n v="2.6666666666666665"/>
    <n v="2.8666666666666667"/>
    <n v="13.909284699194695"/>
    <n v="4514.4607117479845"/>
    <s v="B"/>
  </r>
  <r>
    <x v="5"/>
    <s v="PARA MADEIRA"/>
    <s v="ABRAÇADEIRA"/>
    <s v="BORRACHA"/>
    <s v="CAIXA"/>
    <n v="170"/>
    <x v="185"/>
    <n v="20"/>
    <n v="25"/>
    <n v="15"/>
    <n v="0.5"/>
    <n v="7.4999999999999997E-3"/>
    <x v="485"/>
    <n v="110"/>
    <x v="671"/>
    <n v="25"/>
    <n v="4.4000000000000004"/>
    <n v="91.666666666666657"/>
    <n v="96.066666666666663"/>
    <n v="13.841189009947893"/>
    <n v="4528.3019007579323"/>
    <s v="B"/>
  </r>
  <r>
    <x v="5"/>
    <s v="MATERIAL HIDRÁULICO"/>
    <s v="REGISTRO CROMADO UNIC"/>
    <s v="VALVULA"/>
    <s v="CAIXA"/>
    <n v="3700"/>
    <x v="41"/>
    <n v="35"/>
    <n v="25"/>
    <n v="33"/>
    <n v="40"/>
    <n v="2.8875000000000001E-2"/>
    <x v="495"/>
    <n v="5"/>
    <x v="672"/>
    <n v="20"/>
    <n v="0.25"/>
    <n v="3.333333333333333"/>
    <n v="3.583333333333333"/>
    <n v="13.693154902889626"/>
    <n v="4541.9950556608219"/>
    <s v="B"/>
  </r>
  <r>
    <x v="5"/>
    <s v="PREGOS E PARAFUSOS"/>
    <s v="PORCAS REDONDA COM ENTALHES "/>
    <s v="M62"/>
    <s v="CAIXA"/>
    <n v="45.5"/>
    <x v="224"/>
    <n v="10"/>
    <n v="15"/>
    <n v="10"/>
    <n v="1"/>
    <n v="1.5E-3"/>
    <x v="388"/>
    <n v="400"/>
    <x v="673"/>
    <n v="25"/>
    <n v="6.25E-2"/>
    <n v="25.0625"/>
    <n v="25.125"/>
    <n v="13.471103742302226"/>
    <n v="4555.466159403124"/>
    <s v="B"/>
  </r>
  <r>
    <x v="5"/>
    <s v="MATERIAL HIDRÁULICO"/>
    <s v="CHUVEIRO"/>
    <s v="M42"/>
    <s v="CAIXA"/>
    <n v="3599"/>
    <x v="41"/>
    <n v="105"/>
    <n v="100"/>
    <n v="40"/>
    <n v="19"/>
    <n v="0.42"/>
    <x v="466"/>
    <n v="5"/>
    <x v="674"/>
    <n v="20"/>
    <n v="0.25"/>
    <n v="3.333333333333333"/>
    <n v="3.583333333333333"/>
    <n v="13.319368782567503"/>
    <n v="4568.7855281856919"/>
    <s v="B"/>
  </r>
  <r>
    <x v="5"/>
    <s v="MATERIAL ELÉTRICO"/>
    <s v="MINI BOMBA"/>
    <s v="2039056"/>
    <s v="CAIXA"/>
    <n v="449"/>
    <x v="238"/>
    <n v="40"/>
    <n v="40"/>
    <n v="40"/>
    <n v="20"/>
    <n v="6.4000000000000001E-2"/>
    <x v="483"/>
    <n v="40"/>
    <x v="675"/>
    <n v="20"/>
    <n v="2"/>
    <n v="26.666666666666664"/>
    <n v="28.666666666666664"/>
    <n v="13.293462813832308"/>
    <n v="4582.0789909995237"/>
    <s v="B"/>
  </r>
  <r>
    <x v="5"/>
    <s v="MATERIAL HIDRÁULICO"/>
    <s v="TORNEIRA PRATA FIT"/>
    <s v="5102"/>
    <s v="CAIXA"/>
    <n v="3550"/>
    <x v="246"/>
    <n v="45"/>
    <n v="30"/>
    <n v="35"/>
    <n v="20"/>
    <n v="4.725E-2"/>
    <x v="496"/>
    <n v="5"/>
    <x v="676"/>
    <n v="20"/>
    <n v="0.25"/>
    <n v="3.333333333333333"/>
    <n v="3.583333333333333"/>
    <n v="13.138027001421127"/>
    <n v="4595.2170180009452"/>
    <s v="B"/>
  </r>
  <r>
    <x v="5"/>
    <s v="MATERIAL HIDRÁULICO"/>
    <s v="HIDRÔMETRO"/>
    <s v="59549"/>
    <s v="CAIXA"/>
    <n v="3500"/>
    <x v="247"/>
    <n v="100"/>
    <n v="100"/>
    <n v="100"/>
    <n v="48"/>
    <n v="1"/>
    <x v="76"/>
    <n v="5"/>
    <x v="677"/>
    <n v="20"/>
    <n v="0.25"/>
    <n v="3.333333333333333"/>
    <n v="3.583333333333333"/>
    <n v="12.952984367598296"/>
    <n v="4608.1700023685435"/>
    <s v="B"/>
  </r>
  <r>
    <x v="5"/>
    <s v="PREGOS E PARAFUSOS"/>
    <s v="ARRUELAS "/>
    <s v="M53"/>
    <s v="CAIXA"/>
    <n v="50"/>
    <x v="225"/>
    <n v="10"/>
    <n v="15"/>
    <n v="10"/>
    <n v="1"/>
    <n v="1.5E-3"/>
    <x v="497"/>
    <n v="350"/>
    <x v="677"/>
    <n v="25"/>
    <n v="7.1428571428571425E-2"/>
    <n v="25.071428571428573"/>
    <n v="25.142857142857146"/>
    <n v="12.952984367598296"/>
    <n v="4621.1229867361417"/>
    <s v="B"/>
  </r>
  <r>
    <x v="5"/>
    <s v="MATERIAL ELÉTRICO"/>
    <s v="DUCHA"/>
    <s v="2039242"/>
    <s v="SACO"/>
    <n v="349"/>
    <x v="244"/>
    <n v="10"/>
    <n v="15"/>
    <n v="10"/>
    <n v="2"/>
    <n v="1.5E-3"/>
    <x v="488"/>
    <n v="50"/>
    <x v="678"/>
    <n v="20"/>
    <n v="2.5"/>
    <n v="33.333333333333336"/>
    <n v="35.833333333333336"/>
    <n v="12.915975840833729"/>
    <n v="4634.0389625769758"/>
    <s v="B"/>
  </r>
  <r>
    <x v="5"/>
    <s v="PREGOS E PARAFUSOS"/>
    <s v="REBITES"/>
    <s v="M69"/>
    <s v="CAIXA"/>
    <n v="49.4"/>
    <x v="224"/>
    <n v="20"/>
    <n v="15"/>
    <n v="40"/>
    <n v="1"/>
    <n v="1.2E-2"/>
    <x v="465"/>
    <n v="350"/>
    <x v="679"/>
    <n v="25"/>
    <n v="7.1428571428571425E-2"/>
    <n v="25.071428571428573"/>
    <n v="25.142857142857146"/>
    <n v="12.797548555187115"/>
    <n v="4646.8365111321627"/>
    <s v="B"/>
  </r>
  <r>
    <x v="5"/>
    <s v="FERRAMENTAS"/>
    <s v="FERRO DE SOLDA"/>
    <s v="43752504"/>
    <s v="CAIXA"/>
    <n v="178"/>
    <x v="178"/>
    <n v="30"/>
    <n v="35"/>
    <n v="20"/>
    <n v="1.5"/>
    <n v="2.1000000000000001E-2"/>
    <x v="498"/>
    <n v="95"/>
    <x v="680"/>
    <n v="20"/>
    <n v="4.75"/>
    <n v="63.333333333333329"/>
    <n v="68.083333333333329"/>
    <n v="12.51628375177641"/>
    <n v="4659.3527948839392"/>
    <s v="B"/>
  </r>
  <r>
    <x v="5"/>
    <s v="FERRAMENTAS"/>
    <s v="LUVAS"/>
    <s v="FL5480"/>
    <s v="CAIXA"/>
    <n v="177"/>
    <x v="231"/>
    <n v="30"/>
    <n v="25"/>
    <n v="25"/>
    <n v="2.5"/>
    <n v="1.8749999999999999E-2"/>
    <x v="471"/>
    <n v="95"/>
    <x v="681"/>
    <n v="20"/>
    <n v="4.75"/>
    <n v="63.333333333333329"/>
    <n v="68.083333333333329"/>
    <n v="12.445967550923733"/>
    <n v="4671.7987624348625"/>
    <s v="B"/>
  </r>
  <r>
    <x v="5"/>
    <s v="MATERIAL ELÉTRICO"/>
    <s v="DUCHA"/>
    <s v="110523"/>
    <s v="SACO"/>
    <n v="209"/>
    <x v="222"/>
    <n v="3"/>
    <n v="40"/>
    <n v="10"/>
    <n v="2"/>
    <n v="1.1999999999999999E-3"/>
    <x v="499"/>
    <n v="80"/>
    <x v="682"/>
    <n v="20"/>
    <n v="4"/>
    <n v="53.333333333333329"/>
    <n v="57.333333333333329"/>
    <n v="12.375651350071056"/>
    <n v="4684.1744137849337"/>
    <s v="B"/>
  </r>
  <r>
    <x v="5"/>
    <s v="PREGOS E PARAFUSOS"/>
    <s v="REBITES"/>
    <s v="M75"/>
    <s v="CAIXA"/>
    <n v="47.5"/>
    <x v="18"/>
    <n v="20"/>
    <n v="15"/>
    <n v="40"/>
    <n v="1"/>
    <n v="1.2E-2"/>
    <x v="465"/>
    <n v="350"/>
    <x v="683"/>
    <n v="25"/>
    <n v="7.1428571428571425E-2"/>
    <n v="25.071428571428573"/>
    <n v="25.142857142857146"/>
    <n v="12.305335149218381"/>
    <n v="4696.4797489341518"/>
    <s v="B"/>
  </r>
  <r>
    <x v="5"/>
    <s v="FERRAMENTAS"/>
    <s v="FERRO DE SOLDA"/>
    <s v="43752505"/>
    <s v="CAIXA"/>
    <n v="174"/>
    <x v="178"/>
    <n v="30"/>
    <n v="35"/>
    <n v="20"/>
    <n v="1.5"/>
    <n v="2.1000000000000001E-2"/>
    <x v="498"/>
    <n v="95"/>
    <x v="684"/>
    <n v="20"/>
    <n v="4.75"/>
    <n v="63.333333333333329"/>
    <n v="68.083333333333329"/>
    <n v="12.235018948365704"/>
    <n v="4708.7147678825177"/>
    <s v="B"/>
  </r>
  <r>
    <x v="5"/>
    <s v="PARA MADEIRA"/>
    <s v="GANCHOS"/>
    <s v="CURVA 42"/>
    <s v="SACA/CAIXA"/>
    <n v="150"/>
    <x v="248"/>
    <n v="15"/>
    <n v="25"/>
    <n v="20"/>
    <n v="1"/>
    <n v="7.4999999999999997E-3"/>
    <x v="485"/>
    <n v="110"/>
    <x v="685"/>
    <n v="25"/>
    <n v="4.4000000000000004"/>
    <n v="91.666666666666657"/>
    <n v="96.066666666666663"/>
    <n v="12.212813832306963"/>
    <n v="4720.9275817148246"/>
    <s v="B"/>
  </r>
  <r>
    <x v="5"/>
    <s v="PARA MADEIRA"/>
    <s v="ABRAÇADEIRA"/>
    <s v="RADIAL"/>
    <s v="CAIXA"/>
    <n v="150"/>
    <x v="249"/>
    <n v="20"/>
    <n v="25"/>
    <n v="15"/>
    <n v="0.5"/>
    <n v="7.4999999999999997E-3"/>
    <x v="485"/>
    <n v="110"/>
    <x v="685"/>
    <n v="25"/>
    <n v="4.4000000000000004"/>
    <n v="91.666666666666657"/>
    <n v="96.066666666666663"/>
    <n v="12.212813832306963"/>
    <n v="4733.1403955471314"/>
    <s v="B"/>
  </r>
  <r>
    <x v="5"/>
    <s v="PREGOS E PARAFUSOS"/>
    <s v="REBITES"/>
    <s v="M70"/>
    <s v="CAIXA"/>
    <n v="46"/>
    <x v="18"/>
    <n v="15"/>
    <n v="20"/>
    <n v="10"/>
    <n v="1"/>
    <n v="3.0000000000000001E-3"/>
    <x v="489"/>
    <n v="350"/>
    <x v="686"/>
    <n v="25"/>
    <n v="7.1428571428571425E-2"/>
    <n v="25.071428571428573"/>
    <n v="25.142857142857146"/>
    <n v="11.916745618190431"/>
    <n v="4745.0571411653218"/>
    <s v="B"/>
  </r>
  <r>
    <x v="5"/>
    <s v="PREGOS E PARAFUSOS"/>
    <s v="PORCAS REDONDA COM FUROS RADICAIS"/>
    <s v="M63"/>
    <s v="CAIXA"/>
    <n v="40"/>
    <x v="224"/>
    <n v="10"/>
    <n v="15"/>
    <n v="10"/>
    <n v="1"/>
    <n v="1.5E-3"/>
    <x v="388"/>
    <n v="400"/>
    <x v="530"/>
    <n v="25"/>
    <n v="6.25E-2"/>
    <n v="25.0625"/>
    <n v="25.125"/>
    <n v="11.842728564661298"/>
    <n v="4756.899869729983"/>
    <s v="B"/>
  </r>
  <r>
    <x v="5"/>
    <s v="MATERIAL ELÉTRICO"/>
    <s v="TOMADA"/>
    <s v="RJ45 CAT"/>
    <s v="CAIXA"/>
    <n v="195"/>
    <x v="178"/>
    <n v="15"/>
    <n v="20"/>
    <n v="25"/>
    <n v="5"/>
    <n v="7.4999999999999997E-3"/>
    <x v="388"/>
    <n v="80"/>
    <x v="687"/>
    <n v="20"/>
    <n v="4"/>
    <n v="53.333333333333329"/>
    <n v="57.333333333333329"/>
    <n v="11.546660350544766"/>
    <n v="4768.4465300805277"/>
    <s v="B"/>
  </r>
  <r>
    <x v="5"/>
    <s v="MATERIAL HIDRÁULICO"/>
    <s v="TORNEIRA PRATA BRILHO "/>
    <s v="BRILHO"/>
    <s v="CAIXA"/>
    <n v="3100"/>
    <x v="245"/>
    <n v="20"/>
    <n v="36"/>
    <n v="25"/>
    <n v="20"/>
    <n v="1.7999999999999999E-2"/>
    <x v="484"/>
    <n v="5"/>
    <x v="688"/>
    <n v="20"/>
    <n v="0.25"/>
    <n v="3.333333333333333"/>
    <n v="3.583333333333333"/>
    <n v="11.472643297015633"/>
    <n v="4779.9191733775433"/>
    <s v="B"/>
  </r>
  <r>
    <x v="5"/>
    <s v="PREGOS E PARAFUSOS"/>
    <s v="REBITES"/>
    <s v="M74"/>
    <s v="CAIXA"/>
    <n v="43.2"/>
    <x v="213"/>
    <n v="20"/>
    <n v="15"/>
    <n v="20"/>
    <n v="1"/>
    <n v="6.0000000000000001E-3"/>
    <x v="466"/>
    <n v="350"/>
    <x v="689"/>
    <n v="25"/>
    <n v="7.1428571428571425E-2"/>
    <n v="25.071428571428573"/>
    <n v="25.142857142857146"/>
    <n v="11.191378493604928"/>
    <n v="4791.1105518711483"/>
    <s v="B"/>
  </r>
  <r>
    <x v="5"/>
    <s v="PREGOS E PARAFUSOS"/>
    <s v="PORCAS DOIS FUROS PARALELOS"/>
    <s v="M64"/>
    <s v="CAIXA"/>
    <n v="37.6"/>
    <x v="224"/>
    <n v="10"/>
    <n v="15"/>
    <n v="10"/>
    <n v="1"/>
    <n v="1.5E-3"/>
    <x v="388"/>
    <n v="400"/>
    <x v="690"/>
    <n v="25"/>
    <n v="6.25E-2"/>
    <n v="25.0625"/>
    <n v="25.125"/>
    <n v="11.132164850781621"/>
    <n v="4802.2427167219303"/>
    <s v="B"/>
  </r>
  <r>
    <x v="5"/>
    <s v="MATERIAL ELÉTRICO"/>
    <s v="FIO DE COBRE"/>
    <s v="B-05"/>
    <s v="ROLO"/>
    <n v="200"/>
    <x v="205"/>
    <n v="50"/>
    <n v="500"/>
    <n v="0.55000000000000004"/>
    <n v="1.375E-2"/>
    <n v="1.375E-2"/>
    <x v="500"/>
    <n v="75"/>
    <x v="691"/>
    <n v="20"/>
    <n v="3.75"/>
    <n v="50"/>
    <n v="53.75"/>
    <n v="11.102558029369968"/>
    <n v="4813.3452747513002"/>
    <s v="B"/>
  </r>
  <r>
    <x v="5"/>
    <s v="MATERIAL ELÉTRICO"/>
    <s v="DISJUNTOR A ÓLEO"/>
    <s v="E-05"/>
    <s v="CAIXA"/>
    <n v="200"/>
    <x v="236"/>
    <n v="20"/>
    <n v="25"/>
    <n v="25"/>
    <n v="1.2500000000000001E-2"/>
    <n v="1.2500000000000001E-2"/>
    <x v="501"/>
    <n v="75"/>
    <x v="691"/>
    <n v="20"/>
    <n v="3.75"/>
    <n v="50"/>
    <n v="53.75"/>
    <n v="11.102558029369968"/>
    <n v="4824.4478327806701"/>
    <s v="B"/>
  </r>
  <r>
    <x v="5"/>
    <s v="MATERIAL HIDRÁULICO"/>
    <s v="REGISTRO CROMADO BELLE"/>
    <s v="ROSQUEAVEL"/>
    <s v="CAIXA"/>
    <n v="3000"/>
    <x v="237"/>
    <n v="40"/>
    <n v="30"/>
    <n v="40"/>
    <n v="13"/>
    <n v="4.8000000000000001E-2"/>
    <x v="502"/>
    <n v="5"/>
    <x v="691"/>
    <n v="20"/>
    <n v="0.25"/>
    <n v="3.333333333333333"/>
    <n v="3.583333333333333"/>
    <n v="11.102558029369968"/>
    <n v="4835.55039081004"/>
    <s v="B"/>
  </r>
  <r>
    <x v="5"/>
    <s v="MATERIAL ELÉTRICO"/>
    <s v="DUCHA"/>
    <s v="2066700"/>
    <s v="SACO"/>
    <n v="299"/>
    <x v="244"/>
    <n v="10"/>
    <n v="15"/>
    <n v="10"/>
    <n v="2"/>
    <n v="1.5E-3"/>
    <x v="488"/>
    <n v="50"/>
    <x v="692"/>
    <n v="20"/>
    <n v="2.5"/>
    <n v="33.333333333333336"/>
    <n v="35.833333333333336"/>
    <n v="11.0655495026054"/>
    <n v="4846.6159403126458"/>
    <s v="B"/>
  </r>
  <r>
    <x v="5"/>
    <s v="MATERIAL HIDRÁULICO"/>
    <s v="REGISTRO CROMADO LOTUS"/>
    <s v="ROSQUEAVEL"/>
    <s v="CAIXA"/>
    <n v="2950"/>
    <x v="41"/>
    <n v="50"/>
    <n v="30"/>
    <n v="50"/>
    <n v="13"/>
    <n v="7.4999999999999997E-2"/>
    <x v="503"/>
    <n v="5"/>
    <x v="693"/>
    <n v="20"/>
    <n v="0.25"/>
    <n v="3.333333333333333"/>
    <n v="3.583333333333333"/>
    <n v="10.917515395547134"/>
    <n v="4857.5334557081933"/>
    <s v="B"/>
  </r>
  <r>
    <x v="5"/>
    <s v="MATERIAL HIDRÁULICO"/>
    <s v="REGISTRO CROMADO GOIA"/>
    <s v="VALVULA"/>
    <s v="CAIXA"/>
    <n v="2900"/>
    <x v="250"/>
    <n v="75"/>
    <n v="20"/>
    <n v="30"/>
    <n v="18"/>
    <n v="4.4999999999999998E-2"/>
    <x v="490"/>
    <n v="5"/>
    <x v="533"/>
    <n v="20"/>
    <n v="0.25"/>
    <n v="3.333333333333333"/>
    <n v="3.583333333333333"/>
    <n v="10.732472761724301"/>
    <n v="4868.2659284699175"/>
    <s v="B"/>
  </r>
  <r>
    <x v="5"/>
    <s v="MATERIAL ELÉTRICO"/>
    <s v="DISJUNTOR A GÁS"/>
    <s v="E-08"/>
    <s v="CAIXA"/>
    <n v="400"/>
    <x v="236"/>
    <n v="15"/>
    <n v="20"/>
    <n v="35"/>
    <n v="1.0500000000000001E-2"/>
    <n v="1.0500000000000001E-2"/>
    <x v="279"/>
    <n v="36"/>
    <x v="239"/>
    <n v="20"/>
    <n v="1.8"/>
    <n v="24"/>
    <n v="25.8"/>
    <n v="10.658455708195168"/>
    <n v="4878.9243841781126"/>
    <s v="B"/>
  </r>
  <r>
    <x v="5"/>
    <s v="MATERIAL ELÉTRICO"/>
    <s v="CAIXA DE PASSAGEM ELÉTRICA DE PAREDE CPT 40 - EMBUTIR"/>
    <s v="F-04"/>
    <s v="CAIXA"/>
    <n v="180"/>
    <x v="212"/>
    <n v="20"/>
    <n v="20"/>
    <n v="7"/>
    <n v="2.8E-3"/>
    <n v="2.8E-3"/>
    <x v="504"/>
    <n v="80"/>
    <x v="239"/>
    <n v="20"/>
    <n v="4"/>
    <n v="53.333333333333329"/>
    <n v="57.333333333333329"/>
    <n v="10.658455708195168"/>
    <n v="4889.5828398863077"/>
    <s v="B"/>
  </r>
  <r>
    <x v="5"/>
    <s v="PREGOS E PARAFUSOS"/>
    <s v="ARRUELAS "/>
    <s v="M54"/>
    <s v="CAIXA"/>
    <n v="41"/>
    <x v="225"/>
    <n v="10"/>
    <n v="15"/>
    <n v="10"/>
    <n v="1"/>
    <n v="1.5E-3"/>
    <x v="497"/>
    <n v="350"/>
    <x v="694"/>
    <n v="25"/>
    <n v="7.1428571428571425E-2"/>
    <n v="25.071428571428573"/>
    <n v="25.142857142857146"/>
    <n v="10.621447181430602"/>
    <n v="4900.2042870677387"/>
    <s v="B"/>
  </r>
  <r>
    <x v="5"/>
    <s v="MATERIAL ELÉTRICO"/>
    <s v="DISJUNTOR TERMO-MAGNÉTICO"/>
    <s v="E-03"/>
    <s v="CAIXA"/>
    <n v="150"/>
    <x v="236"/>
    <n v="30"/>
    <n v="24"/>
    <n v="30"/>
    <n v="2.1600000000000001E-2"/>
    <n v="2.1600000000000001E-2"/>
    <x v="505"/>
    <n v="95"/>
    <x v="695"/>
    <n v="20"/>
    <n v="4.75"/>
    <n v="63.333333333333329"/>
    <n v="68.083333333333329"/>
    <n v="10.547430127901469"/>
    <n v="4910.7517171956406"/>
    <s v="B"/>
  </r>
  <r>
    <x v="5"/>
    <s v="MATERIAL ELÉTRICO"/>
    <s v="FIO DE COBRE"/>
    <s v="B-04"/>
    <s v="ROLO"/>
    <n v="150"/>
    <x v="205"/>
    <n v="75"/>
    <n v="475"/>
    <n v="0.5"/>
    <n v="1.7812499999999998E-2"/>
    <n v="1.7812499999999998E-2"/>
    <x v="506"/>
    <n v="95"/>
    <x v="695"/>
    <n v="20"/>
    <n v="4.75"/>
    <n v="63.333333333333329"/>
    <n v="68.083333333333329"/>
    <n v="10.547430127901469"/>
    <n v="4921.2991473235425"/>
    <s v="B"/>
  </r>
  <r>
    <x v="5"/>
    <s v="PREGOS E PARAFUSOS"/>
    <s v="REBITES"/>
    <s v="M66"/>
    <s v="CAIXA"/>
    <n v="40"/>
    <x v="213"/>
    <n v="20"/>
    <n v="15"/>
    <n v="40"/>
    <n v="1"/>
    <n v="1.2E-2"/>
    <x v="465"/>
    <n v="350"/>
    <x v="240"/>
    <n v="25"/>
    <n v="7.1428571428571425E-2"/>
    <n v="25.071428571428573"/>
    <n v="25.142857142857146"/>
    <n v="10.362387494078636"/>
    <n v="4931.661534817621"/>
    <s v="B"/>
  </r>
  <r>
    <x v="5"/>
    <s v="FERRAMENTAS"/>
    <s v="LUVAS"/>
    <s v="FL5478"/>
    <s v="CAIXA"/>
    <n v="147"/>
    <x v="231"/>
    <n v="30"/>
    <n v="25"/>
    <n v="25"/>
    <n v="2.5"/>
    <n v="1.8749999999999999E-2"/>
    <x v="471"/>
    <n v="95"/>
    <x v="696"/>
    <n v="20"/>
    <n v="4.75"/>
    <n v="63.333333333333329"/>
    <n v="68.083333333333329"/>
    <n v="10.336481525343439"/>
    <n v="4941.9980163429645"/>
    <s v="B"/>
  </r>
  <r>
    <x v="5"/>
    <s v="MATERIAL ELÉTRICO"/>
    <s v="DUCHA"/>
    <s v="2039228"/>
    <s v="SACO"/>
    <n v="349"/>
    <x v="244"/>
    <n v="10"/>
    <n v="15"/>
    <n v="10"/>
    <n v="2"/>
    <n v="1.5E-3"/>
    <x v="507"/>
    <n v="40"/>
    <x v="697"/>
    <n v="20"/>
    <n v="2"/>
    <n v="26.666666666666664"/>
    <n v="28.666666666666664"/>
    <n v="10.332780672666983"/>
    <n v="4952.3307970156311"/>
    <s v="B"/>
  </r>
  <r>
    <x v="5"/>
    <s v="MATERIAL ELÉTRICO"/>
    <s v="CAIXA DE PASSAGEM ELÉTRICA DE PAREDE CPT 30 - EMBUTIR"/>
    <s v="F-08"/>
    <s v="CAIXA"/>
    <n v="173"/>
    <x v="212"/>
    <n v="23"/>
    <n v="23"/>
    <n v="8.5"/>
    <n v="4.4964999999999996E-3"/>
    <n v="4.4964999999999996E-3"/>
    <x v="508"/>
    <n v="80"/>
    <x v="698"/>
    <n v="20"/>
    <n v="4"/>
    <n v="53.333333333333329"/>
    <n v="57.333333333333329"/>
    <n v="10.243960208432023"/>
    <n v="4962.5747572240634"/>
    <s v="B"/>
  </r>
  <r>
    <x v="5"/>
    <s v="MATERIAL HIDRÁULICO"/>
    <s v="VALVULA PARA LAVATORIO"/>
    <s v="M65"/>
    <s v="CAIXA"/>
    <n v="2727"/>
    <x v="41"/>
    <n v="25"/>
    <n v="18"/>
    <n v="6"/>
    <n v="1.08"/>
    <n v="2.7000000000000001E-3"/>
    <x v="509"/>
    <n v="5"/>
    <x v="699"/>
    <n v="20"/>
    <n v="0.25"/>
    <n v="3.333333333333333"/>
    <n v="3.583333333333333"/>
    <n v="10.0922252486973"/>
    <n v="4972.6669824727605"/>
    <s v="B"/>
  </r>
  <r>
    <x v="5"/>
    <s v="MATERIAL HIDRÁULICO"/>
    <s v="REGISTRO KIRA"/>
    <s v="ROSQUEAVEL"/>
    <s v="CAIXA"/>
    <n v="2700"/>
    <x v="245"/>
    <n v="18"/>
    <n v="30"/>
    <n v="30"/>
    <n v="44"/>
    <n v="1.6199999999999999E-2"/>
    <x v="510"/>
    <n v="5"/>
    <x v="700"/>
    <n v="20"/>
    <n v="0.25"/>
    <n v="3.333333333333333"/>
    <n v="3.583333333333333"/>
    <n v="9.9923022264329706"/>
    <n v="4982.6592846991934"/>
    <s v="B"/>
  </r>
  <r>
    <x v="5"/>
    <s v="MATERIAL HIDRÁULICO"/>
    <s v="REGISTRO CROMADO DREAM"/>
    <s v="ROSQUEAVEL"/>
    <s v="CAIXA"/>
    <n v="2700"/>
    <x v="41"/>
    <n v="50"/>
    <n v="20"/>
    <n v="30"/>
    <n v="36"/>
    <n v="0.03"/>
    <x v="77"/>
    <n v="5"/>
    <x v="700"/>
    <n v="20"/>
    <n v="0.25"/>
    <n v="3.333333333333333"/>
    <n v="3.583333333333333"/>
    <n v="9.9923022264329706"/>
    <n v="4992.6515869256264"/>
    <s v="B"/>
  </r>
  <r>
    <x v="5"/>
    <s v="MATERIAL HIDRÁULICO"/>
    <s v="REGISTRO CROMADO CIRCULAR"/>
    <s v="VALVULA"/>
    <s v="CAIXA"/>
    <n v="2700"/>
    <x v="245"/>
    <n v="45"/>
    <n v="25"/>
    <n v="50"/>
    <n v="9"/>
    <n v="5.6250000000000001E-2"/>
    <x v="511"/>
    <n v="5"/>
    <x v="700"/>
    <n v="20"/>
    <n v="0.25"/>
    <n v="3.333333333333333"/>
    <n v="3.583333333333333"/>
    <n v="9.9923022264329706"/>
    <n v="5002.6438891520593"/>
    <s v="B"/>
  </r>
  <r>
    <x v="5"/>
    <s v="MATERIAL HIDRÁULICO"/>
    <s v="MISTURADOR"/>
    <s v="M21"/>
    <s v="CAIXA"/>
    <n v="2669"/>
    <x v="41"/>
    <n v="60"/>
    <n v="40"/>
    <n v="62"/>
    <n v="51.9"/>
    <n v="0.14879999999999999"/>
    <x v="480"/>
    <n v="5"/>
    <x v="701"/>
    <n v="20"/>
    <n v="0.25"/>
    <n v="3.333333333333333"/>
    <n v="3.583333333333333"/>
    <n v="9.8775757934628139"/>
    <n v="5012.521464945522"/>
    <s v="B"/>
  </r>
  <r>
    <x v="5"/>
    <s v="MATERIAL ELÉTRICO"/>
    <s v="DISJUNTOR DE POTÊNCIA "/>
    <s v="E-02"/>
    <s v="CAIXA"/>
    <n v="140"/>
    <x v="236"/>
    <n v="25"/>
    <n v="24"/>
    <n v="30"/>
    <n v="1.7999999999999999E-2"/>
    <n v="1.7999999999999999E-2"/>
    <x v="88"/>
    <n v="95"/>
    <x v="702"/>
    <n v="20"/>
    <n v="4.75"/>
    <n v="63.333333333333329"/>
    <n v="68.083333333333329"/>
    <n v="9.8442681193747035"/>
    <n v="5022.3657330648966"/>
    <s v="B"/>
  </r>
  <r>
    <x v="5"/>
    <s v="PREGOS E PARAFUSOS"/>
    <s v="REBITES"/>
    <s v="M73"/>
    <s v="CAIXA"/>
    <n v="38"/>
    <x v="224"/>
    <n v="10"/>
    <n v="15"/>
    <n v="10"/>
    <n v="1"/>
    <n v="1.5E-3"/>
    <x v="497"/>
    <n v="350"/>
    <x v="702"/>
    <n v="25"/>
    <n v="7.1428571428571425E-2"/>
    <n v="25.071428571428573"/>
    <n v="25.142857142857146"/>
    <n v="9.8442681193747035"/>
    <n v="5032.2100011842713"/>
    <s v="B"/>
  </r>
  <r>
    <x v="5"/>
    <s v="MATERIAL HIDRÁULICO"/>
    <s v="TORNEIRA TEMPORIZADORA"/>
    <s v="170B"/>
    <s v="CAIXA"/>
    <n v="2600"/>
    <x v="41"/>
    <n v="62"/>
    <n v="30"/>
    <n v="62"/>
    <n v="77"/>
    <n v="0.11532000000000001"/>
    <x v="512"/>
    <n v="5"/>
    <x v="703"/>
    <n v="20"/>
    <n v="0.25"/>
    <n v="3.333333333333333"/>
    <n v="3.583333333333333"/>
    <n v="9.6222169587873054"/>
    <n v="5041.8322181430585"/>
    <s v="B"/>
  </r>
  <r>
    <x v="5"/>
    <s v="MATERIAL HIDRÁULICO"/>
    <s v="REGISTRO PLITO"/>
    <s v="ROSQUEAVEL"/>
    <s v="CAIXA"/>
    <n v="2600"/>
    <x v="41"/>
    <n v="50"/>
    <n v="25"/>
    <n v="60"/>
    <n v="48"/>
    <n v="7.4999999999999997E-2"/>
    <x v="503"/>
    <n v="5"/>
    <x v="703"/>
    <n v="20"/>
    <n v="0.25"/>
    <n v="3.333333333333333"/>
    <n v="3.583333333333333"/>
    <n v="9.6222169587873054"/>
    <n v="5051.4544351018458"/>
    <s v="B"/>
  </r>
  <r>
    <x v="5"/>
    <s v="MATERIAL HIDRÁULICO"/>
    <s v="REGISTRO DE GAVETA ROMADO BELLA"/>
    <s v="ROSQUEAVEL"/>
    <s v="CAIXA"/>
    <n v="2600"/>
    <x v="41"/>
    <n v="30"/>
    <n v="30"/>
    <n v="30"/>
    <n v="15"/>
    <n v="2.7E-2"/>
    <x v="513"/>
    <n v="5"/>
    <x v="703"/>
    <n v="20"/>
    <n v="0.25"/>
    <n v="3.333333333333333"/>
    <n v="3.583333333333333"/>
    <n v="9.6222169587873054"/>
    <n v="5061.076652060633"/>
    <s v="B"/>
  </r>
  <r>
    <x v="5"/>
    <s v="MATERIAL ELÉTRICO"/>
    <s v="PRESSURIZADOR"/>
    <s v="PL9"/>
    <s v="CAIXA"/>
    <n v="324.89999999999998"/>
    <x v="222"/>
    <n v="50"/>
    <n v="50"/>
    <n v="50"/>
    <n v="10"/>
    <n v="0.125"/>
    <x v="76"/>
    <n v="40"/>
    <x v="704"/>
    <n v="20"/>
    <n v="2"/>
    <n v="26.666666666666664"/>
    <n v="28.666666666666664"/>
    <n v="9.6192562766461389"/>
    <n v="5070.6959083372794"/>
    <s v="B"/>
  </r>
  <r>
    <x v="5"/>
    <s v="MATERIAL ELÉTRICO"/>
    <s v="DISJUNTOR A SOPRO MAGNÉTICO"/>
    <s v="E-04"/>
    <s v="CAIXA"/>
    <n v="135"/>
    <x v="236"/>
    <n v="25"/>
    <n v="30"/>
    <n v="25"/>
    <n v="1.8749999999999999E-2"/>
    <n v="1.8749999999999999E-2"/>
    <x v="471"/>
    <n v="95"/>
    <x v="705"/>
    <n v="20"/>
    <n v="4.75"/>
    <n v="63.333333333333329"/>
    <n v="68.083333333333329"/>
    <n v="9.4926871151113215"/>
    <n v="5080.1885954523905"/>
    <s v="B"/>
  </r>
  <r>
    <x v="5"/>
    <s v="PREGOS E PARAFUSOS"/>
    <s v="ARRUELAS DE PLÁSTICO"/>
    <s v="M49"/>
    <s v="CAIXA"/>
    <n v="35.4"/>
    <x v="225"/>
    <n v="10"/>
    <n v="15"/>
    <n v="10"/>
    <n v="1"/>
    <n v="1.5E-3"/>
    <x v="497"/>
    <n v="350"/>
    <x v="706"/>
    <n v="25"/>
    <n v="7.1428571428571425E-2"/>
    <n v="25.071428571428573"/>
    <n v="25.142857142857146"/>
    <n v="9.1707129322595922"/>
    <n v="5089.3593083846499"/>
    <s v="B"/>
  </r>
  <r>
    <x v="5"/>
    <s v="MATERIAL HIDRÁULICO"/>
    <s v="VALVULA PARA DESCARGA"/>
    <s v="M71"/>
    <s v="CAIXA"/>
    <n v="2427"/>
    <x v="251"/>
    <n v="5"/>
    <n v="3"/>
    <n v="8"/>
    <n v="28.05"/>
    <n v="1.2E-4"/>
    <x v="514"/>
    <n v="5"/>
    <x v="707"/>
    <n v="20"/>
    <n v="0.25"/>
    <n v="3.333333333333333"/>
    <n v="3.583333333333333"/>
    <n v="8.9819694457603028"/>
    <n v="5098.34127783041"/>
    <s v="B"/>
  </r>
  <r>
    <x v="5"/>
    <s v="MATERIAL ELÉTRICO"/>
    <s v="CAIXA DE PASSAGEM ELÉTRICA DE PAREDE CPT 30 - SOBREPOR"/>
    <s v="F-09"/>
    <s v="CAIXA"/>
    <n v="150.5"/>
    <x v="212"/>
    <n v="25"/>
    <n v="25"/>
    <n v="7"/>
    <n v="4.3750000000000004E-3"/>
    <n v="4.3750000000000004E-3"/>
    <x v="515"/>
    <n v="80"/>
    <x v="708"/>
    <n v="20"/>
    <n v="4"/>
    <n v="53.333333333333329"/>
    <n v="57.333333333333329"/>
    <n v="8.9116532449076278"/>
    <n v="5107.252931075318"/>
    <s v="B"/>
  </r>
  <r>
    <x v="5"/>
    <s v="FERRAMENTAS"/>
    <s v="FERRO DE SOLDA"/>
    <s v="43752503"/>
    <s v="CAIXA"/>
    <n v="240"/>
    <x v="178"/>
    <n v="30"/>
    <n v="35"/>
    <n v="20"/>
    <n v="1.5"/>
    <n v="2.1000000000000001E-2"/>
    <x v="489"/>
    <n v="50"/>
    <x v="538"/>
    <n v="20"/>
    <n v="2.5"/>
    <n v="33.333333333333336"/>
    <n v="35.833333333333336"/>
    <n v="8.8820464234959733"/>
    <n v="5116.1349774988139"/>
    <s v="B"/>
  </r>
  <r>
    <x v="5"/>
    <s v="MATERIAL ELÉTRICO"/>
    <s v="TOMADA"/>
    <s v="RJ45 CAT"/>
    <s v="CAIXA"/>
    <n v="150"/>
    <x v="178"/>
    <n v="15"/>
    <n v="20"/>
    <n v="25"/>
    <n v="4"/>
    <n v="7.4999999999999997E-3"/>
    <x v="388"/>
    <n v="80"/>
    <x v="538"/>
    <n v="20"/>
    <n v="4"/>
    <n v="53.333333333333329"/>
    <n v="57.333333333333329"/>
    <n v="8.8820464234959733"/>
    <n v="5125.0170239223098"/>
    <s v="B"/>
  </r>
  <r>
    <x v="5"/>
    <s v="MATERIAL ELÉTRICO"/>
    <s v="CAIXA DE PASSAGEM ELÉTRICA DE PISO"/>
    <s v="F-01"/>
    <s v="CAIXA"/>
    <n v="150"/>
    <x v="212"/>
    <n v="24"/>
    <n v="25"/>
    <n v="8.5"/>
    <n v="5.1000000000000004E-3"/>
    <n v="5.1000000000000004E-3"/>
    <x v="516"/>
    <n v="80"/>
    <x v="538"/>
    <n v="20"/>
    <n v="4"/>
    <n v="53.333333333333329"/>
    <n v="57.333333333333329"/>
    <n v="8.8820464234959733"/>
    <n v="5133.8990703458057"/>
    <s v="B"/>
  </r>
  <r>
    <x v="5"/>
    <s v="MATERIAL ELÉTRICO"/>
    <s v="CAIXA DE PASSAGEM ELÉTRICA DE PAREDE CPT 15 - EMBUTIR"/>
    <s v="F-06"/>
    <s v="CAIXA"/>
    <n v="150"/>
    <x v="212"/>
    <n v="25"/>
    <n v="25"/>
    <n v="6.5"/>
    <n v="4.0625000000000001E-3"/>
    <n v="4.0625000000000001E-3"/>
    <x v="517"/>
    <n v="80"/>
    <x v="538"/>
    <n v="20"/>
    <n v="4"/>
    <n v="53.333333333333329"/>
    <n v="57.333333333333329"/>
    <n v="8.8820464234959733"/>
    <n v="5142.7811167693017"/>
    <s v="B"/>
  </r>
  <r>
    <x v="5"/>
    <s v="PREGOS E PARAFUSOS"/>
    <s v="PORCAS CEGA ALTA"/>
    <s v="M60"/>
    <s v="CAIXA"/>
    <n v="30"/>
    <x v="224"/>
    <n v="10"/>
    <n v="15"/>
    <n v="10"/>
    <n v="1"/>
    <n v="1.5E-3"/>
    <x v="388"/>
    <n v="400"/>
    <x v="538"/>
    <n v="25"/>
    <n v="6.25E-2"/>
    <n v="25.0625"/>
    <n v="25.125"/>
    <n v="8.8820464234959733"/>
    <n v="5151.6631631927976"/>
    <s v="B"/>
  </r>
  <r>
    <x v="5"/>
    <s v="PREGOS E PARAFUSOS"/>
    <s v="ARRUELAS "/>
    <s v="M55"/>
    <s v="CAIXA"/>
    <n v="29.9"/>
    <x v="225"/>
    <n v="10"/>
    <n v="15"/>
    <n v="10"/>
    <n v="1"/>
    <n v="1.5E-3"/>
    <x v="388"/>
    <n v="400"/>
    <x v="709"/>
    <n v="25"/>
    <n v="6.25E-2"/>
    <n v="25.0625"/>
    <n v="25.125"/>
    <n v="8.8524396020843206"/>
    <n v="5160.5156027948815"/>
    <s v="B"/>
  </r>
  <r>
    <x v="5"/>
    <s v="MATERIAL HIDRÁULICO"/>
    <s v="CHUVEIRO"/>
    <s v="M39"/>
    <s v="CAIXA"/>
    <n v="2359"/>
    <x v="222"/>
    <n v="55"/>
    <n v="115"/>
    <n v="49"/>
    <n v="10.5"/>
    <n v="0.30992500000000001"/>
    <x v="518"/>
    <n v="5"/>
    <x v="710"/>
    <n v="20"/>
    <n v="0.25"/>
    <n v="3.333333333333333"/>
    <n v="3.583333333333333"/>
    <n v="8.7303114637612502"/>
    <n v="5169.2459142586431"/>
    <s v="B"/>
  </r>
  <r>
    <x v="5"/>
    <s v="MATERIAL ELÉTRICO"/>
    <s v="TOMADA"/>
    <s v="RJ45 CAT"/>
    <s v="CAIXA"/>
    <n v="147"/>
    <x v="178"/>
    <n v="15"/>
    <n v="20"/>
    <n v="25"/>
    <n v="5"/>
    <n v="7.4999999999999997E-3"/>
    <x v="388"/>
    <n v="80"/>
    <x v="711"/>
    <n v="20"/>
    <n v="4"/>
    <n v="53.333333333333329"/>
    <n v="57.333333333333329"/>
    <n v="8.7044054950260534"/>
    <n v="5177.9503197536687"/>
    <s v="B"/>
  </r>
  <r>
    <x v="5"/>
    <s v="MATERIAL HIDRÁULICO"/>
    <s v="VALVULA PARA DESCARGA"/>
    <s v="M72"/>
    <s v="CAIXA"/>
    <n v="2307"/>
    <x v="251"/>
    <n v="5"/>
    <n v="3"/>
    <n v="4"/>
    <n v="30.6"/>
    <n v="6.0000000000000002E-5"/>
    <x v="519"/>
    <n v="5"/>
    <x v="712"/>
    <n v="20"/>
    <n v="0.25"/>
    <n v="3.333333333333333"/>
    <n v="3.583333333333333"/>
    <n v="8.5378671245855049"/>
    <n v="5186.4881868782541"/>
    <s v="B"/>
  </r>
  <r>
    <x v="5"/>
    <s v="MATERIAL HIDRÁULICO"/>
    <s v="TORNEIRA C33 PRATA LUCO"/>
    <s v="219455"/>
    <s v="CAIXA"/>
    <n v="2255"/>
    <x v="246"/>
    <n v="45"/>
    <n v="30"/>
    <n v="40"/>
    <n v="17"/>
    <n v="5.3999999999999999E-2"/>
    <x v="141"/>
    <n v="5"/>
    <x v="713"/>
    <n v="20"/>
    <n v="0.25"/>
    <n v="3.333333333333333"/>
    <n v="3.583333333333333"/>
    <n v="8.3454227854097578"/>
    <n v="5194.833609663664"/>
    <s v="B"/>
  </r>
  <r>
    <x v="5"/>
    <s v="PREGOS E PARAFUSOS"/>
    <s v="PORCAS REDONDA COM FENDA"/>
    <s v="M61"/>
    <s v="CAIXA"/>
    <n v="27.9"/>
    <x v="224"/>
    <n v="10"/>
    <n v="15"/>
    <n v="10"/>
    <n v="1"/>
    <n v="1.5E-3"/>
    <x v="388"/>
    <n v="400"/>
    <x v="714"/>
    <n v="25"/>
    <n v="6.25E-2"/>
    <n v="25.0625"/>
    <n v="25.125"/>
    <n v="8.2603031738512556"/>
    <n v="5203.0939128375148"/>
    <s v="B"/>
  </r>
  <r>
    <x v="5"/>
    <s v="MATERIAL HIDRÁULICO"/>
    <s v="TUBO LIGAÇÃO"/>
    <s v="M73"/>
    <s v="CAIXA"/>
    <n v="2217"/>
    <x v="41"/>
    <n v="110"/>
    <n v="150"/>
    <n v="100"/>
    <n v="13.5"/>
    <n v="1.65"/>
    <x v="520"/>
    <n v="5"/>
    <x v="715"/>
    <n v="20"/>
    <n v="0.25"/>
    <n v="3.333333333333333"/>
    <n v="3.583333333333333"/>
    <n v="8.2047903837044061"/>
    <n v="5211.2987032212195"/>
    <s v="B"/>
  </r>
  <r>
    <x v="5"/>
    <s v="MATERIAL ELÉTRICO"/>
    <s v="TOMADA"/>
    <s v="RJ45 CAT"/>
    <s v="CAIXA"/>
    <n v="137.69999999999999"/>
    <x v="178"/>
    <n v="15"/>
    <n v="20"/>
    <n v="25"/>
    <n v="4"/>
    <n v="7.4999999999999997E-3"/>
    <x v="388"/>
    <n v="80"/>
    <x v="716"/>
    <n v="20"/>
    <n v="4"/>
    <n v="53.333333333333329"/>
    <n v="57.333333333333329"/>
    <n v="8.1537186167693037"/>
    <n v="5219.4524218379884"/>
    <s v="B"/>
  </r>
  <r>
    <x v="5"/>
    <s v="PARA MADEIRA"/>
    <s v="GANCHOS"/>
    <s v="INOX"/>
    <s v="SACA/CAIXA"/>
    <n v="100"/>
    <x v="248"/>
    <n v="15"/>
    <n v="25"/>
    <n v="20"/>
    <n v="1"/>
    <n v="7.4999999999999997E-3"/>
    <x v="485"/>
    <n v="110"/>
    <x v="717"/>
    <n v="25"/>
    <n v="4.4000000000000004"/>
    <n v="91.666666666666657"/>
    <n v="96.066666666666663"/>
    <n v="8.1418758882046429"/>
    <n v="5227.594297726193"/>
    <s v="B"/>
  </r>
  <r>
    <x v="5"/>
    <s v="PARA MADEIRA"/>
    <s v="ABRAÇADEIRA"/>
    <s v="FLEXIL JET"/>
    <s v="CAIXA"/>
    <n v="100"/>
    <x v="252"/>
    <n v="20"/>
    <n v="25"/>
    <n v="15"/>
    <n v="0.5"/>
    <n v="7.4999999999999997E-3"/>
    <x v="485"/>
    <n v="110"/>
    <x v="717"/>
    <n v="25"/>
    <n v="4.4000000000000004"/>
    <n v="91.666666666666657"/>
    <n v="96.066666666666663"/>
    <n v="8.1418758882046429"/>
    <n v="5235.7361736143976"/>
    <s v="B"/>
  </r>
  <r>
    <x v="5"/>
    <s v="PARA MADEIRA"/>
    <s v="ABRAÇADEIRA"/>
    <s v="MANGOTINHO"/>
    <s v="CAIXA"/>
    <n v="100"/>
    <x v="252"/>
    <n v="20"/>
    <n v="25"/>
    <n v="15"/>
    <n v="0.5"/>
    <n v="7.4999999999999997E-3"/>
    <x v="485"/>
    <n v="110"/>
    <x v="717"/>
    <n v="25"/>
    <n v="4.4000000000000004"/>
    <n v="91.666666666666657"/>
    <n v="96.066666666666663"/>
    <n v="8.1418758882046429"/>
    <n v="5243.8780495026022"/>
    <s v="B"/>
  </r>
  <r>
    <x v="5"/>
    <s v="FERRAMENTAS"/>
    <s v="FERRO DE SOLDA"/>
    <s v="43752502"/>
    <s v="CAIXA"/>
    <n v="218"/>
    <x v="178"/>
    <n v="30"/>
    <n v="35"/>
    <n v="20"/>
    <n v="1.5"/>
    <n v="2.1000000000000001E-2"/>
    <x v="489"/>
    <n v="50"/>
    <x v="718"/>
    <n v="20"/>
    <n v="2.5"/>
    <n v="33.333333333333336"/>
    <n v="35.833333333333336"/>
    <n v="8.0678588346755102"/>
    <n v="5251.9459083372776"/>
    <s v="B"/>
  </r>
  <r>
    <x v="5"/>
    <s v="FERRAMENTAS"/>
    <s v="PULVERIZADOR AGRÍCOLA AMARELO"/>
    <s v="493"/>
    <s v="CAIXA"/>
    <n v="98.6"/>
    <x v="253"/>
    <n v="60"/>
    <n v="80"/>
    <n v="15"/>
    <n v="1"/>
    <n v="7.1999999999999995E-2"/>
    <x v="521"/>
    <n v="110"/>
    <x v="719"/>
    <n v="20"/>
    <n v="5.5"/>
    <n v="73.333333333333329"/>
    <n v="78.833333333333329"/>
    <n v="8.0278896257697774"/>
    <n v="5259.9737979630472"/>
    <s v="B"/>
  </r>
  <r>
    <x v="5"/>
    <s v="FERRAMENTAS"/>
    <s v="PULVERIZADOR AGRÍCOLA BRANCO"/>
    <s v="493"/>
    <s v="CAIXA"/>
    <n v="98.6"/>
    <x v="253"/>
    <n v="60"/>
    <n v="80"/>
    <n v="15"/>
    <n v="1"/>
    <n v="7.1999999999999995E-2"/>
    <x v="521"/>
    <n v="110"/>
    <x v="719"/>
    <n v="20"/>
    <n v="5.5"/>
    <n v="73.333333333333329"/>
    <n v="78.833333333333329"/>
    <n v="8.0278896257697774"/>
    <n v="5268.0016875888168"/>
    <s v="B"/>
  </r>
  <r>
    <x v="5"/>
    <s v="MATERIAL ELÉTRICO"/>
    <s v="TOMADA"/>
    <s v="MODENA"/>
    <s v="CAIXA"/>
    <n v="135"/>
    <x v="254"/>
    <n v="15"/>
    <n v="20"/>
    <n v="25"/>
    <n v="5"/>
    <n v="7.4999999999999997E-3"/>
    <x v="388"/>
    <n v="80"/>
    <x v="720"/>
    <n v="20"/>
    <n v="4"/>
    <n v="53.333333333333329"/>
    <n v="57.333333333333329"/>
    <n v="7.9938417811463767"/>
    <n v="5275.9955293699632"/>
    <s v="B"/>
  </r>
  <r>
    <x v="5"/>
    <s v="MATERIAL ELÉTRICO"/>
    <s v="DUCHA"/>
    <s v="101297"/>
    <s v="SACO"/>
    <n v="131.9"/>
    <x v="255"/>
    <n v="10"/>
    <n v="15"/>
    <n v="10"/>
    <n v="2"/>
    <n v="1.5E-3"/>
    <x v="481"/>
    <n v="80"/>
    <x v="721"/>
    <n v="20"/>
    <n v="4"/>
    <n v="53.333333333333329"/>
    <n v="57.333333333333329"/>
    <n v="7.8102794883941264"/>
    <n v="5283.8058088583575"/>
    <s v="B"/>
  </r>
  <r>
    <x v="5"/>
    <s v="MATERIAL HIDRÁULICO"/>
    <s v="TORNEIRA PRATA SMAL"/>
    <s v="A3"/>
    <s v="CAIXA"/>
    <n v="2100"/>
    <x v="237"/>
    <n v="40"/>
    <n v="20"/>
    <n v="40"/>
    <n v="20"/>
    <n v="3.2000000000000001E-2"/>
    <x v="423"/>
    <n v="5"/>
    <x v="404"/>
    <n v="20"/>
    <n v="0.25"/>
    <n v="3.333333333333333"/>
    <n v="3.583333333333333"/>
    <n v="7.7717906205589768"/>
    <n v="5291.5775994789165"/>
    <s v="B"/>
  </r>
  <r>
    <x v="5"/>
    <s v="MATERIAL HIDRÁULICO"/>
    <s v="TORNEIRA PRATA SEML "/>
    <s v="A3"/>
    <s v="CAIXA"/>
    <n v="2100"/>
    <x v="237"/>
    <n v="40"/>
    <n v="25"/>
    <n v="40"/>
    <n v="20"/>
    <n v="0.04"/>
    <x v="477"/>
    <n v="5"/>
    <x v="404"/>
    <n v="20"/>
    <n v="0.25"/>
    <n v="3.333333333333333"/>
    <n v="3.583333333333333"/>
    <n v="7.7717906205589768"/>
    <n v="5299.3493900994754"/>
    <s v="B"/>
  </r>
  <r>
    <x v="5"/>
    <s v="PREGOS E PARAFUSOS"/>
    <s v="PREGOS TOPOGRÁFICO"/>
    <s v="M18"/>
    <s v="CAIXA"/>
    <n v="30"/>
    <x v="226"/>
    <n v="20"/>
    <n v="15"/>
    <n v="20"/>
    <n v="1"/>
    <n v="6.0000000000000001E-3"/>
    <x v="466"/>
    <n v="350"/>
    <x v="404"/>
    <n v="25"/>
    <n v="7.1428571428571425E-2"/>
    <n v="25.071428571428573"/>
    <n v="25.142857142857146"/>
    <n v="7.7717906205589768"/>
    <n v="5307.1211807200343"/>
    <s v="B"/>
  </r>
  <r>
    <x v="5"/>
    <s v="PREGOS E PARAFUSOS"/>
    <s v="ARRUELAS ONDULADA"/>
    <s v="M50"/>
    <s v="CAIXA"/>
    <n v="30"/>
    <x v="225"/>
    <n v="10"/>
    <n v="15"/>
    <n v="10"/>
    <n v="1"/>
    <n v="1.5E-3"/>
    <x v="497"/>
    <n v="350"/>
    <x v="404"/>
    <n v="25"/>
    <n v="7.1428571428571425E-2"/>
    <n v="25.071428571428573"/>
    <n v="25.142857142857146"/>
    <n v="7.7717906205589768"/>
    <n v="5314.8929713405932"/>
    <s v="B"/>
  </r>
  <r>
    <x v="5"/>
    <s v="MATERIAL HIDRÁULICO"/>
    <s v="HIDRÔMETRO"/>
    <s v="59551"/>
    <s v="CAIXA"/>
    <n v="2000"/>
    <x v="247"/>
    <n v="100"/>
    <n v="100"/>
    <n v="100"/>
    <n v="48"/>
    <n v="1"/>
    <x v="76"/>
    <n v="5"/>
    <x v="543"/>
    <n v="20"/>
    <n v="0.25"/>
    <n v="3.333333333333333"/>
    <n v="3.583333333333333"/>
    <n v="7.4017053529133117"/>
    <n v="5322.2946766935065"/>
    <s v="B"/>
  </r>
  <r>
    <x v="5"/>
    <s v="MATERIAL HIDRÁULICO"/>
    <s v="REGISTRO ESFERA"/>
    <s v="ROSQUEAVEL"/>
    <s v="CAIXA"/>
    <n v="2000"/>
    <x v="212"/>
    <n v="30"/>
    <n v="25"/>
    <n v="115"/>
    <n v="15"/>
    <n v="8.6249999999999993E-2"/>
    <x v="522"/>
    <n v="5"/>
    <x v="543"/>
    <n v="20"/>
    <n v="0.25"/>
    <n v="3.333333333333333"/>
    <n v="3.583333333333333"/>
    <n v="7.4017053529133117"/>
    <n v="5329.6963820464198"/>
    <s v="B"/>
  </r>
  <r>
    <x v="5"/>
    <s v="MATERIAL HIDRÁULICO"/>
    <s v="REGISTRO CROMADO C90"/>
    <s v="ROSQUEAVEL"/>
    <s v="CAIXA"/>
    <n v="2000"/>
    <x v="237"/>
    <n v="60"/>
    <n v="20"/>
    <n v="60"/>
    <n v="10"/>
    <n v="7.1999999999999995E-2"/>
    <x v="258"/>
    <n v="5"/>
    <x v="543"/>
    <n v="20"/>
    <n v="0.25"/>
    <n v="3.333333333333333"/>
    <n v="3.583333333333333"/>
    <n v="7.4017053529133117"/>
    <n v="5337.0980873993331"/>
    <s v="B"/>
  </r>
  <r>
    <x v="5"/>
    <s v="PREGOS E PARAFUSOS"/>
    <s v="REBITES"/>
    <s v="M67"/>
    <s v="CAIXA"/>
    <n v="28.4"/>
    <x v="224"/>
    <n v="15"/>
    <n v="20"/>
    <n v="10"/>
    <n v="1"/>
    <n v="3.0000000000000001E-3"/>
    <x v="489"/>
    <n v="350"/>
    <x v="722"/>
    <n v="25"/>
    <n v="7.1428571428571425E-2"/>
    <n v="25.071428571428573"/>
    <n v="25.142857142857146"/>
    <n v="7.3572951207958317"/>
    <n v="5344.4553825201292"/>
    <s v="B"/>
  </r>
  <r>
    <x v="5"/>
    <s v="PREGOS E PARAFUSOS"/>
    <s v="ARRUELAS LISA LANTARNEIRO"/>
    <s v="M51"/>
    <s v="CAIXA"/>
    <n v="28"/>
    <x v="225"/>
    <n v="10"/>
    <n v="15"/>
    <n v="10"/>
    <n v="1"/>
    <n v="1.5E-3"/>
    <x v="497"/>
    <n v="350"/>
    <x v="243"/>
    <n v="25"/>
    <n v="7.1428571428571425E-2"/>
    <n v="25.071428571428573"/>
    <n v="25.142857142857146"/>
    <n v="7.2536712458550454"/>
    <n v="5351.7090537659842"/>
    <s v="B"/>
  </r>
  <r>
    <x v="5"/>
    <s v="MATERIAL HIDRÁULICO"/>
    <s v="CHUVEIRO"/>
    <s v="M41"/>
    <s v="CAIXA"/>
    <n v="1959"/>
    <x v="222"/>
    <n v="55"/>
    <n v="115"/>
    <n v="49"/>
    <n v="10.5"/>
    <n v="0.30992500000000001"/>
    <x v="518"/>
    <n v="5"/>
    <x v="723"/>
    <n v="20"/>
    <n v="0.25"/>
    <n v="3.333333333333333"/>
    <n v="3.583333333333333"/>
    <n v="7.2499703931785886"/>
    <n v="5358.9590241591632"/>
    <s v="B"/>
  </r>
  <r>
    <x v="5"/>
    <s v="PREGOS E PARAFUSOS"/>
    <s v="PREGOS TELHEIRO"/>
    <s v="M22"/>
    <s v="CAIXA"/>
    <n v="27.9"/>
    <x v="226"/>
    <n v="15"/>
    <n v="20"/>
    <n v="15"/>
    <n v="1"/>
    <n v="4.4999999999999997E-3"/>
    <x v="523"/>
    <n v="350"/>
    <x v="724"/>
    <n v="25"/>
    <n v="7.1428571428571425E-2"/>
    <n v="25.071428571428573"/>
    <n v="25.142857142857146"/>
    <n v="7.2277652771198486"/>
    <n v="5366.1867894362831"/>
    <s v="B"/>
  </r>
  <r>
    <x v="5"/>
    <s v="PREGOS E PARAFUSOS"/>
    <s v="ARRUELAS DE LATÃO "/>
    <s v="M48"/>
    <s v="CAIXA"/>
    <n v="27.9"/>
    <x v="225"/>
    <n v="10"/>
    <n v="15"/>
    <n v="10"/>
    <n v="1"/>
    <n v="1.5E-3"/>
    <x v="497"/>
    <n v="350"/>
    <x v="724"/>
    <n v="25"/>
    <n v="7.1428571428571425E-2"/>
    <n v="25.071428571428573"/>
    <n v="25.142857142857146"/>
    <n v="7.2277652771198486"/>
    <n v="5373.414554713403"/>
    <s v="B"/>
  </r>
  <r>
    <x v="5"/>
    <s v="MATERIAL HIDRÁULICO"/>
    <s v="REGISTRO CROMADO C50"/>
    <s v="ROSQUEAVEL"/>
    <s v="CAIXA"/>
    <n v="1950"/>
    <x v="237"/>
    <n v="40"/>
    <n v="25"/>
    <n v="30"/>
    <n v="10"/>
    <n v="0.03"/>
    <x v="77"/>
    <n v="5"/>
    <x v="405"/>
    <n v="20"/>
    <n v="0.25"/>
    <n v="3.333333333333333"/>
    <n v="3.583333333333333"/>
    <n v="7.2166627190904791"/>
    <n v="5380.6312174324939"/>
    <s v="B"/>
  </r>
  <r>
    <x v="5"/>
    <s v="PREGOS E PARAFUSOS"/>
    <s v="REBITES"/>
    <s v="M71"/>
    <s v="CAIXA"/>
    <n v="27.5"/>
    <x v="225"/>
    <n v="10"/>
    <n v="15"/>
    <n v="10"/>
    <n v="1"/>
    <n v="1.5E-3"/>
    <x v="497"/>
    <n v="350"/>
    <x v="725"/>
    <n v="25"/>
    <n v="7.1428571428571425E-2"/>
    <n v="25.071428571428573"/>
    <n v="25.142857142857146"/>
    <n v="7.1241414021790623"/>
    <n v="5387.7553588346727"/>
    <s v="B"/>
  </r>
  <r>
    <x v="5"/>
    <s v="MATERIAL HIDRÁULICO"/>
    <s v="TUBO LIGAÇÃO"/>
    <s v="M74"/>
    <s v="CAIXA"/>
    <n v="1917"/>
    <x v="256"/>
    <n v="125"/>
    <n v="75"/>
    <n v="4"/>
    <n v="13.5"/>
    <n v="3.7499999999999999E-2"/>
    <x v="524"/>
    <n v="5"/>
    <x v="726"/>
    <n v="20"/>
    <n v="0.25"/>
    <n v="3.333333333333333"/>
    <n v="3.583333333333333"/>
    <n v="7.0945345807674087"/>
    <n v="5394.8498934154404"/>
    <s v="B"/>
  </r>
  <r>
    <x v="5"/>
    <s v="MATERIAL HIDRÁULICO"/>
    <s v="REGISTRO CROMADO"/>
    <s v="PEQUENO"/>
    <s v="CAIXA"/>
    <n v="1900"/>
    <x v="41"/>
    <n v="30"/>
    <n v="25"/>
    <n v="8"/>
    <n v="30"/>
    <n v="6.0000000000000001E-3"/>
    <x v="525"/>
    <n v="5"/>
    <x v="727"/>
    <n v="20"/>
    <n v="0.25"/>
    <n v="3.333333333333333"/>
    <n v="3.583333333333333"/>
    <n v="7.0316200852676456"/>
    <n v="5401.881513500708"/>
    <s v="B"/>
  </r>
  <r>
    <x v="5"/>
    <s v="MATERIAL HIDRÁULICO"/>
    <s v="TORNEIRA DE JARDIM FOSCA PRATA"/>
    <s v="ROSQUEAVEL"/>
    <s v="CAIXA"/>
    <n v="1800"/>
    <x v="237"/>
    <n v="65"/>
    <n v="40"/>
    <n v="65"/>
    <n v="40"/>
    <n v="0.16900000000000001"/>
    <x v="526"/>
    <n v="5"/>
    <x v="728"/>
    <n v="20"/>
    <n v="0.25"/>
    <n v="3.333333333333333"/>
    <n v="3.583333333333333"/>
    <n v="6.6615348176219804"/>
    <n v="5408.54304831833"/>
    <s v="B"/>
  </r>
  <r>
    <x v="5"/>
    <s v="MATERIAL HIDRÁULICO"/>
    <s v="MISTURADOR"/>
    <s v="M19"/>
    <s v="CAIXA"/>
    <n v="1758"/>
    <x v="257"/>
    <n v="40"/>
    <n v="50"/>
    <n v="72"/>
    <n v="25.8"/>
    <n v="0.14399999999999999"/>
    <x v="461"/>
    <n v="5"/>
    <x v="729"/>
    <n v="20"/>
    <n v="0.25"/>
    <n v="3.333333333333333"/>
    <n v="3.583333333333333"/>
    <n v="6.5060990052108005"/>
    <n v="5415.0491473235406"/>
    <s v="B"/>
  </r>
  <r>
    <x v="5"/>
    <s v="PREGOS E PARAFUSOS"/>
    <s v="PREGOS"/>
    <s v="M16"/>
    <s v="SACO"/>
    <n v="25"/>
    <x v="226"/>
    <n v="5"/>
    <n v="20"/>
    <n v="10"/>
    <n v="1"/>
    <n v="1E-3"/>
    <x v="515"/>
    <n v="350"/>
    <x v="730"/>
    <n v="25"/>
    <n v="7.1428571428571425E-2"/>
    <n v="25.071428571428573"/>
    <n v="25.142857142857146"/>
    <n v="6.4764921837991478"/>
    <n v="5421.5256395073402"/>
    <s v="B"/>
  </r>
  <r>
    <x v="5"/>
    <s v="PREGOS E PARAFUSOS"/>
    <s v="ARRUELAS LISA DE FERRO"/>
    <s v="M47"/>
    <s v="CAIXA"/>
    <n v="25"/>
    <x v="225"/>
    <n v="10"/>
    <n v="20"/>
    <n v="10"/>
    <n v="1"/>
    <n v="2E-3"/>
    <x v="527"/>
    <n v="350"/>
    <x v="730"/>
    <n v="25"/>
    <n v="7.1428571428571425E-2"/>
    <n v="25.071428571428573"/>
    <n v="25.142857142857146"/>
    <n v="6.4764921837991478"/>
    <n v="5428.0021316911398"/>
    <s v="B"/>
  </r>
  <r>
    <x v="5"/>
    <s v="MATERIAL HIDRÁULICO"/>
    <s v="CANOS ESGOTO"/>
    <s v="210112"/>
    <s v="FARDO"/>
    <n v="1749"/>
    <x v="212"/>
    <n v="42"/>
    <n v="600"/>
    <n v="42"/>
    <n v="233.04"/>
    <n v="1.0584"/>
    <x v="528"/>
    <n v="5"/>
    <x v="731"/>
    <n v="20"/>
    <n v="0.25"/>
    <n v="3.333333333333333"/>
    <n v="3.583333333333333"/>
    <n v="6.472791331122691"/>
    <n v="5434.4749230222624"/>
    <s v="B"/>
  </r>
  <r>
    <x v="5"/>
    <s v="MATERIAL HIDRÁULICO"/>
    <s v="REGISTRO GAVETA COBRE/ 3/4"/>
    <s v="VOLANTE"/>
    <s v="CAIXA"/>
    <n v="1745"/>
    <x v="258"/>
    <n v="45"/>
    <n v="25"/>
    <n v="8"/>
    <n v="22"/>
    <n v="8.9999999999999993E-3"/>
    <x v="401"/>
    <n v="5"/>
    <x v="732"/>
    <n v="20"/>
    <n v="0.25"/>
    <n v="3.333333333333333"/>
    <n v="3.583333333333333"/>
    <n v="6.4579879204168646"/>
    <n v="5440.932910942679"/>
    <s v="B"/>
  </r>
  <r>
    <x v="5"/>
    <s v="MATERIAL HIDRÁULICO"/>
    <s v="REGISTRO CROMADO DACOL NOVA"/>
    <s v="ROSQUEAVEL"/>
    <s v="CAIXA"/>
    <n v="1700"/>
    <x v="245"/>
    <n v="45"/>
    <n v="25"/>
    <n v="45"/>
    <n v="9"/>
    <n v="5.0625000000000003E-2"/>
    <x v="487"/>
    <n v="5"/>
    <x v="733"/>
    <n v="20"/>
    <n v="0.25"/>
    <n v="3.333333333333333"/>
    <n v="3.583333333333333"/>
    <n v="6.2914495499763143"/>
    <n v="5447.2243604926553"/>
    <s v="B"/>
  </r>
  <r>
    <x v="5"/>
    <s v="PREGOS E PARAFUSOS"/>
    <s v="PREGOS SEM CABEÇA"/>
    <s v="M20"/>
    <s v="CAIXA"/>
    <n v="24.25"/>
    <x v="226"/>
    <n v="15"/>
    <n v="15"/>
    <n v="20"/>
    <n v="1"/>
    <n v="4.4999999999999997E-3"/>
    <x v="523"/>
    <n v="350"/>
    <x v="734"/>
    <n v="25"/>
    <n v="7.1428571428571425E-2"/>
    <n v="25.071428571428573"/>
    <n v="25.142857142857146"/>
    <n v="6.2821974182851728"/>
    <n v="5453.5065579109405"/>
    <s v="B"/>
  </r>
  <r>
    <x v="5"/>
    <s v="MATERIAL ELÉTRICO"/>
    <s v="TOMADA"/>
    <s v="SIMON30"/>
    <s v="CAIXA"/>
    <n v="105"/>
    <x v="254"/>
    <n v="15"/>
    <n v="20"/>
    <n v="25"/>
    <n v="5"/>
    <n v="7.4999999999999997E-3"/>
    <x v="388"/>
    <n v="80"/>
    <x v="244"/>
    <n v="20"/>
    <n v="4"/>
    <n v="53.333333333333329"/>
    <n v="57.333333333333329"/>
    <n v="6.2174324964471817"/>
    <n v="5459.7239904073876"/>
    <s v="B"/>
  </r>
  <r>
    <x v="5"/>
    <s v="FERRAMENTAS"/>
    <s v="TRENA 2 METROS"/>
    <s v="ACX"/>
    <s v="CAIXA"/>
    <n v="76"/>
    <x v="235"/>
    <n v="10"/>
    <n v="10"/>
    <n v="10"/>
    <n v="1.1000000000000001"/>
    <n v="1E-3"/>
    <x v="474"/>
    <n v="110"/>
    <x v="735"/>
    <n v="20"/>
    <n v="5.5"/>
    <n v="73.333333333333329"/>
    <n v="78.833333333333329"/>
    <n v="6.1878256750355281"/>
    <n v="5465.9118160824228"/>
    <s v="B"/>
  </r>
  <r>
    <x v="5"/>
    <s v="MATERIAL HIDRÁULICO"/>
    <s v="TUBO LIGAÇÃO"/>
    <s v="M81"/>
    <s v="CAIXA"/>
    <n v="1647"/>
    <x v="256"/>
    <n v="125"/>
    <n v="75"/>
    <n v="7"/>
    <n v="13.5"/>
    <n v="6.5625000000000003E-2"/>
    <x v="529"/>
    <n v="5"/>
    <x v="736"/>
    <n v="20"/>
    <n v="0.25"/>
    <n v="3.333333333333333"/>
    <n v="3.583333333333333"/>
    <n v="6.0953043581241122"/>
    <n v="5472.0071204405467"/>
    <s v="B"/>
  </r>
  <r>
    <x v="5"/>
    <s v="MATERIAL ELÉTRICO"/>
    <s v="FIO DE COBRE ESMALTADO"/>
    <s v="A-03"/>
    <s v="ROLO"/>
    <n v="100"/>
    <x v="220"/>
    <n v="30"/>
    <n v="250"/>
    <n v="0.5"/>
    <n v="3.7499999999999999E-3"/>
    <n v="3.7499999999999999E-3"/>
    <x v="530"/>
    <n v="80"/>
    <x v="548"/>
    <n v="20"/>
    <n v="4"/>
    <n v="53.333333333333329"/>
    <n v="57.333333333333329"/>
    <n v="5.9213642823306492"/>
    <n v="5477.9284847228773"/>
    <s v="B"/>
  </r>
  <r>
    <x v="5"/>
    <s v="MATERIAL ELÉTRICO"/>
    <s v="DUCHA"/>
    <s v="225013"/>
    <s v="SACO"/>
    <n v="199"/>
    <x v="222"/>
    <n v="10"/>
    <n v="15"/>
    <n v="10"/>
    <n v="2"/>
    <n v="1.5E-3"/>
    <x v="507"/>
    <n v="40"/>
    <x v="737"/>
    <n v="20"/>
    <n v="2"/>
    <n v="26.666666666666664"/>
    <n v="28.666666666666664"/>
    <n v="5.8917574609189955"/>
    <n v="5483.8202421837959"/>
    <s v="B"/>
  </r>
  <r>
    <x v="5"/>
    <s v="MATERIAL HIDRÁULICO"/>
    <s v="REGISTRO CROMAOD ESTRELA"/>
    <s v="ROSQUEAVEL"/>
    <s v="CAIXA"/>
    <n v="1550"/>
    <x v="41"/>
    <n v="20"/>
    <n v="15"/>
    <n v="20"/>
    <n v="9"/>
    <n v="6.0000000000000001E-3"/>
    <x v="525"/>
    <n v="5"/>
    <x v="738"/>
    <n v="20"/>
    <n v="0.25"/>
    <n v="3.333333333333333"/>
    <n v="3.583333333333333"/>
    <n v="5.7363216485078166"/>
    <n v="5489.5565638323042"/>
    <s v="B"/>
  </r>
  <r>
    <x v="5"/>
    <s v="PREGOS E PARAFUSOS"/>
    <s v="PREGOS ANELADO"/>
    <s v="M23"/>
    <s v="CAIXA"/>
    <n v="22"/>
    <x v="226"/>
    <n v="15"/>
    <n v="20"/>
    <n v="15"/>
    <n v="1"/>
    <n v="4.4999999999999997E-3"/>
    <x v="523"/>
    <n v="350"/>
    <x v="739"/>
    <n v="25"/>
    <n v="7.1428571428571425E-2"/>
    <n v="25.071428571428573"/>
    <n v="25.142857142857146"/>
    <n v="5.6993131217432502"/>
    <n v="5495.2558769540474"/>
    <s v="B"/>
  </r>
  <r>
    <x v="5"/>
    <s v="MATERIAL HIDRÁULICO"/>
    <s v="CHUVEIRO"/>
    <s v="M52"/>
    <s v="CAIXA"/>
    <n v="1519"/>
    <x v="222"/>
    <n v="55"/>
    <n v="115"/>
    <n v="49"/>
    <n v="18"/>
    <n v="0.30992500000000001"/>
    <x v="518"/>
    <n v="5"/>
    <x v="740"/>
    <n v="20"/>
    <n v="0.25"/>
    <n v="3.333333333333333"/>
    <n v="3.583333333333333"/>
    <n v="5.6215952155376598"/>
    <n v="5500.8774721695854"/>
    <s v="B"/>
  </r>
  <r>
    <x v="5"/>
    <s v="MATERIAL HIDRÁULICO"/>
    <s v="HIDRÔMETRO"/>
    <s v="59553"/>
    <s v="CAIXA"/>
    <n v="1500"/>
    <x v="247"/>
    <n v="100"/>
    <n v="100"/>
    <n v="100"/>
    <n v="48"/>
    <n v="1"/>
    <x v="76"/>
    <n v="5"/>
    <x v="741"/>
    <n v="20"/>
    <n v="0.25"/>
    <n v="3.333333333333333"/>
    <n v="3.583333333333333"/>
    <n v="5.551279014684984"/>
    <n v="5506.4287511842704"/>
    <s v="B"/>
  </r>
  <r>
    <x v="5"/>
    <s v="MATERIAL HIDRÁULICO"/>
    <s v="REGISTRO ESFERA AQUECEDOR"/>
    <s v="VALVULA"/>
    <s v="CAIXA"/>
    <n v="1495"/>
    <x v="212"/>
    <n v="67"/>
    <n v="14"/>
    <n v="35"/>
    <n v="45"/>
    <n v="3.2829999999999998E-2"/>
    <x v="531"/>
    <n v="5"/>
    <x v="742"/>
    <n v="20"/>
    <n v="0.25"/>
    <n v="3.333333333333333"/>
    <n v="3.583333333333333"/>
    <n v="5.5327747513026999"/>
    <n v="5511.9615259355733"/>
    <s v="B"/>
  </r>
  <r>
    <x v="5"/>
    <s v="MATERIAL HIDRÁULICO"/>
    <s v="HIDRÔMETRO"/>
    <s v="59548"/>
    <s v="CAIXA"/>
    <n v="1480"/>
    <x v="247"/>
    <n v="100"/>
    <n v="100"/>
    <n v="100"/>
    <n v="48"/>
    <n v="1"/>
    <x v="76"/>
    <n v="5"/>
    <x v="743"/>
    <n v="20"/>
    <n v="0.25"/>
    <n v="3.333333333333333"/>
    <n v="3.583333333333333"/>
    <n v="5.4772619611558504"/>
    <n v="5517.4387878967291"/>
    <s v="B"/>
  </r>
  <r>
    <x v="5"/>
    <s v="MATERIAL HIDRÁULICO"/>
    <s v="CHUVEIRO"/>
    <s v="M50"/>
    <s v="CAIXA"/>
    <n v="1479"/>
    <x v="222"/>
    <n v="55"/>
    <n v="115"/>
    <n v="49"/>
    <n v="16"/>
    <n v="0.30992500000000001"/>
    <x v="518"/>
    <n v="5"/>
    <x v="744"/>
    <n v="20"/>
    <n v="0.25"/>
    <n v="3.333333333333333"/>
    <n v="3.583333333333333"/>
    <n v="5.4735611084793936"/>
    <n v="5522.9123490052089"/>
    <s v="B"/>
  </r>
  <r>
    <x v="5"/>
    <s v="MATERIAL HIDRÁULICO"/>
    <s v="TUBO LIGAÇÃO"/>
    <s v="M79"/>
    <s v="CAIXA"/>
    <n v="1467"/>
    <x v="256"/>
    <n v="125"/>
    <n v="75"/>
    <n v="5"/>
    <n v="13.5"/>
    <n v="4.6875E-2"/>
    <x v="532"/>
    <n v="5"/>
    <x v="745"/>
    <n v="20"/>
    <n v="0.25"/>
    <n v="3.333333333333333"/>
    <n v="3.583333333333333"/>
    <n v="5.4291508763619136"/>
    <n v="5528.3414998815706"/>
    <s v="B"/>
  </r>
  <r>
    <x v="5"/>
    <s v="MATERIAL ELÉTRICO"/>
    <s v="DUCHA"/>
    <s v="84494"/>
    <s v="SACO"/>
    <n v="91.4"/>
    <x v="259"/>
    <n v="10"/>
    <n v="15"/>
    <n v="10"/>
    <n v="2"/>
    <n v="1.5E-3"/>
    <x v="481"/>
    <n v="80"/>
    <x v="746"/>
    <n v="20"/>
    <n v="4"/>
    <n v="53.333333333333329"/>
    <n v="57.333333333333329"/>
    <n v="5.4121269540502137"/>
    <n v="5533.7536268356207"/>
    <s v="B"/>
  </r>
  <r>
    <x v="5"/>
    <s v="MATERIAL HIDRÁULICO"/>
    <s v="MISTURADOR"/>
    <s v="M13"/>
    <s v="CAIXA"/>
    <n v="1818"/>
    <x v="257"/>
    <n v="40"/>
    <n v="50"/>
    <n v="72"/>
    <n v="25.8"/>
    <n v="0.14399999999999999"/>
    <x v="494"/>
    <n v="4"/>
    <x v="747"/>
    <n v="20"/>
    <n v="0.2"/>
    <n v="2.6666666666666665"/>
    <n v="2.8666666666666667"/>
    <n v="5.3825201326385601"/>
    <n v="5539.1361469682597"/>
    <s v="B"/>
  </r>
  <r>
    <x v="5"/>
    <s v="MATERIAL HIDRÁULICO"/>
    <s v="TORNEIRA BRANCA CISNE "/>
    <s v="010.26"/>
    <s v="CAIXA"/>
    <n v="1450"/>
    <x v="254"/>
    <n v="105"/>
    <n v="30"/>
    <n v="110"/>
    <n v="12"/>
    <n v="0.34649999999999997"/>
    <x v="533"/>
    <n v="5"/>
    <x v="748"/>
    <n v="20"/>
    <n v="0.25"/>
    <n v="3.333333333333333"/>
    <n v="3.583333333333333"/>
    <n v="5.3662363808621505"/>
    <n v="5544.5023833491223"/>
    <s v="B"/>
  </r>
  <r>
    <x v="5"/>
    <s v="MATERIAL ELÉTRICO"/>
    <s v="TOMADA"/>
    <s v="RJ45 INFORMATICA"/>
    <s v="CAIXA"/>
    <n v="90"/>
    <x v="178"/>
    <n v="15"/>
    <n v="20"/>
    <n v="25"/>
    <n v="5"/>
    <n v="7.4999999999999997E-3"/>
    <x v="388"/>
    <n v="80"/>
    <x v="749"/>
    <n v="20"/>
    <n v="4"/>
    <n v="53.333333333333329"/>
    <n v="57.333333333333329"/>
    <n v="5.3292278540975841"/>
    <n v="5549.8316112032198"/>
    <s v="B"/>
  </r>
  <r>
    <x v="5"/>
    <s v="MATERIAL ELÉTRICO"/>
    <s v="TORNEIRA ELETRICA"/>
    <s v="324879"/>
    <s v="CAIXA"/>
    <n v="179.9"/>
    <x v="244"/>
    <n v="20"/>
    <n v="15"/>
    <n v="8"/>
    <n v="1"/>
    <n v="2.3999999999999998E-3"/>
    <x v="499"/>
    <n v="40"/>
    <x v="750"/>
    <n v="20"/>
    <n v="2"/>
    <n v="26.666666666666664"/>
    <n v="28.666666666666664"/>
    <n v="5.3262671719564185"/>
    <n v="5555.1578783751766"/>
    <s v="B"/>
  </r>
  <r>
    <x v="5"/>
    <s v="MATERIAL ELÉTRICO"/>
    <s v="TOMADA"/>
    <s v="MODENA"/>
    <s v="CAIXA"/>
    <n v="89.7"/>
    <x v="254"/>
    <n v="15"/>
    <n v="20"/>
    <n v="25"/>
    <n v="5"/>
    <n v="7.4999999999999997E-3"/>
    <x v="388"/>
    <n v="80"/>
    <x v="751"/>
    <n v="20"/>
    <n v="4"/>
    <n v="53.333333333333329"/>
    <n v="57.333333333333329"/>
    <n v="5.3114637612505922"/>
    <n v="5560.4693421364273"/>
    <s v="B"/>
  </r>
  <r>
    <x v="5"/>
    <s v="MATERIAL ELÉTRICO"/>
    <s v="TOMADA"/>
    <s v="RJ45 TERMOPLASTICO"/>
    <s v="CAIXA"/>
    <n v="89.7"/>
    <x v="178"/>
    <n v="15"/>
    <n v="20"/>
    <n v="25"/>
    <n v="4"/>
    <n v="7.4999999999999997E-3"/>
    <x v="388"/>
    <n v="80"/>
    <x v="751"/>
    <n v="20"/>
    <n v="4"/>
    <n v="53.333333333333329"/>
    <n v="57.333333333333329"/>
    <n v="5.3114637612505922"/>
    <n v="5565.780805897678"/>
    <s v="B"/>
  </r>
  <r>
    <x v="5"/>
    <s v="MATERIAL ELÉTRICO"/>
    <s v="REATORES"/>
    <s v="HID INTERNO"/>
    <s v="CAIXA"/>
    <n v="88.2"/>
    <x v="91"/>
    <n v="15"/>
    <n v="20"/>
    <n v="25"/>
    <n v="7"/>
    <n v="7.4999999999999997E-3"/>
    <x v="388"/>
    <n v="80"/>
    <x v="752"/>
    <n v="20"/>
    <n v="4"/>
    <n v="53.333333333333329"/>
    <n v="57.333333333333329"/>
    <n v="5.2226432970156322"/>
    <n v="5571.0034491946935"/>
    <s v="B"/>
  </r>
  <r>
    <x v="5"/>
    <s v="MATERIAL HIDRÁULICO"/>
    <s v="REGISTRO GAVETA PRESSÃO"/>
    <s v="VALVULA"/>
    <s v="CAIXA"/>
    <n v="1400"/>
    <x v="237"/>
    <n v="40"/>
    <n v="30"/>
    <n v="25"/>
    <n v="25"/>
    <n v="0.03"/>
    <x v="77"/>
    <n v="5"/>
    <x v="753"/>
    <n v="20"/>
    <n v="0.25"/>
    <n v="3.333333333333333"/>
    <n v="3.583333333333333"/>
    <n v="5.1811937470393179"/>
    <n v="5576.1846429417328"/>
    <s v="B"/>
  </r>
  <r>
    <x v="5"/>
    <s v="MATERIAL HIDRÁULICO"/>
    <s v="REGISTRO GAVETA UM PLEGADA LATAO"/>
    <s v="VOLANTE"/>
    <s v="CAIXA"/>
    <n v="1400"/>
    <x v="251"/>
    <n v="30"/>
    <n v="25"/>
    <n v="4"/>
    <n v="20"/>
    <n v="3.0000000000000001E-3"/>
    <x v="534"/>
    <n v="5"/>
    <x v="753"/>
    <n v="20"/>
    <n v="0.25"/>
    <n v="3.333333333333333"/>
    <n v="3.583333333333333"/>
    <n v="5.1811937470393179"/>
    <n v="5581.3658366887721"/>
    <s v="B"/>
  </r>
  <r>
    <x v="5"/>
    <s v="PREGOS E PARAFUSOS"/>
    <s v="PREGOS ARDOX"/>
    <s v="M24"/>
    <s v="SACO"/>
    <n v="20"/>
    <x v="226"/>
    <n v="15"/>
    <n v="20"/>
    <n v="15"/>
    <n v="1"/>
    <n v="4.4999999999999997E-3"/>
    <x v="523"/>
    <n v="350"/>
    <x v="753"/>
    <n v="25"/>
    <n v="7.1428571428571425E-2"/>
    <n v="25.071428571428573"/>
    <n v="25.142857142857146"/>
    <n v="5.1811937470393179"/>
    <n v="5586.5470304358114"/>
    <s v="B"/>
  </r>
  <r>
    <x v="5"/>
    <s v="MATERIAL HIDRÁULICO"/>
    <s v="MISTURADOR"/>
    <s v="M14"/>
    <s v="CAIXA"/>
    <n v="1398"/>
    <x v="257"/>
    <n v="40"/>
    <n v="50"/>
    <n v="72"/>
    <n v="25.8"/>
    <n v="0.14399999999999999"/>
    <x v="461"/>
    <n v="5"/>
    <x v="754"/>
    <n v="20"/>
    <n v="0.25"/>
    <n v="3.333333333333333"/>
    <n v="3.583333333333333"/>
    <n v="5.1737920416864043"/>
    <n v="5591.7208224774977"/>
    <s v="B"/>
  </r>
  <r>
    <x v="5"/>
    <s v="FERRAMENTAS"/>
    <s v="CAIXA FRT. SANFONADA C/ 5 GAVETAS"/>
    <s v="2XCCA"/>
    <s v="CAIXA "/>
    <n v="72.16"/>
    <x v="178"/>
    <n v="58.5"/>
    <n v="22.5"/>
    <n v="32.5"/>
    <n v="2.9049999999999998"/>
    <n v="4.2778125E-2"/>
    <x v="535"/>
    <n v="95"/>
    <x v="755"/>
    <n v="20"/>
    <n v="4.75"/>
    <n v="63.333333333333329"/>
    <n v="68.083333333333329"/>
    <n v="5.0740170535291327"/>
    <n v="5596.7948395310268"/>
    <s v="B"/>
  </r>
  <r>
    <x v="5"/>
    <s v="PREGOS E PARAFUSOS"/>
    <s v="ARRUELAS LISA"/>
    <s v="M46"/>
    <s v="CAIXA"/>
    <n v="19.5"/>
    <x v="225"/>
    <n v="5"/>
    <n v="20"/>
    <n v="15"/>
    <n v="1"/>
    <n v="1.5E-3"/>
    <x v="497"/>
    <n v="350"/>
    <x v="756"/>
    <n v="25"/>
    <n v="7.1428571428571425E-2"/>
    <n v="25.071428571428573"/>
    <n v="25.142857142857146"/>
    <n v="5.0516639033633348"/>
    <n v="5601.8465034343899"/>
    <s v="B"/>
  </r>
  <r>
    <x v="5"/>
    <s v="MATERIAL HIDRÁULICO"/>
    <s v="TORNEIRA PRATA CLIK"/>
    <s v="CLR"/>
    <s v="CAIXA"/>
    <n v="1350"/>
    <x v="237"/>
    <n v="40"/>
    <n v="30"/>
    <n v="40"/>
    <n v="14"/>
    <n v="4.8000000000000001E-2"/>
    <x v="502"/>
    <n v="5"/>
    <x v="757"/>
    <n v="20"/>
    <n v="0.25"/>
    <n v="3.333333333333333"/>
    <n v="3.583333333333333"/>
    <n v="4.9961511132164853"/>
    <n v="5606.8426545476068"/>
    <s v="C"/>
  </r>
  <r>
    <x v="5"/>
    <s v="MATERIAL ELÉTRICO"/>
    <s v="CAIXA DE PASSAGEM ELÉTRICA DE PAREDE CPT 20 - SOBREPOR"/>
    <s v="F-03"/>
    <s v="CAIXA"/>
    <n v="165"/>
    <x v="212"/>
    <n v="25"/>
    <n v="25"/>
    <n v="10"/>
    <n v="6.2500000000000003E-3"/>
    <n v="6.2500000000000003E-3"/>
    <x v="104"/>
    <n v="40"/>
    <x v="758"/>
    <n v="20"/>
    <n v="2"/>
    <n v="26.666666666666664"/>
    <n v="28.666666666666664"/>
    <n v="4.8851255329227854"/>
    <n v="5611.7277800805296"/>
    <s v="C"/>
  </r>
  <r>
    <x v="5"/>
    <s v="MATERIAL HIDRÁULICO"/>
    <s v="TUBO LIGAÇÃO"/>
    <s v="M80"/>
    <s v="CAIXA"/>
    <n v="1317"/>
    <x v="256"/>
    <n v="125"/>
    <n v="75"/>
    <n v="6"/>
    <n v="13.5"/>
    <n v="5.6250000000000001E-2"/>
    <x v="511"/>
    <n v="5"/>
    <x v="759"/>
    <n v="20"/>
    <n v="0.25"/>
    <n v="3.333333333333333"/>
    <n v="3.583333333333333"/>
    <n v="4.8740229748934158"/>
    <n v="5616.6018030554233"/>
    <s v="C"/>
  </r>
  <r>
    <x v="5"/>
    <s v="MATERIAL HIDRÁULICO"/>
    <s v="REGISTRO GAVETA 3/4 POL EUROPA"/>
    <s v="VOLANTE"/>
    <s v="CAIXA"/>
    <n v="1305"/>
    <x v="245"/>
    <n v="35"/>
    <n v="38"/>
    <n v="8"/>
    <n v="20"/>
    <n v="1.064E-2"/>
    <x v="536"/>
    <n v="5"/>
    <x v="760"/>
    <n v="20"/>
    <n v="0.25"/>
    <n v="3.333333333333333"/>
    <n v="3.583333333333333"/>
    <n v="4.8296127427759359"/>
    <n v="5621.4314157981989"/>
    <s v="C"/>
  </r>
  <r>
    <x v="5"/>
    <s v="MATERIAL HIDRÁULICO"/>
    <s v="MISTURADOR"/>
    <s v="M15"/>
    <s v="CAIXA"/>
    <n v="1298"/>
    <x v="251"/>
    <n v="40"/>
    <n v="50"/>
    <n v="72"/>
    <n v="25.8"/>
    <n v="0.14399999999999999"/>
    <x v="461"/>
    <n v="5"/>
    <x v="761"/>
    <n v="20"/>
    <n v="0.25"/>
    <n v="3.333333333333333"/>
    <n v="3.583333333333333"/>
    <n v="4.8037067740407391"/>
    <n v="5626.2351225722396"/>
    <s v="C"/>
  </r>
  <r>
    <x v="5"/>
    <s v="MATERIAL ELÉTRICO"/>
    <s v="TORNEIRA ELETRICA"/>
    <s v="566624"/>
    <s v="CAIXA"/>
    <n v="159.9"/>
    <x v="222"/>
    <n v="20"/>
    <n v="15"/>
    <n v="8"/>
    <n v="1"/>
    <n v="2.3999999999999998E-3"/>
    <x v="499"/>
    <n v="40"/>
    <x v="762"/>
    <n v="20"/>
    <n v="2"/>
    <n v="26.666666666666664"/>
    <n v="28.666666666666664"/>
    <n v="4.7341307437233544"/>
    <n v="5630.9692533159632"/>
    <s v="C"/>
  </r>
  <r>
    <x v="5"/>
    <s v="MATERIAL HIDRÁULICO"/>
    <s v="MISTURADOR"/>
    <s v="M12"/>
    <s v="CAIXA"/>
    <n v="1598"/>
    <x v="257"/>
    <n v="40"/>
    <n v="50"/>
    <n v="72"/>
    <n v="25.8"/>
    <n v="0.14399999999999999"/>
    <x v="494"/>
    <n v="4"/>
    <x v="763"/>
    <n v="20"/>
    <n v="0.2"/>
    <n v="2.6666666666666665"/>
    <n v="2.8666666666666667"/>
    <n v="4.7311700615821888"/>
    <n v="5635.7004233775451"/>
    <s v="C"/>
  </r>
  <r>
    <x v="5"/>
    <s v="MATERIAL HIDRÁULICO"/>
    <s v="CHUVEIRO"/>
    <s v="M48"/>
    <s v="CAIXA"/>
    <n v="1269"/>
    <x v="222"/>
    <n v="55"/>
    <n v="115"/>
    <n v="49"/>
    <n v="10.5"/>
    <n v="0.30992500000000001"/>
    <x v="518"/>
    <n v="5"/>
    <x v="764"/>
    <n v="20"/>
    <n v="0.25"/>
    <n v="3.333333333333333"/>
    <n v="3.583333333333333"/>
    <n v="4.696382046423496"/>
    <n v="5640.3968054239685"/>
    <s v="C"/>
  </r>
  <r>
    <x v="5"/>
    <s v="MATERIAL HIDRÁULICO"/>
    <s v="CHUVEIRO"/>
    <s v="M35"/>
    <s v="CAIXA"/>
    <n v="1259"/>
    <x v="222"/>
    <n v="55"/>
    <n v="115"/>
    <n v="49"/>
    <n v="12"/>
    <n v="0.30992500000000001"/>
    <x v="518"/>
    <n v="5"/>
    <x v="765"/>
    <n v="20"/>
    <n v="0.25"/>
    <n v="3.333333333333333"/>
    <n v="3.583333333333333"/>
    <n v="4.6593735196589297"/>
    <n v="5645.0561789436279"/>
    <s v="C"/>
  </r>
  <r>
    <x v="5"/>
    <s v="MATERIAL HIDRÁULICO"/>
    <s v="TUBO LIGAÇÃO"/>
    <s v="M82"/>
    <s v="CAIXA"/>
    <n v="1257"/>
    <x v="256"/>
    <n v="125"/>
    <n v="75"/>
    <n v="8"/>
    <n v="13.5"/>
    <n v="7.4999999999999997E-2"/>
    <x v="503"/>
    <n v="5"/>
    <x v="766"/>
    <n v="20"/>
    <n v="0.25"/>
    <n v="3.333333333333333"/>
    <n v="3.583333333333333"/>
    <n v="4.651971814306016"/>
    <n v="5649.7081507579342"/>
    <s v="C"/>
  </r>
  <r>
    <x v="5"/>
    <s v="MATERIAL ELÉTRICO"/>
    <s v="TORNEIRA ELETRICA"/>
    <s v="660841"/>
    <s v="CAIXA"/>
    <n v="154.9"/>
    <x v="244"/>
    <n v="20"/>
    <n v="15"/>
    <n v="8"/>
    <n v="1"/>
    <n v="2.3999999999999998E-3"/>
    <x v="499"/>
    <n v="40"/>
    <x v="767"/>
    <n v="20"/>
    <n v="2"/>
    <n v="26.666666666666664"/>
    <n v="28.666666666666664"/>
    <n v="4.5860966366650882"/>
    <n v="5654.2942473945996"/>
    <s v="C"/>
  </r>
  <r>
    <x v="5"/>
    <s v="MATERIAL ELÉTRICO"/>
    <s v="REATORES"/>
    <s v="HID INTERNO"/>
    <s v="CAIXA"/>
    <n v="75"/>
    <x v="91"/>
    <n v="15"/>
    <n v="20"/>
    <n v="25"/>
    <n v="7"/>
    <n v="7.4999999999999997E-3"/>
    <x v="388"/>
    <n v="80"/>
    <x v="553"/>
    <n v="20"/>
    <n v="4"/>
    <n v="53.333333333333329"/>
    <n v="57.333333333333329"/>
    <n v="4.4410232117479866"/>
    <n v="5658.7352706063475"/>
    <s v="C"/>
  </r>
  <r>
    <x v="5"/>
    <s v="MATERIAL ELÉTRICO"/>
    <s v="TOMADA"/>
    <s v="RJ45 TERMOPLASTICO"/>
    <s v="CAIXA"/>
    <n v="75"/>
    <x v="178"/>
    <n v="15"/>
    <n v="20"/>
    <n v="25"/>
    <n v="4"/>
    <n v="7.4999999999999997E-3"/>
    <x v="388"/>
    <n v="80"/>
    <x v="553"/>
    <n v="20"/>
    <n v="4"/>
    <n v="53.333333333333329"/>
    <n v="57.333333333333329"/>
    <n v="4.4410232117479866"/>
    <n v="5663.1762938180955"/>
    <s v="C"/>
  </r>
  <r>
    <x v="5"/>
    <s v="MATERIAL ELÉTRICO"/>
    <s v="INTERRUPTOR"/>
    <s v="DUPLO"/>
    <s v="CAIXA"/>
    <n v="75"/>
    <x v="260"/>
    <n v="15"/>
    <n v="20"/>
    <n v="25"/>
    <n v="3"/>
    <n v="7.4999999999999997E-3"/>
    <x v="388"/>
    <n v="80"/>
    <x v="553"/>
    <n v="20"/>
    <n v="4"/>
    <n v="53.333333333333329"/>
    <n v="57.333333333333329"/>
    <n v="4.4410232117479866"/>
    <n v="5667.6173170298434"/>
    <s v="C"/>
  </r>
  <r>
    <x v="5"/>
    <s v="MATERIAL ELÉTRICO"/>
    <s v="INTERRUPTOR "/>
    <s v="DUPLO"/>
    <s v="CAIXA"/>
    <n v="75"/>
    <x v="260"/>
    <n v="15"/>
    <n v="20"/>
    <n v="25"/>
    <n v="3"/>
    <n v="7.4999999999999997E-3"/>
    <x v="388"/>
    <n v="80"/>
    <x v="553"/>
    <n v="20"/>
    <n v="4"/>
    <n v="53.333333333333329"/>
    <n v="57.333333333333329"/>
    <n v="4.4410232117479866"/>
    <n v="5672.0583402415914"/>
    <s v="C"/>
  </r>
  <r>
    <x v="5"/>
    <s v="MATERIAL HIDRÁULICO"/>
    <s v="REGISTRO COBREBRUTO"/>
    <s v="VOLANTE"/>
    <s v="CAIXA"/>
    <n v="1200"/>
    <x v="258"/>
    <n v="50"/>
    <n v="25"/>
    <n v="8"/>
    <n v="25"/>
    <n v="0.01"/>
    <x v="537"/>
    <n v="5"/>
    <x v="553"/>
    <n v="20"/>
    <n v="0.25"/>
    <n v="3.333333333333333"/>
    <n v="3.583333333333333"/>
    <n v="4.4410232117479866"/>
    <n v="5676.4993634533394"/>
    <s v="C"/>
  </r>
  <r>
    <x v="5"/>
    <s v="MATERIAL HIDRÁULICO"/>
    <s v="REGISTRO LATAO GAVETA 1/2"/>
    <s v="VOLANTE"/>
    <s v="CAIXA"/>
    <n v="1200"/>
    <x v="258"/>
    <n v="25"/>
    <n v="20"/>
    <n v="6"/>
    <n v="20"/>
    <n v="3.0000000000000001E-3"/>
    <x v="534"/>
    <n v="5"/>
    <x v="553"/>
    <n v="20"/>
    <n v="0.25"/>
    <n v="3.333333333333333"/>
    <n v="3.583333333333333"/>
    <n v="4.4410232117479866"/>
    <n v="5680.9403866650873"/>
    <s v="C"/>
  </r>
  <r>
    <x v="5"/>
    <s v="MATERIAL ELÉTRICO"/>
    <s v="INTERRUPTOR "/>
    <s v="DUPLO"/>
    <s v="CAIXA"/>
    <n v="74.75"/>
    <x v="260"/>
    <n v="15"/>
    <n v="20"/>
    <n v="25"/>
    <n v="3"/>
    <n v="7.4999999999999997E-3"/>
    <x v="388"/>
    <n v="80"/>
    <x v="768"/>
    <n v="20"/>
    <n v="4"/>
    <n v="53.333333333333329"/>
    <n v="57.333333333333329"/>
    <n v="4.4262198010421603"/>
    <n v="5685.3666064661293"/>
    <s v="C"/>
  </r>
  <r>
    <x v="5"/>
    <s v="MATERIAL ELÉTRICO"/>
    <s v="CAIXA DE PASSAGEM ELÉTRICA DE PAREDE CPT 15 - SOBREPOR"/>
    <s v="F-07"/>
    <s v="CAIXA"/>
    <n v="170"/>
    <x v="212"/>
    <n v="20"/>
    <n v="20"/>
    <n v="5.5"/>
    <n v="2.2000000000000001E-3"/>
    <n v="2.2000000000000001E-3"/>
    <x v="538"/>
    <n v="35"/>
    <x v="769"/>
    <n v="20"/>
    <n v="1.75"/>
    <n v="23.333333333333336"/>
    <n v="25.083333333333336"/>
    <n v="4.4040146849834203"/>
    <n v="5689.7706211511131"/>
    <s v="C"/>
  </r>
  <r>
    <x v="5"/>
    <s v="MATERIAL ELÉTRICO"/>
    <s v="CAIXA DE PASSAGEM ELÉTRICA DE PAREDE CPT 40 - SOBREPOR"/>
    <s v="F-05"/>
    <s v="CAIXA"/>
    <n v="170"/>
    <x v="212"/>
    <n v="20"/>
    <n v="20"/>
    <n v="5"/>
    <n v="2E-3"/>
    <n v="2E-3"/>
    <x v="539"/>
    <n v="35"/>
    <x v="769"/>
    <n v="20"/>
    <n v="1.75"/>
    <n v="23.333333333333336"/>
    <n v="25.083333333333336"/>
    <n v="4.4040146849834203"/>
    <n v="5694.174635836097"/>
    <s v="C"/>
  </r>
  <r>
    <x v="5"/>
    <s v="MATERIAL HIDRÁULICO"/>
    <s v="HIDRÔMETRO"/>
    <s v="59550"/>
    <s v="CAIXA"/>
    <n v="1190"/>
    <x v="247"/>
    <n v="100"/>
    <n v="100"/>
    <n v="100"/>
    <n v="48"/>
    <n v="1"/>
    <x v="76"/>
    <n v="5"/>
    <x v="769"/>
    <n v="20"/>
    <n v="0.25"/>
    <n v="3.333333333333333"/>
    <n v="3.583333333333333"/>
    <n v="4.4040146849834203"/>
    <n v="5698.5786505210808"/>
    <s v="C"/>
  </r>
  <r>
    <x v="5"/>
    <s v="PREGOS E PARAFUSOS"/>
    <s v="ARRUELAS "/>
    <s v="M52"/>
    <s v="CAIXA"/>
    <n v="17"/>
    <x v="225"/>
    <n v="10"/>
    <n v="15"/>
    <n v="10"/>
    <n v="1"/>
    <n v="1.5E-3"/>
    <x v="497"/>
    <n v="350"/>
    <x v="769"/>
    <n v="25"/>
    <n v="7.1428571428571425E-2"/>
    <n v="25.071428571428573"/>
    <n v="25.142857142857146"/>
    <n v="4.4040146849834203"/>
    <n v="5702.9826652060647"/>
    <s v="C"/>
  </r>
  <r>
    <x v="5"/>
    <s v="MATERIAL ELÉTRICO"/>
    <s v="CAIXA DE PASSAGEM ELÉTRICA DE PAREDE "/>
    <s v="F-02"/>
    <s v="CAIXA"/>
    <n v="160"/>
    <x v="212"/>
    <n v="30"/>
    <n v="30"/>
    <n v="9.5"/>
    <n v="8.5500000000000003E-3"/>
    <n v="8.5500000000000003E-3"/>
    <x v="540"/>
    <n v="36"/>
    <x v="770"/>
    <n v="20"/>
    <n v="1.8"/>
    <n v="24"/>
    <n v="25.8"/>
    <n v="4.2633822832780677"/>
    <n v="5707.2460474893423"/>
    <s v="C"/>
  </r>
  <r>
    <x v="5"/>
    <s v="FERRAMENTAS"/>
    <s v="ENXADA"/>
    <s v="77200654"/>
    <s v="UNIDADE"/>
    <n v="21.99"/>
    <x v="178"/>
    <n v="1.3"/>
    <n v="15"/>
    <n v="18.5"/>
    <n v="1.47"/>
    <n v="3.6075000000000001E-4"/>
    <x v="541"/>
    <n v="260"/>
    <x v="771"/>
    <n v="20"/>
    <n v="13"/>
    <n v="173.33333333333331"/>
    <n v="186.33333333333331"/>
    <n v="4.2318510184746563"/>
    <n v="5711.4778985078174"/>
    <s v="C"/>
  </r>
  <r>
    <x v="5"/>
    <s v="MATERIAL ELÉTRICO"/>
    <s v="CAIXA DE LUZ TIGREFLEX 4&quot;X2&quot;"/>
    <s v="G-01"/>
    <s v="CAIXA"/>
    <n v="160"/>
    <x v="212"/>
    <n v="15"/>
    <n v="15"/>
    <n v="4"/>
    <n v="8.9999999999999998E-4"/>
    <n v="8.9999999999999998E-4"/>
    <x v="542"/>
    <n v="35"/>
    <x v="410"/>
    <n v="20"/>
    <n v="1.75"/>
    <n v="23.333333333333336"/>
    <n v="25.083333333333336"/>
    <n v="4.1449549976314541"/>
    <n v="5715.6228535054488"/>
    <s v="C"/>
  </r>
  <r>
    <x v="5"/>
    <s v="MATERIAL HIDRÁULICO"/>
    <s v="TUBO LIGAÇÃO"/>
    <s v="M76"/>
    <s v="CAIXA"/>
    <n v="1107"/>
    <x v="256"/>
    <n v="125"/>
    <n v="75"/>
    <n v="4"/>
    <n v="13.5"/>
    <n v="3.7499999999999999E-2"/>
    <x v="524"/>
    <n v="5"/>
    <x v="772"/>
    <n v="20"/>
    <n v="0.25"/>
    <n v="3.333333333333333"/>
    <n v="3.583333333333333"/>
    <n v="4.0968439128375183"/>
    <n v="5719.7196974182862"/>
    <s v="C"/>
  </r>
  <r>
    <x v="5"/>
    <s v="MATERIAL ELÉTRICO"/>
    <s v="DUCHA"/>
    <s v="CV82"/>
    <s v="SACO"/>
    <n v="68.900000000000006"/>
    <x v="261"/>
    <n v="10"/>
    <n v="15"/>
    <n v="10"/>
    <n v="2"/>
    <n v="1.5E-3"/>
    <x v="481"/>
    <n v="80"/>
    <x v="773"/>
    <n v="20"/>
    <n v="4"/>
    <n v="53.333333333333329"/>
    <n v="57.333333333333329"/>
    <n v="4.0798199905258175"/>
    <n v="5723.7995174088119"/>
    <s v="C"/>
  </r>
  <r>
    <x v="5"/>
    <s v="MATERIAL HIDRÁULICO"/>
    <s v="MISTURADOR"/>
    <s v="M23"/>
    <s v="CAIXA"/>
    <n v="1098"/>
    <x v="222"/>
    <n v="40"/>
    <n v="50"/>
    <n v="72"/>
    <n v="25.8"/>
    <n v="0.14399999999999999"/>
    <x v="461"/>
    <n v="5"/>
    <x v="774"/>
    <n v="20"/>
    <n v="0.25"/>
    <n v="3.333333333333333"/>
    <n v="3.583333333333333"/>
    <n v="4.0635362387494078"/>
    <n v="5727.8630536475612"/>
    <s v="C"/>
  </r>
  <r>
    <x v="5"/>
    <s v="MATERIAL ELÉTRICO"/>
    <s v="DUCHA"/>
    <s v="JET4"/>
    <s v="SACO"/>
    <n v="109"/>
    <x v="222"/>
    <n v="10"/>
    <n v="15"/>
    <n v="10"/>
    <n v="2"/>
    <n v="1.5E-3"/>
    <x v="488"/>
    <n v="50"/>
    <x v="775"/>
    <n v="20"/>
    <n v="2.5"/>
    <n v="33.333333333333336"/>
    <n v="35.833333333333336"/>
    <n v="4.0339294173377551"/>
    <n v="5731.8969830648994"/>
    <s v="C"/>
  </r>
  <r>
    <x v="5"/>
    <s v="MATERIAL ELÉTRICO"/>
    <s v="ELETRODUTO FLEXIVEL CORRUGADO"/>
    <s v="H-04"/>
    <s v="ROLO"/>
    <n v="150"/>
    <x v="262"/>
    <n v="4"/>
    <n v="600"/>
    <n v="3.5"/>
    <n v="8.3999999999999995E-3"/>
    <n v="8.3999999999999995E-3"/>
    <x v="543"/>
    <n v="36"/>
    <x v="776"/>
    <n v="20"/>
    <n v="1.8"/>
    <n v="24"/>
    <n v="25.8"/>
    <n v="3.9969208905731883"/>
    <n v="5735.8939039554725"/>
    <s v="C"/>
  </r>
  <r>
    <x v="5"/>
    <s v="MATERIAL HIDRÁULICO"/>
    <s v="HIDRÔMETRO"/>
    <s v="59552"/>
    <s v="CAIXA"/>
    <n v="1080"/>
    <x v="247"/>
    <n v="100"/>
    <n v="100"/>
    <n v="100"/>
    <n v="48"/>
    <n v="1"/>
    <x v="76"/>
    <n v="5"/>
    <x v="776"/>
    <n v="20"/>
    <n v="0.25"/>
    <n v="3.333333333333333"/>
    <n v="3.583333333333333"/>
    <n v="3.9969208905731883"/>
    <n v="5739.8908248460457"/>
    <s v="C"/>
  </r>
  <r>
    <x v="5"/>
    <s v="FERRAMENTAS"/>
    <s v="TRENA 5 METROS"/>
    <s v="4AS8"/>
    <s v="CAIXA"/>
    <n v="59.6"/>
    <x v="263"/>
    <n v="30"/>
    <n v="24"/>
    <n v="24"/>
    <n v="0.2"/>
    <n v="1.728E-2"/>
    <x v="544"/>
    <n v="90"/>
    <x v="777"/>
    <n v="20"/>
    <n v="4.5"/>
    <n v="60"/>
    <n v="64.5"/>
    <n v="3.9702747513027004"/>
    <n v="5743.8610995973486"/>
    <s v="C"/>
  </r>
  <r>
    <x v="5"/>
    <s v="MATERIAL ELÉTRICO"/>
    <s v="REATORES"/>
    <s v="VTE 2000W"/>
    <s v="CAIXA"/>
    <n v="66.75"/>
    <x v="264"/>
    <n v="15"/>
    <n v="20"/>
    <n v="25"/>
    <n v="7"/>
    <n v="7.4999999999999997E-3"/>
    <x v="388"/>
    <n v="80"/>
    <x v="778"/>
    <n v="20"/>
    <n v="4"/>
    <n v="53.333333333333329"/>
    <n v="57.333333333333329"/>
    <n v="3.9525106584557084"/>
    <n v="5747.8136102558046"/>
    <s v="C"/>
  </r>
  <r>
    <x v="5"/>
    <s v="MATERIAL ELÉTRICO"/>
    <s v="CAIXA DE LUZ ELETRODUTO ROSCÁVEL 4&quot;X4&quot;"/>
    <s v="G-02"/>
    <s v="CAIXA"/>
    <n v="150"/>
    <x v="212"/>
    <n v="20"/>
    <n v="20"/>
    <n v="5"/>
    <n v="2E-3"/>
    <n v="2E-3"/>
    <x v="539"/>
    <n v="35"/>
    <x v="779"/>
    <n v="20"/>
    <n v="1.75"/>
    <n v="23.333333333333336"/>
    <n v="25.083333333333336"/>
    <n v="3.8858953102794884"/>
    <n v="5751.6995055660846"/>
    <s v="C"/>
  </r>
  <r>
    <x v="5"/>
    <s v="PREGOS E PARAFUSOS"/>
    <s v="PREGOS GALVANIZADO"/>
    <s v="M21"/>
    <s v="CAIXA"/>
    <n v="15"/>
    <x v="226"/>
    <n v="20"/>
    <n v="20"/>
    <n v="15"/>
    <n v="1"/>
    <n v="6.0000000000000001E-3"/>
    <x v="466"/>
    <n v="350"/>
    <x v="779"/>
    <n v="25"/>
    <n v="7.1428571428571425E-2"/>
    <n v="25.071428571428573"/>
    <n v="25.142857142857146"/>
    <n v="3.8858953102794884"/>
    <n v="5755.5854008763645"/>
    <s v="C"/>
  </r>
  <r>
    <x v="5"/>
    <s v="MATERIAL ELÉTRICO"/>
    <s v="ELETRODUTOS CASASHOW"/>
    <s v="H-07"/>
    <s v="ROLO"/>
    <n v="130"/>
    <x v="262"/>
    <n v="3"/>
    <n v="700"/>
    <n v="3"/>
    <n v="6.3E-3"/>
    <n v="6.3E-3"/>
    <x v="545"/>
    <n v="40"/>
    <x v="780"/>
    <n v="20"/>
    <n v="2"/>
    <n v="26.666666666666664"/>
    <n v="28.666666666666664"/>
    <n v="3.8488867835149221"/>
    <n v="5759.4342876598794"/>
    <s v="C"/>
  </r>
  <r>
    <x v="5"/>
    <s v="MATERIAL ELÉTRICO"/>
    <s v="DISJUNTOR SECO"/>
    <s v="E-01"/>
    <s v="CAIXA"/>
    <n v="129"/>
    <x v="236"/>
    <n v="15"/>
    <n v="20"/>
    <n v="20"/>
    <n v="6.0000000000000001E-3"/>
    <n v="6.0000000000000001E-3"/>
    <x v="502"/>
    <n v="40"/>
    <x v="781"/>
    <n v="20"/>
    <n v="2"/>
    <n v="26.666666666666664"/>
    <n v="28.666666666666664"/>
    <n v="3.8192799621032685"/>
    <n v="5763.2535676219823"/>
    <s v="C"/>
  </r>
  <r>
    <x v="5"/>
    <s v="MATERIAL ELÉTRICO"/>
    <s v="DUCHA"/>
    <s v="6500W"/>
    <s v="SACO"/>
    <n v="103.18"/>
    <x v="265"/>
    <n v="10"/>
    <n v="15"/>
    <n v="10"/>
    <n v="2"/>
    <n v="1.5E-3"/>
    <x v="488"/>
    <n v="50"/>
    <x v="782"/>
    <n v="20"/>
    <n v="2.5"/>
    <n v="33.333333333333336"/>
    <n v="35.833333333333336"/>
    <n v="3.8185397915679773"/>
    <n v="5767.0721074135499"/>
    <s v="C"/>
  </r>
  <r>
    <x v="5"/>
    <s v="MATERIAL HIDRÁULICO"/>
    <s v="CHUVEIRO"/>
    <s v="M51"/>
    <s v="CAIXA"/>
    <n v="1029"/>
    <x v="222"/>
    <n v="55"/>
    <n v="115"/>
    <n v="49"/>
    <n v="13.8"/>
    <n v="0.30992500000000001"/>
    <x v="518"/>
    <n v="5"/>
    <x v="783"/>
    <n v="20"/>
    <n v="0.25"/>
    <n v="3.333333333333333"/>
    <n v="3.583333333333333"/>
    <n v="3.8081774040738989"/>
    <n v="5770.8802848176238"/>
    <s v="C"/>
  </r>
  <r>
    <x v="5"/>
    <s v="FERRAMENTAS"/>
    <s v="CAIXA FRT. DOBRAVEL C/ 5 GAVETAS"/>
    <s v="C5A"/>
    <s v="CAIXA "/>
    <n v="52.8"/>
    <x v="178"/>
    <n v="55"/>
    <n v="22.7"/>
    <n v="21.5"/>
    <n v="3.0049999999999999"/>
    <n v="2.6842749999999999E-2"/>
    <x v="546"/>
    <n v="95"/>
    <x v="784"/>
    <n v="20"/>
    <n v="4.75"/>
    <n v="63.333333333333329"/>
    <n v="68.083333333333329"/>
    <n v="3.712695405021317"/>
    <n v="5774.5929802226447"/>
    <s v="C"/>
  </r>
  <r>
    <x v="5"/>
    <s v="MATERIAL ELÉTRICO"/>
    <s v="ELETRODUTOS FLEXIVE TIGRE"/>
    <s v="H-06"/>
    <s v="ROLO"/>
    <n v="125"/>
    <x v="262"/>
    <n v="3"/>
    <n v="600"/>
    <n v="3"/>
    <n v="5.4000000000000003E-3"/>
    <n v="5.4000000000000003E-3"/>
    <x v="275"/>
    <n v="40"/>
    <x v="785"/>
    <n v="20"/>
    <n v="2"/>
    <n v="26.666666666666664"/>
    <n v="28.666666666666664"/>
    <n v="3.7008526764566558"/>
    <n v="5778.2938328991013"/>
    <s v="C"/>
  </r>
  <r>
    <x v="5"/>
    <s v="MATERIAL HIDRÁULICO"/>
    <s v="REGISTRO GAVETA JET"/>
    <s v="VOLANTE"/>
    <s v="CAIXA"/>
    <n v="1000"/>
    <x v="245"/>
    <n v="35"/>
    <n v="40"/>
    <n v="4"/>
    <n v="22"/>
    <n v="5.5999999999999999E-3"/>
    <x v="547"/>
    <n v="5"/>
    <x v="785"/>
    <n v="20"/>
    <n v="0.25"/>
    <n v="3.333333333333333"/>
    <n v="3.583333333333333"/>
    <n v="3.7008526764566558"/>
    <n v="5781.9946855755579"/>
    <s v="C"/>
  </r>
  <r>
    <x v="5"/>
    <s v="MATERIAL ELÉTRICO"/>
    <s v="DUCHA"/>
    <s v="127V"/>
    <s v="SACO"/>
    <n v="99.9"/>
    <x v="222"/>
    <n v="10"/>
    <n v="15"/>
    <n v="10"/>
    <n v="2"/>
    <n v="1.5E-3"/>
    <x v="488"/>
    <n v="50"/>
    <x v="786"/>
    <n v="20"/>
    <n v="2.5"/>
    <n v="33.333333333333336"/>
    <n v="35.833333333333336"/>
    <n v="3.697151823780199"/>
    <n v="5785.6918373993385"/>
    <s v="C"/>
  </r>
  <r>
    <x v="5"/>
    <s v="MATERIAL HIDRÁULICO"/>
    <s v="CHUVEIRO"/>
    <s v="M31"/>
    <s v="CAIXA"/>
    <n v="999"/>
    <x v="222"/>
    <n v="55"/>
    <n v="115"/>
    <n v="49"/>
    <n v="12.31"/>
    <n v="0.30992500000000001"/>
    <x v="518"/>
    <n v="5"/>
    <x v="786"/>
    <n v="20"/>
    <n v="0.25"/>
    <n v="3.333333333333333"/>
    <n v="3.583333333333333"/>
    <n v="3.697151823780199"/>
    <n v="5789.3889892231191"/>
    <s v="C"/>
  </r>
  <r>
    <x v="5"/>
    <s v="MATERIAL HIDRÁULICO"/>
    <s v="CHUVEIRO"/>
    <s v="M40"/>
    <s v="CAIXA"/>
    <n v="999"/>
    <x v="222"/>
    <n v="55"/>
    <n v="115"/>
    <n v="49"/>
    <n v="10.5"/>
    <n v="0.30992500000000001"/>
    <x v="518"/>
    <n v="5"/>
    <x v="786"/>
    <n v="20"/>
    <n v="0.25"/>
    <n v="3.333333333333333"/>
    <n v="3.583333333333333"/>
    <n v="3.697151823780199"/>
    <n v="5793.0861410468997"/>
    <s v="C"/>
  </r>
  <r>
    <x v="5"/>
    <s v="MATERIAL HIDRÁULICO"/>
    <s v="CHUVEIRO"/>
    <s v="M38"/>
    <s v="CAIXA"/>
    <n v="989"/>
    <x v="244"/>
    <n v="105"/>
    <n v="65"/>
    <n v="19"/>
    <n v="18"/>
    <n v="0.12967500000000001"/>
    <x v="548"/>
    <n v="5"/>
    <x v="787"/>
    <n v="20"/>
    <n v="0.25"/>
    <n v="3.333333333333333"/>
    <n v="3.583333333333333"/>
    <n v="3.6601432970156327"/>
    <n v="5796.7462843439152"/>
    <s v="C"/>
  </r>
  <r>
    <x v="5"/>
    <s v="MATERIAL ELÉTRICO"/>
    <s v="INTERRUPTOR SIMPLES"/>
    <s v="VERTICAL"/>
    <s v="CAIXA"/>
    <n v="61.25"/>
    <x v="178"/>
    <n v="15"/>
    <n v="20"/>
    <n v="25"/>
    <n v="3"/>
    <n v="7.4999999999999997E-3"/>
    <x v="388"/>
    <n v="80"/>
    <x v="788"/>
    <n v="20"/>
    <n v="4"/>
    <n v="53.333333333333329"/>
    <n v="57.333333333333329"/>
    <n v="3.6268356229275227"/>
    <n v="5800.3731199668428"/>
    <s v="C"/>
  </r>
  <r>
    <x v="5"/>
    <s v="MATERIAL ELÉTRICO"/>
    <s v="INTERRUPTOR SIMPLES"/>
    <s v="VERTICAL"/>
    <s v="CAIXA"/>
    <n v="61.25"/>
    <x v="254"/>
    <n v="15"/>
    <n v="20"/>
    <n v="25"/>
    <n v="3"/>
    <n v="7.4999999999999997E-3"/>
    <x v="388"/>
    <n v="80"/>
    <x v="788"/>
    <n v="20"/>
    <n v="4"/>
    <n v="53.333333333333329"/>
    <n v="57.333333333333329"/>
    <n v="3.6268356229275227"/>
    <n v="5803.9999555897703"/>
    <s v="C"/>
  </r>
  <r>
    <x v="5"/>
    <s v="MATERIAL ELÉTRICO"/>
    <s v="INTERRUPTOR"/>
    <s v="DUPLO"/>
    <s v="CAIXA"/>
    <n v="61.25"/>
    <x v="260"/>
    <n v="15"/>
    <n v="20"/>
    <n v="25"/>
    <n v="3"/>
    <n v="7.4999999999999997E-3"/>
    <x v="388"/>
    <n v="80"/>
    <x v="788"/>
    <n v="20"/>
    <n v="4"/>
    <n v="53.333333333333329"/>
    <n v="57.333333333333329"/>
    <n v="3.6268356229275227"/>
    <n v="5807.6267912126978"/>
    <s v="C"/>
  </r>
  <r>
    <x v="5"/>
    <s v="MATERIAL ELÉTRICO"/>
    <s v="CAIXA DE LUZ ELETRODUT FERRO"/>
    <s v="G-03"/>
    <s v="CAIXA"/>
    <n v="140"/>
    <x v="212"/>
    <n v="12"/>
    <n v="12"/>
    <n v="7"/>
    <n v="1.008E-3"/>
    <n v="1.008E-3"/>
    <x v="116"/>
    <n v="35"/>
    <x v="788"/>
    <n v="20"/>
    <n v="1.75"/>
    <n v="23.333333333333336"/>
    <n v="25.083333333333336"/>
    <n v="3.6268356229275227"/>
    <n v="5811.2536268356253"/>
    <s v="C"/>
  </r>
  <r>
    <x v="5"/>
    <s v="MATERIAL ELÉTRICO"/>
    <s v="POSTES"/>
    <s v="LP 531/92"/>
    <s v="UNIDADE"/>
    <n v="120"/>
    <x v="266"/>
    <n v="700"/>
    <n v="20"/>
    <n v="20"/>
    <n v="60"/>
    <n v="0.28000000000000003"/>
    <x v="549"/>
    <n v="40"/>
    <x v="411"/>
    <n v="20"/>
    <n v="2"/>
    <n v="26.666666666666664"/>
    <n v="28.666666666666664"/>
    <n v="3.5528185693983896"/>
    <n v="5814.8064454050236"/>
    <s v="C"/>
  </r>
  <r>
    <x v="5"/>
    <s v="MATERIAL ELÉTRICO"/>
    <s v="POSTES"/>
    <s v="LP 531/93"/>
    <s v="UNIDADE"/>
    <n v="120"/>
    <x v="266"/>
    <n v="700"/>
    <n v="20"/>
    <n v="20"/>
    <n v="60"/>
    <n v="0.28000000000000003"/>
    <x v="549"/>
    <n v="40"/>
    <x v="411"/>
    <n v="20"/>
    <n v="2"/>
    <n v="26.666666666666664"/>
    <n v="28.666666666666664"/>
    <n v="3.5528185693983896"/>
    <n v="5818.359263974422"/>
    <s v="C"/>
  </r>
  <r>
    <x v="5"/>
    <s v="MATERIAL ELÉTRICO"/>
    <s v="POSTES"/>
    <s v="LP 531/94"/>
    <s v="UNIDADE"/>
    <n v="120"/>
    <x v="266"/>
    <n v="700"/>
    <n v="20"/>
    <n v="20"/>
    <n v="60"/>
    <n v="0.28000000000000003"/>
    <x v="549"/>
    <n v="40"/>
    <x v="411"/>
    <n v="20"/>
    <n v="2"/>
    <n v="26.666666666666664"/>
    <n v="28.666666666666664"/>
    <n v="3.5528185693983896"/>
    <n v="5821.9120825438204"/>
    <s v="C"/>
  </r>
  <r>
    <x v="5"/>
    <s v="MATERIAL ELÉTRICO"/>
    <s v="TORNEIRA ELETRICA"/>
    <s v="391427"/>
    <s v="CAIXA"/>
    <n v="119.9"/>
    <x v="222"/>
    <n v="20"/>
    <n v="15"/>
    <n v="8"/>
    <n v="1"/>
    <n v="2.3999999999999998E-3"/>
    <x v="499"/>
    <n v="40"/>
    <x v="789"/>
    <n v="20"/>
    <n v="2"/>
    <n v="26.666666666666664"/>
    <n v="28.666666666666664"/>
    <n v="3.549857887257224"/>
    <n v="5825.4619404310779"/>
    <s v="C"/>
  </r>
  <r>
    <x v="5"/>
    <s v="MATERIAL ELÉTRICO"/>
    <s v="FIO DE COBRE"/>
    <s v="A-05"/>
    <s v="ROLO"/>
    <n v="50"/>
    <x v="220"/>
    <n v="75"/>
    <n v="400"/>
    <n v="0.55000000000000004"/>
    <n v="1.6500000000000001E-2"/>
    <n v="1.6500000000000004E-2"/>
    <x v="550"/>
    <n v="95"/>
    <x v="790"/>
    <n v="20"/>
    <n v="4.75"/>
    <n v="63.333333333333329"/>
    <n v="68.083333333333329"/>
    <n v="3.5158100426338228"/>
    <n v="5828.9777504737121"/>
    <s v="C"/>
  </r>
  <r>
    <x v="5"/>
    <s v="MATERIAL HIDRÁULICO"/>
    <s v="CHUVEIRO"/>
    <s v="M33"/>
    <s v="CAIXA"/>
    <n v="929"/>
    <x v="222"/>
    <n v="55"/>
    <n v="115"/>
    <n v="49"/>
    <n v="12.31"/>
    <n v="0.30992500000000001"/>
    <x v="518"/>
    <n v="5"/>
    <x v="791"/>
    <n v="20"/>
    <n v="0.25"/>
    <n v="3.333333333333333"/>
    <n v="3.583333333333333"/>
    <n v="3.4380921364282333"/>
    <n v="5832.4158426101403"/>
    <s v="C"/>
  </r>
  <r>
    <x v="5"/>
    <s v="FERRAMENTAS"/>
    <s v="PÁ "/>
    <s v="77400324"/>
    <s v="UNIDADE"/>
    <n v="17.5"/>
    <x v="178"/>
    <n v="98"/>
    <n v="19.5"/>
    <n v="1"/>
    <n v="1.47"/>
    <n v="1.9109999999999999E-3"/>
    <x v="551"/>
    <n v="260"/>
    <x v="792"/>
    <n v="20"/>
    <n v="13"/>
    <n v="173.33333333333331"/>
    <n v="186.33333333333331"/>
    <n v="3.3677759355755565"/>
    <n v="5835.7836185457163"/>
    <s v="C"/>
  </r>
  <r>
    <x v="5"/>
    <s v="MATERIAL HIDRÁULICO"/>
    <s v="CAIXA SIFONADA TAMPA REDONDA"/>
    <s v="TRIPLO"/>
    <s v="LOTE"/>
    <n v="900"/>
    <x v="267"/>
    <n v="100"/>
    <n v="120"/>
    <n v="100"/>
    <n v="9"/>
    <n v="1.2"/>
    <x v="46"/>
    <n v="5"/>
    <x v="793"/>
    <n v="20"/>
    <n v="0.25"/>
    <n v="3.333333333333333"/>
    <n v="3.583333333333333"/>
    <n v="3.3307674088109902"/>
    <n v="5839.1143859545273"/>
    <s v="C"/>
  </r>
  <r>
    <x v="5"/>
    <s v="MATERIAL HIDRÁULICO"/>
    <s v="GRELHA"/>
    <s v="M59"/>
    <s v="CAIXA"/>
    <n v="895"/>
    <x v="268"/>
    <n v="50"/>
    <n v="50"/>
    <n v="20"/>
    <n v="11.6"/>
    <n v="0.05"/>
    <x v="104"/>
    <n v="5"/>
    <x v="794"/>
    <n v="20"/>
    <n v="0.25"/>
    <n v="3.333333333333333"/>
    <n v="3.583333333333333"/>
    <n v="3.312263145428707"/>
    <n v="5842.4266490999562"/>
    <s v="C"/>
  </r>
  <r>
    <x v="5"/>
    <s v="MATERIAL ELÉTRICO"/>
    <s v="POSTES"/>
    <s v="LP 531/88"/>
    <s v="UNIDADE"/>
    <n v="110"/>
    <x v="266"/>
    <n v="700"/>
    <n v="20"/>
    <n v="20"/>
    <n v="60"/>
    <n v="0.28000000000000003"/>
    <x v="549"/>
    <n v="40"/>
    <x v="795"/>
    <n v="20"/>
    <n v="2"/>
    <n v="26.666666666666664"/>
    <n v="28.666666666666664"/>
    <n v="3.2567503552818571"/>
    <n v="5845.683399455238"/>
    <s v="C"/>
  </r>
  <r>
    <x v="5"/>
    <s v="MATERIAL ELÉTRICO"/>
    <s v="POSTES"/>
    <s v="LP 500/89"/>
    <s v="UNIDADE"/>
    <n v="110"/>
    <x v="266"/>
    <n v="700"/>
    <n v="20"/>
    <n v="20"/>
    <n v="60"/>
    <n v="0.28000000000000003"/>
    <x v="549"/>
    <n v="40"/>
    <x v="795"/>
    <n v="20"/>
    <n v="2"/>
    <n v="26.666666666666664"/>
    <n v="28.666666666666664"/>
    <n v="3.2567503552818571"/>
    <n v="5848.9401498105199"/>
    <s v="C"/>
  </r>
  <r>
    <x v="5"/>
    <s v="MATERIAL ELÉTRICO"/>
    <s v="POSTES"/>
    <s v="LP 531/90"/>
    <s v="UNIDADE"/>
    <n v="110"/>
    <x v="266"/>
    <n v="700"/>
    <n v="20"/>
    <n v="20"/>
    <n v="60"/>
    <n v="0.28000000000000003"/>
    <x v="549"/>
    <n v="40"/>
    <x v="795"/>
    <n v="20"/>
    <n v="2"/>
    <n v="26.666666666666664"/>
    <n v="28.666666666666664"/>
    <n v="3.2567503552818571"/>
    <n v="5852.1969001658017"/>
    <s v="C"/>
  </r>
  <r>
    <x v="5"/>
    <s v="MATERIAL ELÉTRICO"/>
    <s v="POSTES"/>
    <s v="LP 600/91"/>
    <s v="UNIDADE"/>
    <n v="110"/>
    <x v="266"/>
    <n v="700"/>
    <n v="20"/>
    <n v="20"/>
    <n v="60"/>
    <n v="0.28000000000000003"/>
    <x v="549"/>
    <n v="40"/>
    <x v="795"/>
    <n v="20"/>
    <n v="2"/>
    <n v="26.666666666666664"/>
    <n v="28.666666666666664"/>
    <n v="3.2567503552818571"/>
    <n v="5855.4536505210835"/>
    <s v="C"/>
  </r>
  <r>
    <x v="5"/>
    <s v="MATERIAL ELÉTRICO"/>
    <s v="ELETRODUTO REFORCADO 50M TIGREFLEX TIGRE"/>
    <s v="H-02"/>
    <s v="ROLO"/>
    <n v="108"/>
    <x v="262"/>
    <n v="3.5"/>
    <n v="500"/>
    <n v="3.5"/>
    <n v="6.1250000000000002E-3"/>
    <n v="6.1250000000000002E-3"/>
    <x v="552"/>
    <n v="40"/>
    <x v="796"/>
    <n v="20"/>
    <n v="2"/>
    <n v="26.666666666666664"/>
    <n v="28.666666666666664"/>
    <n v="3.1975367124585508"/>
    <n v="5858.6511872335423"/>
    <s v="C"/>
  </r>
  <r>
    <x v="5"/>
    <s v="MATERIAL ELÉTRICO"/>
    <s v="ELETRODUTO CORRUGADO FLEXIVEL PIAL LEGRAND "/>
    <s v="H-05"/>
    <s v="ROLO"/>
    <n v="108"/>
    <x v="262"/>
    <n v="3"/>
    <n v="565"/>
    <n v="3.5"/>
    <n v="5.9325000000000003E-3"/>
    <n v="5.9325000000000003E-3"/>
    <x v="553"/>
    <n v="40"/>
    <x v="796"/>
    <n v="20"/>
    <n v="2"/>
    <n v="26.666666666666664"/>
    <n v="28.666666666666664"/>
    <n v="3.1975367124585508"/>
    <n v="5861.848723946001"/>
    <s v="C"/>
  </r>
  <r>
    <x v="5"/>
    <s v="MATERIAL ELÉTRICO"/>
    <s v="TORNEIRA ELETRICA"/>
    <s v="84175"/>
    <s v="CAIXA"/>
    <n v="107.5"/>
    <x v="265"/>
    <n v="20"/>
    <n v="15"/>
    <n v="8"/>
    <n v="1"/>
    <n v="2.3999999999999998E-3"/>
    <x v="499"/>
    <n v="40"/>
    <x v="797"/>
    <n v="20"/>
    <n v="2"/>
    <n v="26.666666666666664"/>
    <n v="28.666666666666664"/>
    <n v="3.182733301752724"/>
    <n v="5865.0314572477537"/>
    <s v="C"/>
  </r>
  <r>
    <x v="5"/>
    <s v="MATERIAL ELÉTRICO"/>
    <s v="POSTES"/>
    <s v="DT90"/>
    <s v="UNIDADE"/>
    <n v="105"/>
    <x v="269"/>
    <n v="700"/>
    <n v="15"/>
    <n v="15"/>
    <n v="60"/>
    <n v="0.1575"/>
    <x v="554"/>
    <n v="40"/>
    <x v="798"/>
    <n v="20"/>
    <n v="2"/>
    <n v="26.666666666666664"/>
    <n v="28.666666666666664"/>
    <n v="3.1087162482235908"/>
    <n v="5868.1401734959773"/>
    <s v="C"/>
  </r>
  <r>
    <x v="5"/>
    <s v="MATERIAL ELÉTRICO"/>
    <s v="POSTES"/>
    <s v="DT90"/>
    <s v="UNIDADE"/>
    <n v="105"/>
    <x v="269"/>
    <n v="700"/>
    <n v="15"/>
    <n v="15"/>
    <n v="60"/>
    <n v="0.1575"/>
    <x v="554"/>
    <n v="40"/>
    <x v="798"/>
    <n v="20"/>
    <n v="2"/>
    <n v="26.666666666666664"/>
    <n v="28.666666666666664"/>
    <n v="3.1087162482235908"/>
    <n v="5871.2488897442008"/>
    <s v="C"/>
  </r>
  <r>
    <x v="5"/>
    <s v="MATERIAL ELÉTRICO"/>
    <s v="POSTES"/>
    <s v="DT200"/>
    <s v="UNIDADE"/>
    <n v="105"/>
    <x v="269"/>
    <n v="600"/>
    <n v="15"/>
    <n v="15"/>
    <n v="55"/>
    <n v="0.13500000000000001"/>
    <x v="21"/>
    <n v="40"/>
    <x v="798"/>
    <n v="20"/>
    <n v="2"/>
    <n v="26.666666666666664"/>
    <n v="28.666666666666664"/>
    <n v="3.1087162482235908"/>
    <n v="5874.3576059924244"/>
    <s v="C"/>
  </r>
  <r>
    <x v="5"/>
    <s v="MATERIAL ELÉTRICO"/>
    <s v="POSTES"/>
    <s v="DT200"/>
    <s v="UNIDADE"/>
    <n v="105"/>
    <x v="269"/>
    <n v="600"/>
    <n v="15"/>
    <n v="15"/>
    <n v="55"/>
    <n v="0.13500000000000001"/>
    <x v="21"/>
    <n v="40"/>
    <x v="798"/>
    <n v="20"/>
    <n v="2"/>
    <n v="26.666666666666664"/>
    <n v="28.666666666666664"/>
    <n v="3.1087162482235908"/>
    <n v="5877.466322240648"/>
    <s v="C"/>
  </r>
  <r>
    <x v="5"/>
    <s v="MATERIAL ELÉTRICO"/>
    <s v="POSTES"/>
    <s v="DT200"/>
    <s v="UNIDADE"/>
    <n v="105"/>
    <x v="269"/>
    <n v="600"/>
    <n v="15"/>
    <n v="15"/>
    <n v="55"/>
    <n v="0.13500000000000001"/>
    <x v="21"/>
    <n v="40"/>
    <x v="798"/>
    <n v="20"/>
    <n v="2"/>
    <n v="26.666666666666664"/>
    <n v="28.666666666666664"/>
    <n v="3.1087162482235908"/>
    <n v="5880.5750384888715"/>
    <s v="C"/>
  </r>
  <r>
    <x v="5"/>
    <s v="MATERIAL ELÉTRICO"/>
    <s v="POSTES"/>
    <s v="DT200"/>
    <s v="UNIDADE"/>
    <n v="105"/>
    <x v="269"/>
    <n v="600"/>
    <n v="15"/>
    <n v="15"/>
    <n v="55"/>
    <n v="0.13500000000000001"/>
    <x v="21"/>
    <n v="40"/>
    <x v="798"/>
    <n v="20"/>
    <n v="2"/>
    <n v="26.666666666666664"/>
    <n v="28.666666666666664"/>
    <n v="3.1087162482235908"/>
    <n v="5883.6837547370951"/>
    <s v="C"/>
  </r>
  <r>
    <x v="5"/>
    <s v="MATERIAL ELÉTRICO"/>
    <s v="REATORES"/>
    <s v="CD35 "/>
    <s v="CAIXA"/>
    <n v="52.5"/>
    <x v="264"/>
    <n v="15"/>
    <n v="20"/>
    <n v="25"/>
    <n v="7"/>
    <n v="7.4999999999999997E-3"/>
    <x v="388"/>
    <n v="80"/>
    <x v="798"/>
    <n v="20"/>
    <n v="4"/>
    <n v="53.333333333333329"/>
    <n v="57.333333333333329"/>
    <n v="3.1087162482235908"/>
    <n v="5886.7924709853187"/>
    <s v="C"/>
  </r>
  <r>
    <x v="5"/>
    <s v="MATERIAL ELÉTRICO"/>
    <s v="CAIXA DE LUZ ELETRODUTO ROSCÁVEL 2&quot;X2&quot;"/>
    <s v="G-05"/>
    <s v="CAIXA"/>
    <n v="120"/>
    <x v="212"/>
    <n v="15"/>
    <n v="15"/>
    <n v="5"/>
    <n v="1.1249999999999999E-3"/>
    <n v="1.1249999999999999E-3"/>
    <x v="555"/>
    <n v="35"/>
    <x v="798"/>
    <n v="20"/>
    <n v="1.75"/>
    <n v="23.333333333333336"/>
    <n v="25.083333333333336"/>
    <n v="3.1087162482235908"/>
    <n v="5889.9011872335423"/>
    <s v="C"/>
  </r>
  <r>
    <x v="5"/>
    <s v="MATERIAL HIDRÁULICO"/>
    <s v="VALVULA PARA LAVATORIO"/>
    <s v="M68"/>
    <s v="CAIXA"/>
    <n v="837"/>
    <x v="256"/>
    <n v="11.5"/>
    <n v="24"/>
    <n v="8"/>
    <n v="6.72"/>
    <n v="2.2079999999999999E-3"/>
    <x v="556"/>
    <n v="5"/>
    <x v="799"/>
    <n v="20"/>
    <n v="0.25"/>
    <n v="3.333333333333333"/>
    <n v="3.583333333333333"/>
    <n v="3.0976136901942208"/>
    <n v="5892.9988009237368"/>
    <s v="C"/>
  </r>
  <r>
    <x v="5"/>
    <s v="MATERIAL HIDRÁULICO"/>
    <s v="VALVULA PARA LAVATORIO"/>
    <s v="M63"/>
    <s v="CAIXA"/>
    <n v="837"/>
    <x v="41"/>
    <n v="25"/>
    <n v="18"/>
    <n v="6"/>
    <n v="1.08"/>
    <n v="2.7000000000000001E-3"/>
    <x v="509"/>
    <n v="5"/>
    <x v="799"/>
    <n v="20"/>
    <n v="0.25"/>
    <n v="3.333333333333333"/>
    <n v="3.583333333333333"/>
    <n v="3.0976136901942208"/>
    <n v="5896.0964146139313"/>
    <s v="C"/>
  </r>
  <r>
    <x v="5"/>
    <s v="MATERIAL ELÉTRICO"/>
    <s v="FIO DE COBRE"/>
    <s v="A-01"/>
    <s v="ROLO"/>
    <n v="115"/>
    <x v="220"/>
    <n v="18"/>
    <n v="1000"/>
    <n v="0.55000000000000004"/>
    <n v="9.9000000000000008E-3"/>
    <n v="9.9000000000000008E-3"/>
    <x v="557"/>
    <n v="36"/>
    <x v="800"/>
    <n v="20"/>
    <n v="1.8"/>
    <n v="24"/>
    <n v="25.8"/>
    <n v="3.0643060161061109"/>
    <n v="5899.1607206300378"/>
    <s v="C"/>
  </r>
  <r>
    <x v="5"/>
    <s v="MATERIAL ELÉTRICO"/>
    <s v="POSTES"/>
    <s v="DT300"/>
    <s v="UNIDADE"/>
    <n v="100"/>
    <x v="269"/>
    <n v="600"/>
    <n v="15"/>
    <n v="15"/>
    <n v="55"/>
    <n v="0.13500000000000001"/>
    <x v="21"/>
    <n v="40"/>
    <x v="562"/>
    <n v="20"/>
    <n v="2"/>
    <n v="26.666666666666664"/>
    <n v="28.666666666666664"/>
    <n v="2.9606821411653246"/>
    <n v="5902.1214027712031"/>
    <s v="C"/>
  </r>
  <r>
    <x v="5"/>
    <s v="MATERIAL ELÉTRICO"/>
    <s v="POSTES"/>
    <s v="DT290"/>
    <s v="UNIDADE"/>
    <n v="100"/>
    <x v="269"/>
    <n v="600"/>
    <n v="15"/>
    <n v="15"/>
    <n v="55"/>
    <n v="0.13500000000000001"/>
    <x v="21"/>
    <n v="40"/>
    <x v="562"/>
    <n v="20"/>
    <n v="2"/>
    <n v="26.666666666666664"/>
    <n v="28.666666666666664"/>
    <n v="2.9606821411653246"/>
    <n v="5905.0820849123684"/>
    <s v="C"/>
  </r>
  <r>
    <x v="5"/>
    <s v="MATERIAL ELÉTRICO"/>
    <s v="POSTES"/>
    <s v="DT250"/>
    <s v="UNIDADE"/>
    <n v="100"/>
    <x v="269"/>
    <n v="600"/>
    <n v="15"/>
    <n v="15"/>
    <n v="55"/>
    <n v="0.13500000000000001"/>
    <x v="21"/>
    <n v="40"/>
    <x v="562"/>
    <n v="20"/>
    <n v="2"/>
    <n v="26.666666666666664"/>
    <n v="28.666666666666664"/>
    <n v="2.9606821411653246"/>
    <n v="5908.0427670535337"/>
    <s v="C"/>
  </r>
  <r>
    <x v="5"/>
    <s v="MATERIAL ELÉTRICO"/>
    <s v="POSTES"/>
    <s v="PD35 "/>
    <s v="UNIDADE"/>
    <n v="100"/>
    <x v="269"/>
    <n v="500"/>
    <n v="15"/>
    <n v="15"/>
    <n v="50"/>
    <n v="0.1125"/>
    <x v="42"/>
    <n v="40"/>
    <x v="562"/>
    <n v="20"/>
    <n v="2"/>
    <n v="26.666666666666664"/>
    <n v="28.666666666666664"/>
    <n v="2.9606821411653246"/>
    <n v="5911.003449194699"/>
    <s v="C"/>
  </r>
  <r>
    <x v="5"/>
    <s v="MATERIAL ELÉTRICO"/>
    <s v="POSTES"/>
    <s v="PD44"/>
    <s v="UNIDADE"/>
    <n v="100"/>
    <x v="269"/>
    <n v="500"/>
    <n v="15"/>
    <n v="15"/>
    <n v="50"/>
    <n v="0.1125"/>
    <x v="42"/>
    <n v="40"/>
    <x v="562"/>
    <n v="20"/>
    <n v="2"/>
    <n v="26.666666666666664"/>
    <n v="28.666666666666664"/>
    <n v="2.9606821411653246"/>
    <n v="5913.9641313358643"/>
    <s v="C"/>
  </r>
  <r>
    <x v="5"/>
    <s v="MATERIAL ELÉTRICO"/>
    <s v="POSTES"/>
    <s v="PD95"/>
    <s v="UNIDADE"/>
    <n v="100"/>
    <x v="269"/>
    <n v="500"/>
    <n v="15"/>
    <n v="15"/>
    <n v="50"/>
    <n v="0.1125"/>
    <x v="42"/>
    <n v="40"/>
    <x v="562"/>
    <n v="20"/>
    <n v="2"/>
    <n v="26.666666666666664"/>
    <n v="28.666666666666664"/>
    <n v="2.9606821411653246"/>
    <n v="5916.9248134770296"/>
    <s v="C"/>
  </r>
  <r>
    <x v="5"/>
    <s v="MATERIAL ELÉTRICO"/>
    <s v="INTERRUPTOR"/>
    <s v="DUPLO"/>
    <s v="CAIXA"/>
    <n v="50"/>
    <x v="260"/>
    <n v="15"/>
    <n v="20"/>
    <n v="25"/>
    <n v="3"/>
    <n v="7.4999999999999997E-3"/>
    <x v="388"/>
    <n v="80"/>
    <x v="562"/>
    <n v="20"/>
    <n v="4"/>
    <n v="53.333333333333329"/>
    <n v="57.333333333333329"/>
    <n v="2.9606821411653246"/>
    <n v="5919.8854956181949"/>
    <s v="C"/>
  </r>
  <r>
    <x v="5"/>
    <s v="MATERIAL ELÉTRICO"/>
    <s v="POSTES"/>
    <s v="MULTI200"/>
    <s v="UNIDADE"/>
    <n v="99.99"/>
    <x v="269"/>
    <n v="500"/>
    <n v="15"/>
    <n v="15"/>
    <n v="50"/>
    <n v="0.1125"/>
    <x v="42"/>
    <n v="40"/>
    <x v="801"/>
    <n v="20"/>
    <n v="2"/>
    <n v="26.666666666666664"/>
    <n v="28.666666666666664"/>
    <n v="2.9603860729512079"/>
    <n v="5922.8458816911461"/>
    <s v="C"/>
  </r>
  <r>
    <x v="5"/>
    <s v="MATERIAL ELÉTRICO"/>
    <s v="INTERRUPTOR SIMPLES"/>
    <s v="VERTICAL"/>
    <s v="CAIXA"/>
    <n v="49.75"/>
    <x v="254"/>
    <n v="15"/>
    <n v="20"/>
    <n v="25"/>
    <n v="3"/>
    <n v="7.4999999999999997E-3"/>
    <x v="388"/>
    <n v="80"/>
    <x v="802"/>
    <n v="20"/>
    <n v="4"/>
    <n v="53.333333333333329"/>
    <n v="57.333333333333329"/>
    <n v="2.9458787304594978"/>
    <n v="5925.7917604216054"/>
    <s v="C"/>
  </r>
  <r>
    <x v="5"/>
    <s v="MATERIAL HIDRÁULICO"/>
    <s v="VALVULA PARA LAVATORIO"/>
    <s v="M64"/>
    <s v="CAIXA"/>
    <n v="777"/>
    <x v="256"/>
    <n v="11.5"/>
    <n v="24"/>
    <n v="8"/>
    <n v="6.72"/>
    <n v="2.2079999999999999E-3"/>
    <x v="556"/>
    <n v="5"/>
    <x v="803"/>
    <n v="20"/>
    <n v="0.25"/>
    <n v="3.333333333333333"/>
    <n v="3.583333333333333"/>
    <n v="2.8755625296068215"/>
    <n v="5928.6673229512126"/>
    <s v="C"/>
  </r>
  <r>
    <x v="5"/>
    <s v="MATERIAL ELÉTRICO"/>
    <s v="TORNEIRA ELETRICA"/>
    <s v="419181"/>
    <s v="CAIXA"/>
    <n v="94.9"/>
    <x v="222"/>
    <n v="20"/>
    <n v="15"/>
    <n v="8"/>
    <n v="1"/>
    <n v="2.3999999999999998E-3"/>
    <x v="499"/>
    <n v="40"/>
    <x v="804"/>
    <n v="20"/>
    <n v="2"/>
    <n v="26.666666666666664"/>
    <n v="28.666666666666664"/>
    <n v="2.8096873519658931"/>
    <n v="5931.4770103031788"/>
    <s v="C"/>
  </r>
  <r>
    <x v="5"/>
    <s v="MATERIAL HIDRÁULICO"/>
    <s v="CHUVEIRO"/>
    <s v="M34"/>
    <s v="CAIXA"/>
    <n v="759"/>
    <x v="222"/>
    <n v="55"/>
    <n v="115"/>
    <n v="49"/>
    <n v="12.31"/>
    <n v="0.30992500000000001"/>
    <x v="518"/>
    <n v="5"/>
    <x v="805"/>
    <n v="20"/>
    <n v="0.25"/>
    <n v="3.333333333333333"/>
    <n v="3.583333333333333"/>
    <n v="2.8089471814306015"/>
    <n v="5934.2859574846098"/>
    <s v="C"/>
  </r>
  <r>
    <x v="5"/>
    <s v="MATERIAL ELÉTRICO"/>
    <s v="FIO DE COBRE ESMALTADO"/>
    <s v="C-02"/>
    <s v="ROLO"/>
    <n v="39.9"/>
    <x v="215"/>
    <n v="45"/>
    <n v="700"/>
    <n v="0.5"/>
    <n v="1.575E-2"/>
    <n v="1.575E-2"/>
    <x v="558"/>
    <n v="95"/>
    <x v="806"/>
    <n v="20"/>
    <n v="4.75"/>
    <n v="63.333333333333329"/>
    <n v="68.083333333333329"/>
    <n v="2.8056164140217907"/>
    <n v="5937.0915738986314"/>
    <s v="C"/>
  </r>
  <r>
    <x v="5"/>
    <s v="MATERIAL ELÉTRICO"/>
    <s v="REATORES"/>
    <s v="HID EXTERNO"/>
    <s v="CAIXA"/>
    <n v="90"/>
    <x v="91"/>
    <n v="15"/>
    <n v="20"/>
    <n v="25"/>
    <n v="10"/>
    <n v="7.4999999999999997E-3"/>
    <x v="530"/>
    <n v="40"/>
    <x v="564"/>
    <n v="20"/>
    <n v="2"/>
    <n v="26.666666666666664"/>
    <n v="28.666666666666664"/>
    <n v="2.6646139270487921"/>
    <n v="5939.7561878256802"/>
    <s v="C"/>
  </r>
  <r>
    <x v="5"/>
    <s v="MATERIAL ELÉTRICO"/>
    <s v="TORNEIRA ELETRICA"/>
    <s v="299618"/>
    <s v="CAIXA"/>
    <n v="89.9"/>
    <x v="222"/>
    <n v="20"/>
    <n v="15"/>
    <n v="8"/>
    <n v="1"/>
    <n v="2.3999999999999998E-3"/>
    <x v="499"/>
    <n v="40"/>
    <x v="807"/>
    <n v="20"/>
    <n v="2"/>
    <n v="26.666666666666664"/>
    <n v="28.666666666666664"/>
    <n v="2.6616532449076269"/>
    <n v="5942.4178410705881"/>
    <s v="C"/>
  </r>
  <r>
    <x v="5"/>
    <s v="MATERIAL ELÉTRICO"/>
    <s v="TORNEIRA ELETRICA"/>
    <s v="299618"/>
    <s v="CAIXA"/>
    <n v="89.9"/>
    <x v="222"/>
    <n v="20"/>
    <n v="15"/>
    <n v="8"/>
    <n v="1"/>
    <n v="2.3999999999999998E-3"/>
    <x v="499"/>
    <n v="40"/>
    <x v="807"/>
    <n v="20"/>
    <n v="2"/>
    <n v="26.666666666666664"/>
    <n v="28.666666666666664"/>
    <n v="2.6616532449076269"/>
    <n v="5945.079494315496"/>
    <s v="C"/>
  </r>
  <r>
    <x v="5"/>
    <s v="MATERIAL ELÉTRICO"/>
    <s v="LUMINÁRIAS SUSPENSAS"/>
    <s v="TBS065"/>
    <s v="UNIDADE"/>
    <n v="89"/>
    <x v="91"/>
    <n v="5.5"/>
    <n v="130"/>
    <n v="35"/>
    <n v="8"/>
    <n v="2.5024999999999999E-2"/>
    <x v="559"/>
    <n v="40"/>
    <x v="565"/>
    <n v="20"/>
    <n v="2"/>
    <n v="26.666666666666664"/>
    <n v="28.666666666666664"/>
    <n v="2.6350071056371389"/>
    <n v="5947.7145014211328"/>
    <s v="C"/>
  </r>
  <r>
    <x v="5"/>
    <s v="MATERIAL ELÉTRICO"/>
    <s v="LUMINÁRIAS SUSPENSAS"/>
    <s v="78945"/>
    <s v="UNIDADE"/>
    <n v="88"/>
    <x v="264"/>
    <n v="5"/>
    <n v="135"/>
    <n v="40"/>
    <n v="9"/>
    <n v="2.7E-2"/>
    <x v="560"/>
    <n v="40"/>
    <x v="808"/>
    <n v="20"/>
    <n v="2"/>
    <n v="26.666666666666664"/>
    <n v="28.666666666666664"/>
    <n v="2.6054002842254858"/>
    <n v="5950.3199017053585"/>
    <s v="C"/>
  </r>
  <r>
    <x v="5"/>
    <s v="MATERIAL ELÉTRICO"/>
    <s v="CAIXA DE LUZ ELETRODUT"/>
    <s v="G-07"/>
    <s v="CAIXA"/>
    <n v="100"/>
    <x v="212"/>
    <n v="15"/>
    <n v="15"/>
    <n v="8"/>
    <n v="1.8E-3"/>
    <n v="1.8E-3"/>
    <x v="561"/>
    <n v="35"/>
    <x v="809"/>
    <n v="20"/>
    <n v="1.75"/>
    <n v="23.333333333333336"/>
    <n v="25.083333333333336"/>
    <n v="2.5905968735196589"/>
    <n v="5952.9104985788781"/>
    <s v="C"/>
  </r>
  <r>
    <x v="5"/>
    <s v="MATERIAL HIDRÁULICO"/>
    <s v="REGISTRO CROMADO GYRO"/>
    <s v="ROSQUEAVEL"/>
    <s v="CAIXA"/>
    <n v="684.9"/>
    <x v="233"/>
    <n v="20"/>
    <n v="40"/>
    <n v="20"/>
    <n v="4"/>
    <n v="1.6E-2"/>
    <x v="562"/>
    <n v="5"/>
    <x v="810"/>
    <n v="20"/>
    <n v="0.25"/>
    <n v="3.333333333333333"/>
    <n v="3.583333333333333"/>
    <n v="2.5347139981051634"/>
    <n v="5955.4452125769831"/>
    <s v="C"/>
  </r>
  <r>
    <x v="5"/>
    <s v="FERRAMENTAS"/>
    <s v="ESCADA CONFORT LUXO INOX P/ PISCINA 4 DEGRAUS"/>
    <s v="CLI 7596"/>
    <s v="CAIXA "/>
    <n v="1650"/>
    <x v="270"/>
    <n v="180"/>
    <n v="50"/>
    <n v="8"/>
    <n v="37"/>
    <n v="7.1999999999999995E-2"/>
    <x v="563"/>
    <n v="2"/>
    <x v="412"/>
    <n v="20"/>
    <n v="0.1"/>
    <n v="1.3333333333333333"/>
    <n v="1.4333333333333333"/>
    <n v="2.4425627664613927"/>
    <n v="5957.8877753434444"/>
    <s v="C"/>
  </r>
  <r>
    <x v="5"/>
    <s v="MATERIAL ELÉTRICO"/>
    <s v="REATORES"/>
    <s v="HID EXTERNO"/>
    <s v="CAIXA"/>
    <n v="82.5"/>
    <x v="91"/>
    <n v="15"/>
    <n v="20"/>
    <n v="25"/>
    <n v="10"/>
    <n v="7.4999999999999997E-3"/>
    <x v="530"/>
    <n v="40"/>
    <x v="412"/>
    <n v="20"/>
    <n v="2"/>
    <n v="26.666666666666664"/>
    <n v="28.666666666666664"/>
    <n v="2.4425627664613927"/>
    <n v="5960.3303381099058"/>
    <s v="C"/>
  </r>
  <r>
    <x v="5"/>
    <s v="MATERIAL HIDRÁULICO"/>
    <s v="CANOS ESGOTO"/>
    <s v="210118"/>
    <s v="FARDO"/>
    <n v="659"/>
    <x v="212"/>
    <n v="30"/>
    <n v="300"/>
    <n v="30"/>
    <n v="73.16"/>
    <n v="0.27"/>
    <x v="86"/>
    <n v="5"/>
    <x v="811"/>
    <n v="20"/>
    <n v="0.25"/>
    <n v="3.333333333333333"/>
    <n v="3.583333333333333"/>
    <n v="2.4388619137849363"/>
    <n v="5962.7692000236912"/>
    <s v="C"/>
  </r>
  <r>
    <x v="5"/>
    <s v="MATERIAL HIDRÁULICO"/>
    <s v="CHUVEIRO"/>
    <s v="M37"/>
    <s v="CAIXA"/>
    <n v="659"/>
    <x v="222"/>
    <n v="55"/>
    <n v="115"/>
    <n v="49"/>
    <n v="15"/>
    <n v="0.30992500000000001"/>
    <x v="518"/>
    <n v="5"/>
    <x v="811"/>
    <n v="20"/>
    <n v="0.25"/>
    <n v="3.333333333333333"/>
    <n v="3.583333333333333"/>
    <n v="2.4388619137849363"/>
    <n v="5965.2080619374765"/>
    <s v="C"/>
  </r>
  <r>
    <x v="5"/>
    <s v="MATERIAL HIDRÁULICO"/>
    <s v="CHUVEIRO"/>
    <s v="M32"/>
    <s v="CAIXA"/>
    <n v="659"/>
    <x v="222"/>
    <n v="55"/>
    <n v="115"/>
    <n v="49"/>
    <n v="12.31"/>
    <n v="0.30992500000000001"/>
    <x v="518"/>
    <n v="5"/>
    <x v="811"/>
    <n v="20"/>
    <n v="0.25"/>
    <n v="3.333333333333333"/>
    <n v="3.583333333333333"/>
    <n v="2.4388619137849363"/>
    <n v="5967.6469238512618"/>
    <s v="C"/>
  </r>
  <r>
    <x v="5"/>
    <s v="MATERIAL HIDRÁULICO"/>
    <s v="TUBO LIGAÇÃO"/>
    <s v="M78"/>
    <s v="CAIXA"/>
    <n v="657"/>
    <x v="256"/>
    <n v="125"/>
    <n v="75"/>
    <n v="4"/>
    <n v="13.5"/>
    <n v="3.7499999999999999E-2"/>
    <x v="524"/>
    <n v="5"/>
    <x v="812"/>
    <n v="20"/>
    <n v="0.25"/>
    <n v="3.333333333333333"/>
    <n v="3.583333333333333"/>
    <n v="2.4314602084320227"/>
    <n v="5970.0783840596941"/>
    <s v="C"/>
  </r>
  <r>
    <x v="5"/>
    <s v="MATERIAL HIDRÁULICO"/>
    <s v="REGISTRO CROMADO SUPER C21"/>
    <s v="ROSQUEAVEL"/>
    <s v="CAIXA"/>
    <n v="650"/>
    <x v="41"/>
    <n v="20"/>
    <n v="15"/>
    <n v="30"/>
    <n v="4"/>
    <n v="8.9999999999999993E-3"/>
    <x v="401"/>
    <n v="5"/>
    <x v="813"/>
    <n v="20"/>
    <n v="0.25"/>
    <n v="3.333333333333333"/>
    <n v="3.583333333333333"/>
    <n v="2.4055542396968264"/>
    <n v="5972.4839382993914"/>
    <s v="C"/>
  </r>
  <r>
    <x v="5"/>
    <s v="MATERIAL ELÉTRICO"/>
    <s v="TOMADA"/>
    <s v="RJ45 BLISS"/>
    <s v="CAIXA"/>
    <n v="40"/>
    <x v="178"/>
    <n v="15"/>
    <n v="20"/>
    <n v="25"/>
    <n v="4"/>
    <n v="7.4999999999999997E-3"/>
    <x v="388"/>
    <n v="80"/>
    <x v="814"/>
    <n v="20"/>
    <n v="4"/>
    <n v="53.333333333333329"/>
    <n v="57.333333333333329"/>
    <n v="2.3685457129322596"/>
    <n v="5974.8524840123237"/>
    <s v="C"/>
  </r>
  <r>
    <x v="5"/>
    <s v="MATERIAL ELÉTRICO"/>
    <s v="LUMINÁRIAS SUSPENSAS"/>
    <s v="L784"/>
    <s v="UNIDADE"/>
    <n v="79"/>
    <x v="271"/>
    <n v="6"/>
    <n v="137"/>
    <n v="30"/>
    <n v="8"/>
    <n v="2.4660000000000001E-2"/>
    <x v="564"/>
    <n v="40"/>
    <x v="815"/>
    <n v="20"/>
    <n v="2"/>
    <n v="26.666666666666664"/>
    <n v="28.666666666666664"/>
    <n v="2.3389388915206064"/>
    <n v="5977.1914229038439"/>
    <s v="C"/>
  </r>
  <r>
    <x v="5"/>
    <s v="MATERIAL ELÉTRICO"/>
    <s v="LUMINÁRIAS SUSPENSAS"/>
    <s v="TBS022"/>
    <s v="UNIDADE"/>
    <n v="79"/>
    <x v="91"/>
    <n v="5.5"/>
    <n v="137"/>
    <n v="35"/>
    <n v="8"/>
    <n v="2.63725E-2"/>
    <x v="565"/>
    <n v="40"/>
    <x v="815"/>
    <n v="20"/>
    <n v="2"/>
    <n v="26.666666666666664"/>
    <n v="28.666666666666664"/>
    <n v="2.3389388915206064"/>
    <n v="5979.5303617953641"/>
    <s v="C"/>
  </r>
  <r>
    <x v="5"/>
    <s v="MATERIAL HIDRÁULICO"/>
    <s v="CHUVEIRO"/>
    <s v="M49"/>
    <s v="CAIXA"/>
    <n v="629"/>
    <x v="222"/>
    <n v="55"/>
    <n v="115"/>
    <n v="49"/>
    <n v="13.8"/>
    <n v="0.30992500000000001"/>
    <x v="518"/>
    <n v="5"/>
    <x v="816"/>
    <n v="20"/>
    <n v="0.25"/>
    <n v="3.333333333333333"/>
    <n v="3.583333333333333"/>
    <n v="2.3278363334912364"/>
    <n v="5981.8581981288553"/>
    <s v="C"/>
  </r>
  <r>
    <x v="5"/>
    <s v="FERRAMENTAS"/>
    <s v="ENXADA"/>
    <s v="77201654"/>
    <s v="UNIDADE"/>
    <n v="28.4"/>
    <x v="178"/>
    <n v="1.3"/>
    <n v="16.5"/>
    <n v="18.399999999999999"/>
    <n v="1.47"/>
    <n v="3.9467999999999995E-4"/>
    <x v="566"/>
    <n v="110"/>
    <x v="817"/>
    <n v="20"/>
    <n v="5.5"/>
    <n v="73.333333333333329"/>
    <n v="78.833333333333329"/>
    <n v="2.3122927522501184"/>
    <n v="5984.1704908811053"/>
    <s v="C"/>
  </r>
  <r>
    <x v="5"/>
    <s v="FERRAMENTAS"/>
    <s v="ENXADA"/>
    <s v="77212604"/>
    <s v="UNIDADE"/>
    <n v="28.39"/>
    <x v="178"/>
    <n v="1.3"/>
    <n v="18.8"/>
    <n v="19"/>
    <n v="1.44"/>
    <n v="4.6436000000000003E-4"/>
    <x v="567"/>
    <n v="110"/>
    <x v="818"/>
    <n v="20"/>
    <n v="5.5"/>
    <n v="73.333333333333329"/>
    <n v="78.833333333333329"/>
    <n v="2.3114785646612983"/>
    <n v="5986.4819694457665"/>
    <s v="C"/>
  </r>
  <r>
    <x v="5"/>
    <s v="MATERIAL HIDRÁULICO"/>
    <s v="SIFÃO"/>
    <s v="M5"/>
    <s v="CAIXA"/>
    <n v="619"/>
    <x v="251"/>
    <n v="100"/>
    <n v="100"/>
    <n v="100"/>
    <n v="0.7"/>
    <n v="1"/>
    <x v="76"/>
    <n v="5"/>
    <x v="819"/>
    <n v="20"/>
    <n v="0.25"/>
    <n v="3.333333333333333"/>
    <n v="3.583333333333333"/>
    <n v="2.2908278067266701"/>
    <n v="5988.7727972524935"/>
    <s v="C"/>
  </r>
  <r>
    <x v="5"/>
    <s v="FERRAMENTAS"/>
    <s v="TRENA 3 METROS"/>
    <s v="AAD45"/>
    <s v="CAIXA"/>
    <n v="33.799999999999997"/>
    <x v="263"/>
    <n v="10"/>
    <n v="10"/>
    <n v="10"/>
    <n v="0.9"/>
    <n v="1E-3"/>
    <x v="484"/>
    <n v="90"/>
    <x v="820"/>
    <n v="20"/>
    <n v="4.5"/>
    <n v="60"/>
    <n v="64.5"/>
    <n v="2.2515987683562289"/>
    <n v="5991.02439602085"/>
    <s v="C"/>
  </r>
  <r>
    <x v="5"/>
    <s v="MATERIAL ELÉTRICO"/>
    <s v="REATORES"/>
    <s v="HID EXTERNO"/>
    <s v="CAIXA"/>
    <n v="75"/>
    <x v="91"/>
    <n v="15"/>
    <n v="20"/>
    <n v="25"/>
    <n v="10"/>
    <n v="7.4999999999999997E-3"/>
    <x v="530"/>
    <n v="40"/>
    <x v="821"/>
    <n v="20"/>
    <n v="2"/>
    <n v="26.666666666666664"/>
    <n v="28.666666666666664"/>
    <n v="2.2205116058739933"/>
    <n v="5993.2449076267239"/>
    <s v="C"/>
  </r>
  <r>
    <x v="5"/>
    <s v="MATERIAL ELÉTRICO"/>
    <s v="REATORES"/>
    <s v="HID INTERNO"/>
    <s v="CAIXA"/>
    <n v="74.849999999999994"/>
    <x v="91"/>
    <n v="15"/>
    <n v="20"/>
    <n v="25"/>
    <n v="10"/>
    <n v="7.4999999999999997E-3"/>
    <x v="530"/>
    <n v="40"/>
    <x v="822"/>
    <n v="20"/>
    <n v="2"/>
    <n v="26.666666666666664"/>
    <n v="28.666666666666664"/>
    <n v="2.2160705826622453"/>
    <n v="5995.4609782093858"/>
    <s v="C"/>
  </r>
  <r>
    <x v="5"/>
    <s v="MATERIAL HIDRÁULICO"/>
    <s v="CANOS ESGOTO"/>
    <s v="CE1"/>
    <s v="FARDO"/>
    <n v="589"/>
    <x v="272"/>
    <n v="110"/>
    <n v="90"/>
    <n v="100"/>
    <n v="103"/>
    <n v="0.99"/>
    <x v="568"/>
    <n v="5"/>
    <x v="823"/>
    <n v="20"/>
    <n v="0.25"/>
    <n v="3.333333333333333"/>
    <n v="3.583333333333333"/>
    <n v="2.1798022264329702"/>
    <n v="5997.6407804358187"/>
    <s v="C"/>
  </r>
  <r>
    <x v="5"/>
    <s v="MATERIAL HIDRÁULICO"/>
    <s v="CHUVEIRO"/>
    <s v="M43"/>
    <s v="CAIXA"/>
    <n v="579"/>
    <x v="222"/>
    <n v="55"/>
    <n v="115"/>
    <n v="49"/>
    <n v="15.1"/>
    <n v="0.30992500000000001"/>
    <x v="518"/>
    <n v="5"/>
    <x v="824"/>
    <n v="20"/>
    <n v="0.25"/>
    <n v="3.333333333333333"/>
    <n v="3.583333333333333"/>
    <n v="2.1427936996684038"/>
    <n v="5999.7835741354875"/>
    <s v="C"/>
  </r>
  <r>
    <x v="5"/>
    <s v="MATERIAL HIDRÁULICO"/>
    <s v="CHUVEIRO"/>
    <s v="M47"/>
    <s v="CAIXA"/>
    <n v="579"/>
    <x v="222"/>
    <n v="55"/>
    <n v="115"/>
    <n v="49"/>
    <n v="10.5"/>
    <n v="0.30992500000000001"/>
    <x v="518"/>
    <n v="5"/>
    <x v="824"/>
    <n v="20"/>
    <n v="0.25"/>
    <n v="3.333333333333333"/>
    <n v="3.583333333333333"/>
    <n v="2.1427936996684038"/>
    <n v="6001.9263678351563"/>
    <s v="C"/>
  </r>
  <r>
    <x v="5"/>
    <s v="MATERIAL ELÉTRICO"/>
    <s v="ELETRODUTO CORRUGADO FLEXIVEL"/>
    <s v="H-03"/>
    <s v="ROLO"/>
    <n v="71.91"/>
    <x v="262"/>
    <n v="4"/>
    <n v="500"/>
    <n v="3"/>
    <n v="6.0000000000000001E-3"/>
    <n v="6.0000000000000001E-3"/>
    <x v="502"/>
    <n v="40"/>
    <x v="825"/>
    <n v="20"/>
    <n v="2"/>
    <n v="26.666666666666664"/>
    <n v="28.666666666666664"/>
    <n v="2.1290265277119844"/>
    <n v="6004.0553943628684"/>
    <s v="C"/>
  </r>
  <r>
    <x v="5"/>
    <s v="FERRAMENTAS"/>
    <s v="DESEMPENADEIRA AÇO LISA"/>
    <s v="8627"/>
    <s v="CAIXA "/>
    <n v="29.9"/>
    <x v="18"/>
    <n v="1"/>
    <n v="30"/>
    <n v="13"/>
    <n v="3"/>
    <n v="3.8999999999999999E-4"/>
    <x v="569"/>
    <n v="95"/>
    <x v="826"/>
    <n v="20"/>
    <n v="4.75"/>
    <n v="63.333333333333329"/>
    <n v="68.083333333333329"/>
    <n v="2.1024544054950263"/>
    <n v="6006.1578487683637"/>
    <s v="C"/>
  </r>
  <r>
    <x v="5"/>
    <s v="MATERIAL ELÉTRICO"/>
    <s v="ELETRODUTO REFORCADO TIGREFLEX"/>
    <s v="H-01"/>
    <s v="ROLO"/>
    <n v="35"/>
    <x v="262"/>
    <n v="2"/>
    <n v="350"/>
    <n v="3.5"/>
    <n v="2.4499999999999999E-3"/>
    <n v="2.4499999999999999E-3"/>
    <x v="570"/>
    <n v="80"/>
    <x v="827"/>
    <n v="20"/>
    <n v="4"/>
    <n v="53.333333333333329"/>
    <n v="57.333333333333329"/>
    <n v="2.0724774988157271"/>
    <n v="6008.2303262671794"/>
    <s v="C"/>
  </r>
  <r>
    <x v="5"/>
    <s v="PREGOS E PARAFUSOS"/>
    <s v="BUCHAS ''A''"/>
    <s v="M35"/>
    <s v="SACO"/>
    <n v="8"/>
    <x v="273"/>
    <n v="5"/>
    <n v="20"/>
    <n v="10"/>
    <n v="1"/>
    <n v="1E-3"/>
    <x v="515"/>
    <n v="350"/>
    <x v="827"/>
    <n v="25"/>
    <n v="7.1428571428571425E-2"/>
    <n v="25.071428571428573"/>
    <n v="25.142857142857146"/>
    <n v="2.0724774988157271"/>
    <n v="6010.3028037659951"/>
    <s v="C"/>
  </r>
  <r>
    <x v="5"/>
    <s v="FERRAMENTAS"/>
    <s v="PÁ "/>
    <s v="77402404"/>
    <s v="UNIDADE"/>
    <n v="25.1"/>
    <x v="178"/>
    <n v="120"/>
    <n v="19.5"/>
    <n v="1"/>
    <n v="1.28"/>
    <n v="2.3400000000000001E-3"/>
    <x v="571"/>
    <n v="110"/>
    <x v="828"/>
    <n v="20"/>
    <n v="5.5"/>
    <n v="73.333333333333329"/>
    <n v="78.833333333333329"/>
    <n v="2.0436108479393651"/>
    <n v="6012.3464146139349"/>
    <s v="C"/>
  </r>
  <r>
    <x v="5"/>
    <s v="MATERIAL HIDRÁULICO"/>
    <s v="REGISTRO GAVETA EUROPA"/>
    <s v="SEM VALVULA"/>
    <s v="CAIXA"/>
    <n v="544"/>
    <x v="245"/>
    <n v="35"/>
    <n v="7"/>
    <n v="4"/>
    <n v="25"/>
    <n v="9.7999999999999997E-4"/>
    <x v="572"/>
    <n v="5"/>
    <x v="413"/>
    <n v="20"/>
    <n v="0.25"/>
    <n v="3.333333333333333"/>
    <n v="3.583333333333333"/>
    <n v="2.0132638559924207"/>
    <n v="6014.3596784699275"/>
    <s v="C"/>
  </r>
  <r>
    <x v="5"/>
    <s v="MATERIAL HIDRÁULICO"/>
    <s v="CANOS ESGOTO"/>
    <s v="210115"/>
    <s v="FARDO"/>
    <n v="539"/>
    <x v="212"/>
    <n v="20"/>
    <n v="600"/>
    <n v="20"/>
    <n v="45"/>
    <n v="0.24"/>
    <x v="573"/>
    <n v="5"/>
    <x v="829"/>
    <n v="20"/>
    <n v="0.25"/>
    <n v="3.333333333333333"/>
    <n v="3.583333333333333"/>
    <n v="1.9947595926101374"/>
    <n v="6016.3544380625381"/>
    <s v="C"/>
  </r>
  <r>
    <x v="5"/>
    <s v="MATERIAL ELÉTRICO"/>
    <s v="FIO DE COBRE"/>
    <s v="A-06"/>
    <s v="ROLO"/>
    <n v="27.99"/>
    <x v="220"/>
    <n v="100"/>
    <n v="680"/>
    <n v="0.8"/>
    <n v="5.4399999999999997E-2"/>
    <n v="5.4399999999999997E-2"/>
    <x v="574"/>
    <n v="95"/>
    <x v="830"/>
    <n v="20"/>
    <n v="4.75"/>
    <n v="63.333333333333329"/>
    <n v="68.083333333333329"/>
    <n v="1.9681504618664138"/>
    <n v="6018.3225885244046"/>
    <s v="C"/>
  </r>
  <r>
    <x v="5"/>
    <s v="MATERIAL ELÉTRICO"/>
    <s v="DUCHA"/>
    <s v="9LEDS"/>
    <s v="SACO"/>
    <n v="52.88"/>
    <x v="274"/>
    <n v="10"/>
    <n v="15"/>
    <n v="10"/>
    <n v="2"/>
    <n v="1.5E-3"/>
    <x v="488"/>
    <n v="50"/>
    <x v="831"/>
    <n v="20"/>
    <n v="2.5"/>
    <n v="33.333333333333336"/>
    <n v="35.833333333333336"/>
    <n v="1.9570108953102796"/>
    <n v="6020.2795994197149"/>
    <s v="C"/>
  </r>
  <r>
    <x v="5"/>
    <s v="MATERIAL ELÉTRICO"/>
    <s v="LUMINÁRIAS SUSPENSAS"/>
    <s v="TBS023"/>
    <s v="UNIDADE"/>
    <n v="65"/>
    <x v="91"/>
    <n v="6"/>
    <n v="130"/>
    <n v="30"/>
    <n v="8.5"/>
    <n v="2.3400000000000001E-2"/>
    <x v="575"/>
    <n v="40"/>
    <x v="832"/>
    <n v="20"/>
    <n v="2"/>
    <n v="26.666666666666664"/>
    <n v="28.666666666666664"/>
    <n v="1.924443391757461"/>
    <n v="6022.2040428114724"/>
    <s v="C"/>
  </r>
  <r>
    <x v="5"/>
    <s v="MATERIAL ELÉTRICO"/>
    <s v="LUMINÁRIAS SUSPENSAS"/>
    <s v="L899"/>
    <s v="UNIDADE"/>
    <n v="65"/>
    <x v="271"/>
    <n v="6"/>
    <n v="137"/>
    <n v="30"/>
    <n v="8"/>
    <n v="2.4660000000000001E-2"/>
    <x v="564"/>
    <n v="40"/>
    <x v="832"/>
    <n v="20"/>
    <n v="2"/>
    <n v="26.666666666666664"/>
    <n v="28.666666666666664"/>
    <n v="1.924443391757461"/>
    <n v="6024.1284862032298"/>
    <s v="C"/>
  </r>
  <r>
    <x v="5"/>
    <s v="MATERIAL HIDRÁULICO"/>
    <s v="CANOS D'ÁGUA"/>
    <s v="C01"/>
    <s v="FARDO"/>
    <n v="519"/>
    <x v="272"/>
    <n v="110"/>
    <n v="90"/>
    <n v="100"/>
    <n v="19.2"/>
    <n v="0.99"/>
    <x v="568"/>
    <n v="5"/>
    <x v="833"/>
    <n v="20"/>
    <n v="0.25"/>
    <n v="3.333333333333333"/>
    <n v="3.583333333333333"/>
    <n v="1.9207425390810042"/>
    <n v="6026.0492287423112"/>
    <s v="C"/>
  </r>
  <r>
    <x v="5"/>
    <s v="MATERIAL HIDRÁULICO"/>
    <s v="CHUVEIRO"/>
    <s v="M46"/>
    <s v="CAIXA"/>
    <n v="499"/>
    <x v="244"/>
    <n v="105"/>
    <n v="65"/>
    <n v="19"/>
    <n v="19"/>
    <n v="0.12967500000000001"/>
    <x v="548"/>
    <n v="5"/>
    <x v="834"/>
    <n v="20"/>
    <n v="0.25"/>
    <n v="3.333333333333333"/>
    <n v="3.583333333333333"/>
    <n v="1.8467254855518711"/>
    <n v="6027.8959542278635"/>
    <s v="C"/>
  </r>
  <r>
    <x v="5"/>
    <s v="PREGOS E PARAFUSOS"/>
    <s v="BUCHAS KT "/>
    <s v="M34"/>
    <s v="SACO"/>
    <n v="6.9"/>
    <x v="273"/>
    <n v="5"/>
    <n v="20"/>
    <n v="10"/>
    <n v="1"/>
    <n v="1E-3"/>
    <x v="515"/>
    <n v="350"/>
    <x v="835"/>
    <n v="25"/>
    <n v="7.1428571428571425E-2"/>
    <n v="25.071428571428573"/>
    <n v="25.142857142857146"/>
    <n v="1.7875118427285648"/>
    <n v="6029.6834660705917"/>
    <s v="C"/>
  </r>
  <r>
    <x v="5"/>
    <s v="MATERIAL ELÉTRICO"/>
    <s v="REATORES"/>
    <s v="HID EXTERNO"/>
    <s v="CAIXA"/>
    <n v="60"/>
    <x v="91"/>
    <n v="15"/>
    <n v="20"/>
    <n v="25"/>
    <n v="10"/>
    <n v="7.4999999999999997E-3"/>
    <x v="530"/>
    <n v="40"/>
    <x v="836"/>
    <n v="20"/>
    <n v="2"/>
    <n v="26.666666666666664"/>
    <n v="28.666666666666664"/>
    <n v="1.7764092846991948"/>
    <n v="6031.4598753552909"/>
    <s v="C"/>
  </r>
  <r>
    <x v="5"/>
    <s v="MATERIAL ELÉTRICO"/>
    <s v="CAIXA DE LUZ"/>
    <s v="D-08"/>
    <s v="CAIXA"/>
    <n v="60"/>
    <x v="236"/>
    <n v="23"/>
    <n v="15"/>
    <n v="17"/>
    <n v="5.8650000000000004E-3"/>
    <n v="5.8650000000000004E-3"/>
    <x v="576"/>
    <n v="40"/>
    <x v="836"/>
    <n v="20"/>
    <n v="2"/>
    <n v="26.666666666666664"/>
    <n v="28.666666666666664"/>
    <n v="1.7764092846991948"/>
    <n v="6033.2362846399901"/>
    <s v="C"/>
  </r>
  <r>
    <x v="5"/>
    <s v="MATERIAL ELÉTRICO"/>
    <s v="LUMINÁRIAS SUSPENSAS"/>
    <s v="TBS065"/>
    <s v="UNIDADE"/>
    <n v="59"/>
    <x v="91"/>
    <n v="5.5"/>
    <n v="137"/>
    <n v="30"/>
    <n v="8"/>
    <n v="2.2605E-2"/>
    <x v="577"/>
    <n v="40"/>
    <x v="837"/>
    <n v="20"/>
    <n v="2"/>
    <n v="26.666666666666664"/>
    <n v="28.666666666666664"/>
    <n v="1.7468024632875414"/>
    <n v="6034.9830871032773"/>
    <s v="C"/>
  </r>
  <r>
    <x v="5"/>
    <s v="MATERIAL ELÉTRICO"/>
    <s v="REATORES"/>
    <s v="HID INTERNO"/>
    <s v="CAIXA"/>
    <n v="58.5"/>
    <x v="91"/>
    <n v="15"/>
    <n v="20"/>
    <n v="25"/>
    <n v="10"/>
    <n v="7.4999999999999997E-3"/>
    <x v="530"/>
    <n v="40"/>
    <x v="838"/>
    <n v="20"/>
    <n v="2"/>
    <n v="26.666666666666664"/>
    <n v="28.666666666666664"/>
    <n v="1.7319990525817148"/>
    <n v="6036.7150861558594"/>
    <s v="C"/>
  </r>
  <r>
    <x v="5"/>
    <s v="MATERIAL ELÉTRICO"/>
    <s v="REATORES"/>
    <s v="CDM 150"/>
    <s v="CAIXA"/>
    <n v="97.5"/>
    <x v="264"/>
    <n v="15"/>
    <n v="20"/>
    <n v="25"/>
    <n v="8"/>
    <n v="7.4999999999999997E-3"/>
    <x v="431"/>
    <n v="24"/>
    <x v="838"/>
    <n v="20"/>
    <n v="1.2"/>
    <n v="16"/>
    <n v="17.2"/>
    <n v="1.7319990525817148"/>
    <n v="6038.4470852084414"/>
    <s v="C"/>
  </r>
  <r>
    <x v="5"/>
    <s v="MATERIAL HIDRÁULICO"/>
    <s v="CHUVEIRO"/>
    <s v="M45"/>
    <s v="CAIXA"/>
    <n v="459"/>
    <x v="222"/>
    <n v="55"/>
    <n v="115"/>
    <n v="49"/>
    <n v="13.7"/>
    <n v="0.30992500000000001"/>
    <x v="518"/>
    <n v="5"/>
    <x v="839"/>
    <n v="20"/>
    <n v="0.25"/>
    <n v="3.333333333333333"/>
    <n v="3.583333333333333"/>
    <n v="1.6986913784936051"/>
    <n v="6040.1457765869354"/>
    <s v="C"/>
  </r>
  <r>
    <x v="5"/>
    <s v="MATERIAL HIDRÁULICO"/>
    <s v="GRELHA"/>
    <s v="M60"/>
    <s v="CAIXA"/>
    <n v="445"/>
    <x v="261"/>
    <n v="75"/>
    <n v="75"/>
    <n v="30"/>
    <n v="8.8000000000000007"/>
    <n v="0.16875000000000001"/>
    <x v="578"/>
    <n v="5"/>
    <x v="840"/>
    <n v="20"/>
    <n v="0.25"/>
    <n v="3.333333333333333"/>
    <n v="3.583333333333333"/>
    <n v="1.6468794410232117"/>
    <n v="6041.7926560279584"/>
    <s v="C"/>
  </r>
  <r>
    <x v="5"/>
    <s v="FERRAMENTAS"/>
    <s v="DESEMPENADEIRA TERMOPOL BORRACHA "/>
    <s v="8426"/>
    <s v="CAIXA "/>
    <n v="22.9"/>
    <x v="18"/>
    <n v="2.8"/>
    <n v="27"/>
    <n v="13"/>
    <n v="3"/>
    <n v="9.8280000000000004E-4"/>
    <x v="579"/>
    <n v="95"/>
    <x v="841"/>
    <n v="20"/>
    <n v="4.75"/>
    <n v="63.333333333333329"/>
    <n v="68.083333333333329"/>
    <n v="1.610240999526291"/>
    <n v="6043.4028970274849"/>
    <s v="C"/>
  </r>
  <r>
    <x v="5"/>
    <s v="MATERIAL ELÉTRICO"/>
    <s v="REATORES"/>
    <s v="CDM 2000W"/>
    <s v="CAIXA"/>
    <n v="90"/>
    <x v="264"/>
    <n v="15"/>
    <n v="20"/>
    <n v="25"/>
    <n v="8"/>
    <n v="7.4999999999999997E-3"/>
    <x v="431"/>
    <n v="24"/>
    <x v="842"/>
    <n v="20"/>
    <n v="1.2"/>
    <n v="16"/>
    <n v="17.2"/>
    <n v="1.5987683562292754"/>
    <n v="6045.0016653837138"/>
    <s v="C"/>
  </r>
  <r>
    <x v="5"/>
    <s v="FERRAMENTAS"/>
    <s v="OCULOS INCOLOR VISÃO AMPLA"/>
    <s v="59SAC"/>
    <s v="CAIXA"/>
    <n v="23.6"/>
    <x v="275"/>
    <n v="12"/>
    <n v="10"/>
    <n v="20"/>
    <n v="0"/>
    <n v="2.3999999999999998E-3"/>
    <x v="580"/>
    <n v="90"/>
    <x v="843"/>
    <n v="20"/>
    <n v="4.5"/>
    <n v="60"/>
    <n v="64.5"/>
    <n v="1.5721222169587874"/>
    <n v="6046.5737876006724"/>
    <s v="C"/>
  </r>
  <r>
    <x v="5"/>
    <s v="MATERIAL ELÉTRICO"/>
    <s v="REATORES"/>
    <s v="HID EXTERNO"/>
    <s v="CAIXA"/>
    <n v="52.5"/>
    <x v="91"/>
    <n v="15"/>
    <n v="20"/>
    <n v="25"/>
    <n v="10"/>
    <n v="7.4999999999999997E-3"/>
    <x v="530"/>
    <n v="40"/>
    <x v="844"/>
    <n v="20"/>
    <n v="2"/>
    <n v="26.666666666666664"/>
    <n v="28.666666666666664"/>
    <n v="1.5543581241117954"/>
    <n v="6048.1281457247842"/>
    <s v="C"/>
  </r>
  <r>
    <x v="5"/>
    <s v="FERRAMENTAS"/>
    <s v="ENXADA"/>
    <s v="77232754"/>
    <s v="UNIDADE"/>
    <n v="29.5"/>
    <x v="178"/>
    <n v="1.3"/>
    <n v="27"/>
    <n v="10.5"/>
    <n v="1.62"/>
    <n v="3.6854999999999999E-4"/>
    <x v="581"/>
    <n v="70"/>
    <x v="845"/>
    <n v="20"/>
    <n v="3.5"/>
    <n v="46.666666666666671"/>
    <n v="50.166666666666671"/>
    <n v="1.5284521553765988"/>
    <n v="6049.6565978801609"/>
    <s v="C"/>
  </r>
  <r>
    <x v="5"/>
    <s v="MATERIAL ELÉTRICO"/>
    <s v="CAIXA DE LUZ ELETRODUTO  DE FERRO 4X2 - TIGRE"/>
    <s v="G-04"/>
    <s v="CAIXA"/>
    <n v="135"/>
    <x v="212"/>
    <n v="10"/>
    <n v="10"/>
    <n v="6"/>
    <n v="5.9999999999999995E-4"/>
    <n v="5.9999999999999995E-4"/>
    <x v="322"/>
    <n v="15"/>
    <x v="846"/>
    <n v="20"/>
    <n v="0.75"/>
    <n v="10"/>
    <n v="10.75"/>
    <n v="1.4988453339649455"/>
    <n v="6051.1554432141256"/>
    <s v="C"/>
  </r>
  <r>
    <x v="5"/>
    <s v="MATERIAL ELÉTRICO"/>
    <s v="KIT TOMADA COM 3 CONJUNTOS DE 1 TOMADA PADRÃO BRASILEIRO 10A 250V~ S30 -  "/>
    <s v="I-02"/>
    <s v="CAIXA"/>
    <n v="25"/>
    <x v="276"/>
    <n v="15"/>
    <n v="20"/>
    <n v="15"/>
    <n v="4.4999999999999997E-3"/>
    <n v="4.4999999999999997E-3"/>
    <x v="258"/>
    <n v="80"/>
    <x v="570"/>
    <n v="20"/>
    <n v="4"/>
    <n v="53.333333333333329"/>
    <n v="57.333333333333329"/>
    <n v="1.4803410705826623"/>
    <n v="6052.6357842847083"/>
    <s v="C"/>
  </r>
  <r>
    <x v="5"/>
    <s v="MATERIAL HIDRÁULICO"/>
    <s v="CHUVEIRO"/>
    <s v="M36"/>
    <s v="CAIXA"/>
    <n v="399"/>
    <x v="222"/>
    <n v="55"/>
    <n v="115"/>
    <n v="49"/>
    <n v="15"/>
    <n v="0.30992500000000001"/>
    <x v="518"/>
    <n v="5"/>
    <x v="847"/>
    <n v="20"/>
    <n v="0.25"/>
    <n v="3.333333333333333"/>
    <n v="3.583333333333333"/>
    <n v="1.4766402179062057"/>
    <n v="6054.1124245026149"/>
    <s v="C"/>
  </r>
  <r>
    <x v="5"/>
    <s v="MATERIAL HIDRÁULICO"/>
    <s v="CHUVEIRO"/>
    <s v="M44"/>
    <s v="CAIXA"/>
    <n v="399"/>
    <x v="222"/>
    <n v="55"/>
    <n v="115"/>
    <n v="49"/>
    <n v="13.7"/>
    <n v="0.30992500000000001"/>
    <x v="518"/>
    <n v="5"/>
    <x v="847"/>
    <n v="20"/>
    <n v="0.25"/>
    <n v="3.333333333333333"/>
    <n v="3.583333333333333"/>
    <n v="1.4766402179062057"/>
    <n v="6055.5890647205215"/>
    <s v="C"/>
  </r>
  <r>
    <x v="5"/>
    <s v="MATERIAL ELÉTRICO"/>
    <s v="REATORES"/>
    <s v="CDM400"/>
    <s v="CAIXA"/>
    <n v="82.5"/>
    <x v="264"/>
    <n v="15"/>
    <n v="20"/>
    <n v="25"/>
    <n v="8"/>
    <n v="7.4999999999999997E-3"/>
    <x v="431"/>
    <n v="24"/>
    <x v="848"/>
    <n v="20"/>
    <n v="1.2"/>
    <n v="16"/>
    <n v="17.2"/>
    <n v="1.4655376598768357"/>
    <n v="6057.0546023803981"/>
    <s v="C"/>
  </r>
  <r>
    <x v="5"/>
    <s v="MATERIAL ELÉTRICO"/>
    <s v="REATORES"/>
    <s v="CDM 1000"/>
    <s v="CAIXA"/>
    <n v="82.5"/>
    <x v="264"/>
    <n v="15"/>
    <n v="20"/>
    <n v="25"/>
    <n v="8"/>
    <n v="7.4999999999999997E-3"/>
    <x v="431"/>
    <n v="24"/>
    <x v="848"/>
    <n v="20"/>
    <n v="1.2"/>
    <n v="16"/>
    <n v="17.2"/>
    <n v="1.4655376598768357"/>
    <n v="6058.5201400402748"/>
    <s v="C"/>
  </r>
  <r>
    <x v="5"/>
    <s v="MATERIAL ELÉTRICO"/>
    <s v="CAIXA DE LUZ"/>
    <s v="D-07"/>
    <s v="CAIXA"/>
    <n v="55"/>
    <x v="236"/>
    <n v="25"/>
    <n v="23"/>
    <n v="16"/>
    <n v="9.1999999999999998E-3"/>
    <n v="9.1999999999999998E-3"/>
    <x v="582"/>
    <n v="36"/>
    <x v="848"/>
    <n v="20"/>
    <n v="1.8"/>
    <n v="24"/>
    <n v="25.8"/>
    <n v="1.4655376598768357"/>
    <n v="6059.9856777001514"/>
    <s v="C"/>
  </r>
  <r>
    <x v="5"/>
    <s v="MATERIAL HIDRÁULICO"/>
    <s v="CAIXA SIFONADA"/>
    <s v="TRIPLO"/>
    <s v="LOTE"/>
    <n v="392"/>
    <x v="267"/>
    <n v="80"/>
    <n v="120"/>
    <n v="90"/>
    <n v="11"/>
    <n v="0.86399999999999999"/>
    <x v="60"/>
    <n v="5"/>
    <x v="849"/>
    <n v="20"/>
    <n v="0.25"/>
    <n v="3.333333333333333"/>
    <n v="3.583333333333333"/>
    <n v="1.4507342491710091"/>
    <n v="6061.4364119493221"/>
    <s v="C"/>
  </r>
  <r>
    <x v="5"/>
    <s v="MATERIAL HIDRÁULICO"/>
    <s v="CHUVEIRO"/>
    <s v="M53"/>
    <s v="CAIXA"/>
    <n v="389"/>
    <x v="222"/>
    <n v="55"/>
    <n v="115"/>
    <n v="49"/>
    <n v="13.7"/>
    <n v="0.30992500000000001"/>
    <x v="518"/>
    <n v="5"/>
    <x v="850"/>
    <n v="20"/>
    <n v="0.25"/>
    <n v="3.333333333333333"/>
    <n v="3.583333333333333"/>
    <n v="1.4396316911416391"/>
    <n v="6062.8760436404636"/>
    <s v="C"/>
  </r>
  <r>
    <x v="5"/>
    <s v="MATERIAL ELÉTRICO"/>
    <s v="LUMINÁRIAS SUSPENSAS"/>
    <s v="78954"/>
    <s v="UNIDADE"/>
    <n v="79"/>
    <x v="264"/>
    <n v="5"/>
    <n v="135"/>
    <n v="35"/>
    <n v="8"/>
    <n v="2.3625E-2"/>
    <x v="583"/>
    <n v="24"/>
    <x v="851"/>
    <n v="20"/>
    <n v="1.2"/>
    <n v="16"/>
    <n v="17.2"/>
    <n v="1.4033633349123638"/>
    <n v="6064.2794069753763"/>
    <s v="C"/>
  </r>
  <r>
    <x v="5"/>
    <s v="MATERIAL ELÉTRICO"/>
    <s v="LUMINÁRIAS SUSPENSAS"/>
    <s v="78954"/>
    <s v="UNIDADE"/>
    <n v="79"/>
    <x v="264"/>
    <n v="5"/>
    <n v="135"/>
    <n v="35"/>
    <n v="8"/>
    <n v="2.3625E-2"/>
    <x v="583"/>
    <n v="24"/>
    <x v="851"/>
    <n v="20"/>
    <n v="1.2"/>
    <n v="16"/>
    <n v="17.2"/>
    <n v="1.4033633349123638"/>
    <n v="6065.682770310289"/>
    <s v="C"/>
  </r>
  <r>
    <x v="5"/>
    <s v="MATERIAL ELÉTRICO"/>
    <s v="HASTE PARA CHUVEIRO"/>
    <s v="1900E"/>
    <s v="SACO"/>
    <n v="47"/>
    <x v="277"/>
    <n v="4"/>
    <n v="18"/>
    <n v="4"/>
    <n v="1.2"/>
    <n v="2.8800000000000001E-4"/>
    <x v="584"/>
    <n v="40"/>
    <x v="852"/>
    <n v="20"/>
    <n v="2"/>
    <n v="26.666666666666664"/>
    <n v="28.666666666666664"/>
    <n v="1.3915206063477026"/>
    <n v="6067.0742909166365"/>
    <s v="C"/>
  </r>
  <r>
    <x v="5"/>
    <s v="FERRAMENTAS"/>
    <s v="ENXADA"/>
    <s v="771"/>
    <s v="UNIDADE"/>
    <n v="31.2"/>
    <x v="278"/>
    <n v="1.3"/>
    <n v="25.5"/>
    <n v="14"/>
    <n v="1.88"/>
    <n v="4.6410000000000001E-4"/>
    <x v="585"/>
    <n v="60"/>
    <x v="853"/>
    <n v="20"/>
    <n v="3"/>
    <n v="40"/>
    <n v="43"/>
    <n v="1.385599242065372"/>
    <n v="6068.4598901587015"/>
    <s v="C"/>
  </r>
  <r>
    <x v="5"/>
    <s v="MATERIAL ELÉTRICO"/>
    <s v="HASTE PARA CHUVEIRO"/>
    <s v="1013/11009"/>
    <s v="SACO"/>
    <n v="46.32"/>
    <x v="279"/>
    <n v="4"/>
    <n v="18"/>
    <n v="4"/>
    <n v="1.2"/>
    <n v="2.8800000000000001E-4"/>
    <x v="584"/>
    <n v="40"/>
    <x v="854"/>
    <n v="20"/>
    <n v="2"/>
    <n v="26.666666666666664"/>
    <n v="28.666666666666664"/>
    <n v="1.3713879677877783"/>
    <n v="6069.8312781264895"/>
    <s v="C"/>
  </r>
  <r>
    <x v="5"/>
    <s v="MATERIAL HIDRÁULICO"/>
    <s v="RALO"/>
    <s v="409455"/>
    <s v="CAIXA"/>
    <n v="369"/>
    <x v="212"/>
    <n v="100"/>
    <n v="100"/>
    <n v="100"/>
    <n v="55"/>
    <n v="1"/>
    <x v="76"/>
    <n v="5"/>
    <x v="855"/>
    <n v="20"/>
    <n v="0.25"/>
    <n v="3.333333333333333"/>
    <n v="3.583333333333333"/>
    <n v="1.365614637612506"/>
    <n v="6071.1968927641019"/>
    <s v="C"/>
  </r>
  <r>
    <x v="5"/>
    <s v="MATERIAL ELÉTRICO"/>
    <s v="REATORES"/>
    <s v="CDM710"/>
    <s v="CAIXA"/>
    <n v="75"/>
    <x v="264"/>
    <n v="15"/>
    <n v="20"/>
    <n v="25"/>
    <n v="8"/>
    <n v="7.4999999999999997E-3"/>
    <x v="431"/>
    <n v="24"/>
    <x v="856"/>
    <n v="20"/>
    <n v="1.2"/>
    <n v="16"/>
    <n v="17.2"/>
    <n v="1.332306963524396"/>
    <n v="6072.5291997276263"/>
    <s v="C"/>
  </r>
  <r>
    <x v="5"/>
    <s v="FERRAMENTAS"/>
    <s v="ENXADA"/>
    <s v="772"/>
    <s v="UNIDADE"/>
    <n v="25.6"/>
    <x v="278"/>
    <n v="1.3"/>
    <n v="26"/>
    <n v="13"/>
    <n v="1.69"/>
    <n v="4.3940000000000006E-4"/>
    <x v="586"/>
    <n v="70"/>
    <x v="857"/>
    <n v="20"/>
    <n v="3.5"/>
    <n v="46.666666666666671"/>
    <n v="50.166666666666671"/>
    <n v="1.3263855992420654"/>
    <n v="6073.8555853268681"/>
    <s v="C"/>
  </r>
  <r>
    <x v="5"/>
    <s v="MATERIAL HIDRÁULICO"/>
    <s v="TUBO LIGAÇÃO"/>
    <s v="M75"/>
    <s v="CAIXA"/>
    <n v="357"/>
    <x v="256"/>
    <n v="125"/>
    <n v="75"/>
    <n v="4"/>
    <n v="13.5"/>
    <n v="3.7499999999999999E-2"/>
    <x v="524"/>
    <n v="5"/>
    <x v="858"/>
    <n v="20"/>
    <n v="0.25"/>
    <n v="3.333333333333333"/>
    <n v="3.583333333333333"/>
    <n v="1.321204405495026"/>
    <n v="6075.1767897323634"/>
    <s v="C"/>
  </r>
  <r>
    <x v="5"/>
    <s v="MATERIAL HIDRÁULICO"/>
    <s v="TANQUE"/>
    <s v="M58"/>
    <s v="PEÇA"/>
    <n v="345.9"/>
    <x v="280"/>
    <n v="53.5"/>
    <n v="57.5"/>
    <n v="59"/>
    <n v="14"/>
    <n v="0.18149874999999999"/>
    <x v="587"/>
    <n v="5"/>
    <x v="859"/>
    <n v="20"/>
    <n v="0.25"/>
    <n v="3.333333333333333"/>
    <n v="3.583333333333333"/>
    <n v="1.2801249407863573"/>
    <n v="6076.4569146731501"/>
    <s v="C"/>
  </r>
  <r>
    <x v="5"/>
    <s v="MATERIAL HIDRÁULICO"/>
    <s v="GRELHA"/>
    <s v="M61"/>
    <s v="CAIXA"/>
    <n v="345"/>
    <x v="261"/>
    <n v="75"/>
    <n v="75"/>
    <n v="30"/>
    <n v="8.8000000000000007"/>
    <n v="0.16875000000000001"/>
    <x v="578"/>
    <n v="5"/>
    <x v="860"/>
    <n v="20"/>
    <n v="0.25"/>
    <n v="3.333333333333333"/>
    <n v="3.583333333333333"/>
    <n v="1.2767941733775463"/>
    <n v="6077.7337088465274"/>
    <s v="C"/>
  </r>
  <r>
    <x v="5"/>
    <s v="MATERIAL ELÉTRICO"/>
    <s v="FIO DE COBRE"/>
    <s v="C-01"/>
    <s v="ROLO"/>
    <n v="47"/>
    <x v="215"/>
    <n v="25"/>
    <n v="600"/>
    <n v="0.54"/>
    <n v="8.0999999999999996E-3"/>
    <n v="8.0999999999999996E-3"/>
    <x v="588"/>
    <n v="36"/>
    <x v="861"/>
    <n v="20"/>
    <n v="1.8"/>
    <n v="24"/>
    <n v="25.8"/>
    <n v="1.2523685457129323"/>
    <n v="6078.9860773922401"/>
    <s v="C"/>
  </r>
  <r>
    <x v="5"/>
    <s v="FERRAMENTAS"/>
    <s v="PÁ "/>
    <s v="77400424"/>
    <s v="UNIDADE"/>
    <n v="15.2"/>
    <x v="178"/>
    <n v="90"/>
    <n v="19.5"/>
    <n v="1"/>
    <n v="1.33"/>
    <n v="1.755E-3"/>
    <x v="589"/>
    <n v="110"/>
    <x v="862"/>
    <n v="20"/>
    <n v="5.5"/>
    <n v="73.333333333333329"/>
    <n v="78.833333333333329"/>
    <n v="1.2375651350071057"/>
    <n v="6080.2236425272467"/>
    <s v="C"/>
  </r>
  <r>
    <x v="5"/>
    <s v="FERRAMENTAS"/>
    <s v="DESEMPENADEIRA AÇO LISA CABO MADEIRA "/>
    <s v="8945"/>
    <s v="CAIXA "/>
    <n v="17.5"/>
    <x v="18"/>
    <n v="1"/>
    <n v="19"/>
    <n v="8.5"/>
    <n v="3.5"/>
    <n v="1.615E-4"/>
    <x v="590"/>
    <n v="95"/>
    <x v="863"/>
    <n v="20"/>
    <n v="4.75"/>
    <n v="63.333333333333329"/>
    <n v="68.083333333333329"/>
    <n v="1.2305335149218379"/>
    <n v="6081.4541760421689"/>
    <s v="C"/>
  </r>
  <r>
    <x v="5"/>
    <s v="MATERIAL ELÉTRICO"/>
    <s v="CAIXA DE LUZ ELETRODUT"/>
    <s v="G-06"/>
    <s v="CAIXA"/>
    <n v="110"/>
    <x v="212"/>
    <n v="15"/>
    <n v="15"/>
    <n v="4"/>
    <n v="8.9999999999999998E-4"/>
    <n v="8.9999999999999998E-4"/>
    <x v="591"/>
    <n v="15"/>
    <x v="864"/>
    <n v="20"/>
    <n v="0.75"/>
    <n v="10"/>
    <n v="10.75"/>
    <n v="1.2212813832306963"/>
    <n v="6082.6754574254001"/>
    <s v="C"/>
  </r>
  <r>
    <x v="5"/>
    <s v="MATERIAL HIDRÁULICO"/>
    <s v="CAIXA SIFONADA UMA SAIDA"/>
    <s v="ÚNICA"/>
    <s v="CAIXA"/>
    <n v="330"/>
    <x v="267"/>
    <n v="40"/>
    <n v="53"/>
    <n v="40"/>
    <n v="12"/>
    <n v="8.48E-2"/>
    <x v="592"/>
    <n v="5"/>
    <x v="864"/>
    <n v="20"/>
    <n v="0.25"/>
    <n v="3.333333333333333"/>
    <n v="3.583333333333333"/>
    <n v="1.2212813832306963"/>
    <n v="6083.8967388086312"/>
    <s v="C"/>
  </r>
  <r>
    <x v="5"/>
    <s v="MATERIAL HIDRÁULICO"/>
    <s v="CANOS ESGOTO"/>
    <s v="210117"/>
    <s v="FARDO"/>
    <n v="329"/>
    <x v="212"/>
    <n v="40"/>
    <n v="300"/>
    <n v="40"/>
    <n v="52.6"/>
    <n v="0.48"/>
    <x v="593"/>
    <n v="5"/>
    <x v="865"/>
    <n v="20"/>
    <n v="0.25"/>
    <n v="3.333333333333333"/>
    <n v="3.583333333333333"/>
    <n v="1.2175805305542398"/>
    <n v="6085.1143193391854"/>
    <s v="C"/>
  </r>
  <r>
    <x v="5"/>
    <s v="MATERIAL HIDRÁULICO"/>
    <s v="CANOS D'ÁGUA"/>
    <s v="C02"/>
    <s v="FARDO"/>
    <n v="329"/>
    <x v="272"/>
    <n v="110"/>
    <n v="90"/>
    <n v="100"/>
    <n v="19.2"/>
    <n v="0.99"/>
    <x v="568"/>
    <n v="5"/>
    <x v="865"/>
    <n v="20"/>
    <n v="0.25"/>
    <n v="3.333333333333333"/>
    <n v="3.583333333333333"/>
    <n v="1.2175805305542398"/>
    <n v="6086.3318998697396"/>
    <s v="C"/>
  </r>
  <r>
    <x v="5"/>
    <s v="MATERIAL HIDRÁULICO"/>
    <s v="CURVA"/>
    <s v="4100115"/>
    <s v="CAIXA"/>
    <n v="315.5"/>
    <x v="212"/>
    <n v="100"/>
    <n v="100"/>
    <n v="100"/>
    <n v="4.84"/>
    <n v="1"/>
    <x v="76"/>
    <n v="5"/>
    <x v="866"/>
    <n v="20"/>
    <n v="0.25"/>
    <n v="3.333333333333333"/>
    <n v="3.583333333333333"/>
    <n v="1.1676190194220748"/>
    <n v="6087.4995188891617"/>
    <s v="C"/>
  </r>
  <r>
    <x v="5"/>
    <s v="MATERIAL ELÉTRICO"/>
    <s v="HASTE PARA CHUVEIRO"/>
    <s v="8810"/>
    <s v="SACO"/>
    <n v="39"/>
    <x v="281"/>
    <n v="4"/>
    <n v="30"/>
    <n v="4"/>
    <n v="1.5"/>
    <n v="4.8000000000000001E-4"/>
    <x v="594"/>
    <n v="40"/>
    <x v="867"/>
    <n v="20"/>
    <n v="2"/>
    <n v="26.666666666666664"/>
    <n v="28.666666666666664"/>
    <n v="1.1546660350544766"/>
    <n v="6088.6541849242158"/>
    <s v="C"/>
  </r>
  <r>
    <x v="5"/>
    <s v="MATERIAL ELÉTRICO"/>
    <s v="HASTE PARA CHUVEIRO"/>
    <s v="753"/>
    <s v="SACO"/>
    <n v="38.9"/>
    <x v="282"/>
    <n v="4"/>
    <n v="20"/>
    <n v="4"/>
    <n v="1"/>
    <n v="3.2000000000000003E-4"/>
    <x v="595"/>
    <n v="40"/>
    <x v="868"/>
    <n v="20"/>
    <n v="2"/>
    <n v="26.666666666666664"/>
    <n v="28.666666666666664"/>
    <n v="1.1517053529133112"/>
    <n v="6089.805890277129"/>
    <s v="C"/>
  </r>
  <r>
    <x v="5"/>
    <s v="MATERIAL HIDRÁULICO"/>
    <s v="SIFÃO"/>
    <s v="M6"/>
    <s v="CAIXA"/>
    <n v="309"/>
    <x v="261"/>
    <n v="100"/>
    <n v="100"/>
    <n v="100"/>
    <n v="1.9"/>
    <n v="1"/>
    <x v="76"/>
    <n v="5"/>
    <x v="869"/>
    <n v="20"/>
    <n v="0.25"/>
    <n v="3.333333333333333"/>
    <n v="3.583333333333333"/>
    <n v="1.1435634770251066"/>
    <n v="6090.9494537541541"/>
    <s v="C"/>
  </r>
  <r>
    <x v="5"/>
    <s v="MATERIAL HIDRÁULICO"/>
    <s v="SIFÃO"/>
    <s v="M11"/>
    <s v="CAIXA"/>
    <n v="303.8"/>
    <x v="41"/>
    <n v="100"/>
    <n v="100"/>
    <n v="100"/>
    <n v="1.8"/>
    <n v="1"/>
    <x v="76"/>
    <n v="5"/>
    <x v="870"/>
    <n v="20"/>
    <n v="0.25"/>
    <n v="3.333333333333333"/>
    <n v="3.583333333333333"/>
    <n v="1.1243190431075321"/>
    <n v="6092.0737727972619"/>
    <s v="C"/>
  </r>
  <r>
    <x v="5"/>
    <s v="MATERIAL HIDRÁULICO"/>
    <s v="AQUECEDOR A GÁS"/>
    <s v="M55"/>
    <s v="PEÇA"/>
    <n v="299.89999999999998"/>
    <x v="222"/>
    <n v="44"/>
    <n v="33"/>
    <n v="13"/>
    <n v="7"/>
    <n v="1.8876E-2"/>
    <x v="596"/>
    <n v="5"/>
    <x v="871"/>
    <n v="20"/>
    <n v="0.25"/>
    <n v="3.333333333333333"/>
    <n v="3.583333333333333"/>
    <n v="1.1098857176693511"/>
    <n v="6093.1836585149313"/>
    <s v="C"/>
  </r>
  <r>
    <x v="5"/>
    <s v="MATERIAL HIDRÁULICO"/>
    <s v="SIFÃO"/>
    <s v="M7"/>
    <s v="CAIXA"/>
    <n v="299"/>
    <x v="283"/>
    <n v="100"/>
    <n v="100"/>
    <n v="100"/>
    <n v="0.7"/>
    <n v="1"/>
    <x v="76"/>
    <n v="5"/>
    <x v="872"/>
    <n v="20"/>
    <n v="0.25"/>
    <n v="3.333333333333333"/>
    <n v="3.583333333333333"/>
    <n v="1.1065549502605401"/>
    <n v="6094.2902134651922"/>
    <s v="C"/>
  </r>
  <r>
    <x v="5"/>
    <s v="MATERIAL HIDRÁULICO"/>
    <s v="VEDA ROSCA"/>
    <s v="M25"/>
    <s v="CAIXA"/>
    <n v="297"/>
    <x v="212"/>
    <n v="10"/>
    <n v="15"/>
    <n v="25"/>
    <n v="0.6"/>
    <n v="3.7499999999999999E-3"/>
    <x v="597"/>
    <n v="5"/>
    <x v="873"/>
    <n v="20"/>
    <n v="0.25"/>
    <n v="3.333333333333333"/>
    <n v="3.583333333333333"/>
    <n v="1.0991532449076267"/>
    <n v="6095.3893667101001"/>
    <s v="C"/>
  </r>
  <r>
    <x v="5"/>
    <s v="FERRAMENTAS"/>
    <s v="BOTINAS"/>
    <s v="3560000"/>
    <s v="CAIXA COLETIVA "/>
    <n v="738"/>
    <x v="284"/>
    <n v="50"/>
    <n v="60"/>
    <n v="60"/>
    <n v="16"/>
    <n v="0.18"/>
    <x v="258"/>
    <n v="2"/>
    <x v="874"/>
    <n v="20"/>
    <n v="0.1"/>
    <n v="1.3333333333333333"/>
    <n v="1.4333333333333333"/>
    <n v="1.0924917100900047"/>
    <n v="6096.4818584201903"/>
    <s v="C"/>
  </r>
  <r>
    <x v="5"/>
    <s v="MATERIAL ELÉTRICO"/>
    <s v="LUMINÁRIAS SUSPENSAS"/>
    <s v="TBS165 "/>
    <s v="UNIDADE"/>
    <n v="36"/>
    <x v="91"/>
    <n v="5.5"/>
    <n v="140"/>
    <n v="40"/>
    <n v="9"/>
    <n v="3.0800000000000001E-2"/>
    <x v="598"/>
    <n v="40"/>
    <x v="875"/>
    <n v="20"/>
    <n v="2"/>
    <n v="26.666666666666664"/>
    <n v="28.666666666666664"/>
    <n v="1.0658455708195169"/>
    <n v="6097.5477039910102"/>
    <s v="C"/>
  </r>
  <r>
    <x v="5"/>
    <s v="FERRAMENTAS"/>
    <s v="VASSOURA DE GRAMA MAGNIFICA ROXA"/>
    <s v="1692"/>
    <s v="CAIXA "/>
    <n v="15"/>
    <x v="285"/>
    <n v="33.5"/>
    <n v="45.1"/>
    <n v="8"/>
    <n v="3.3"/>
    <n v="1.2086800000000002E-2"/>
    <x v="599"/>
    <n v="95"/>
    <x v="876"/>
    <n v="20"/>
    <n v="4.75"/>
    <n v="63.333333333333329"/>
    <n v="68.083333333333329"/>
    <n v="1.0547430127901469"/>
    <n v="6098.6024470038001"/>
    <s v="C"/>
  </r>
  <r>
    <x v="5"/>
    <s v="FERRAMENTAS"/>
    <s v="VASSOURA DE GRAMA MAGNIFICA VERDE"/>
    <s v="1692"/>
    <s v="CAIXA "/>
    <n v="15"/>
    <x v="285"/>
    <n v="33.5"/>
    <n v="45.1"/>
    <n v="8"/>
    <n v="3.3"/>
    <n v="1.2086800000000002E-2"/>
    <x v="599"/>
    <n v="95"/>
    <x v="876"/>
    <n v="20"/>
    <n v="4.75"/>
    <n v="63.333333333333329"/>
    <n v="68.083333333333329"/>
    <n v="1.0547430127901469"/>
    <n v="6099.65719001659"/>
    <s v="C"/>
  </r>
  <r>
    <x v="5"/>
    <s v="FERRAMENTAS"/>
    <s v="VASSOURA DE GRAMA MAGNIFICA AMARELA "/>
    <s v="1692"/>
    <s v="CAIXA "/>
    <n v="15"/>
    <x v="285"/>
    <n v="33.5"/>
    <n v="45.1"/>
    <n v="8"/>
    <n v="3.3"/>
    <n v="1.2086800000000002E-2"/>
    <x v="599"/>
    <n v="95"/>
    <x v="876"/>
    <n v="20"/>
    <n v="4.75"/>
    <n v="63.333333333333329"/>
    <n v="68.083333333333329"/>
    <n v="1.0547430127901469"/>
    <n v="6100.7119330293799"/>
    <s v="C"/>
  </r>
  <r>
    <x v="5"/>
    <s v="FERRAMENTAS"/>
    <s v="PÁ "/>
    <s v="15334"/>
    <s v="UNIDADE"/>
    <n v="19.899999999999999"/>
    <x v="286"/>
    <n v="120"/>
    <n v="27.7"/>
    <n v="1.5"/>
    <n v="1.73"/>
    <n v="4.986E-3"/>
    <x v="600"/>
    <n v="70"/>
    <x v="877"/>
    <n v="20"/>
    <n v="3.5"/>
    <n v="46.666666666666671"/>
    <n v="50.166666666666671"/>
    <n v="1.0310575556608244"/>
    <n v="6101.7429905850404"/>
    <s v="C"/>
  </r>
  <r>
    <x v="5"/>
    <s v="FERRAMENTAS"/>
    <s v="BOTINAS"/>
    <s v="4010BAAS4400L "/>
    <s v="CAIXA COLETIVA "/>
    <n v="675.8"/>
    <x v="287"/>
    <n v="50"/>
    <n v="60"/>
    <n v="60"/>
    <n v="15.6"/>
    <n v="0.18"/>
    <x v="258"/>
    <n v="2"/>
    <x v="878"/>
    <n v="20"/>
    <n v="0.1"/>
    <n v="1.3333333333333333"/>
    <n v="1.4333333333333333"/>
    <n v="1.0004144954997631"/>
    <n v="6102.7434050805405"/>
    <s v="C"/>
  </r>
  <r>
    <x v="5"/>
    <s v="MATERIAL HIDRÁULICO"/>
    <s v="VEDA ROSCA"/>
    <s v="M27"/>
    <s v="CAIXA"/>
    <n v="267"/>
    <x v="212"/>
    <n v="10"/>
    <n v="15"/>
    <n v="25"/>
    <n v="0.6"/>
    <n v="3.7499999999999999E-3"/>
    <x v="597"/>
    <n v="5"/>
    <x v="879"/>
    <n v="20"/>
    <n v="0.25"/>
    <n v="3.333333333333333"/>
    <n v="3.583333333333333"/>
    <n v="0.98812766461392709"/>
    <n v="6103.7315327451543"/>
    <s v="C"/>
  </r>
  <r>
    <x v="5"/>
    <s v="FERRAMENTAS"/>
    <s v="DESEMPENADEIRA AÇO DENTADA "/>
    <s v="8660"/>
    <s v="CAIXA "/>
    <n v="13.99"/>
    <x v="18"/>
    <n v="1.5"/>
    <n v="25.7"/>
    <n v="12"/>
    <n v="3.2"/>
    <n v="4.6259999999999997E-4"/>
    <x v="601"/>
    <n v="95"/>
    <x v="880"/>
    <n v="20"/>
    <n v="4.75"/>
    <n v="63.333333333333329"/>
    <n v="68.083333333333329"/>
    <n v="0.98372364992894357"/>
    <n v="6104.7152563950831"/>
    <s v="C"/>
  </r>
  <r>
    <x v="5"/>
    <s v="MATERIAL HIDRÁULICO"/>
    <s v="CANOS ESGOTO"/>
    <s v="210116"/>
    <s v="FARDO"/>
    <n v="329"/>
    <x v="212"/>
    <n v="16"/>
    <n v="600"/>
    <n v="16"/>
    <n v="27.18"/>
    <n v="0.15359999999999999"/>
    <x v="602"/>
    <n v="4"/>
    <x v="881"/>
    <n v="20"/>
    <n v="0.2"/>
    <n v="2.6666666666666665"/>
    <n v="2.8666666666666667"/>
    <n v="0.97406442444339181"/>
    <n v="6105.6893208195261"/>
    <s v="C"/>
  </r>
  <r>
    <x v="5"/>
    <s v="MATERIAL HIDRÁULICO"/>
    <s v="TANQUE"/>
    <s v="M56"/>
    <s v="PEÇA"/>
    <n v="259.89999999999998"/>
    <x v="41"/>
    <n v="50"/>
    <n v="53.5"/>
    <n v="50"/>
    <n v="22"/>
    <n v="0.13375000000000001"/>
    <x v="603"/>
    <n v="5"/>
    <x v="882"/>
    <n v="20"/>
    <n v="0.25"/>
    <n v="3.333333333333333"/>
    <n v="3.583333333333333"/>
    <n v="0.96185161061108482"/>
    <n v="6106.6511724301372"/>
    <s v="C"/>
  </r>
  <r>
    <x v="5"/>
    <s v="MATERIAL HIDRÁULICO"/>
    <s v="AQUECEDOR A GÁS"/>
    <s v="M54"/>
    <s v="PEÇA"/>
    <n v="319.89999999999998"/>
    <x v="222"/>
    <n v="0.2"/>
    <n v="36.4"/>
    <n v="0.53"/>
    <n v="6.2"/>
    <n v="3.8584000000000002E-6"/>
    <x v="604"/>
    <n v="4"/>
    <x v="883"/>
    <n v="20"/>
    <n v="0.2"/>
    <n v="2.6666666666666665"/>
    <n v="2.8666666666666667"/>
    <n v="0.94712221695878729"/>
    <n v="6107.5982946470958"/>
    <s v="C"/>
  </r>
  <r>
    <x v="5"/>
    <s v="MATERIAL ELÉTRICO"/>
    <s v="PLACA 4X2 CEGA COM SUPORTE BRANCO S19 -  "/>
    <s v="I-07"/>
    <s v="CAIXA"/>
    <n v="17"/>
    <x v="276"/>
    <n v="20"/>
    <n v="28"/>
    <n v="20"/>
    <n v="1.12E-2"/>
    <n v="1.12E-2"/>
    <x v="369"/>
    <n v="75"/>
    <x v="884"/>
    <n v="20"/>
    <n v="3.75"/>
    <n v="50"/>
    <n v="53.75"/>
    <n v="0.94371743249644724"/>
    <n v="6108.5420120795925"/>
    <s v="C"/>
  </r>
  <r>
    <x v="5"/>
    <s v="FERRAMENTAS"/>
    <s v="PÁ "/>
    <s v="15434"/>
    <s v="UNIDADE"/>
    <n v="18.2"/>
    <x v="286"/>
    <n v="140"/>
    <n v="25"/>
    <n v="1.5"/>
    <n v="1.86"/>
    <n v="5.2500000000000003E-3"/>
    <x v="605"/>
    <n v="70"/>
    <x v="208"/>
    <n v="20"/>
    <n v="3.5"/>
    <n v="46.666666666666671"/>
    <n v="50.166666666666671"/>
    <n v="0.94297726196115583"/>
    <n v="6109.484989341554"/>
    <s v="C"/>
  </r>
  <r>
    <x v="5"/>
    <s v="FERRAMENTAS"/>
    <s v="BOTINAS"/>
    <s v="4095USES4600LB "/>
    <s v="CAIXA COLETIVA "/>
    <n v="620"/>
    <x v="287"/>
    <n v="50"/>
    <n v="60"/>
    <n v="60"/>
    <n v="16"/>
    <n v="0.18"/>
    <x v="258"/>
    <n v="2"/>
    <x v="885"/>
    <n v="20"/>
    <n v="0.1"/>
    <n v="1.3333333333333333"/>
    <n v="1.4333333333333333"/>
    <n v="0.91781146376125067"/>
    <n v="6110.4028008053156"/>
    <s v="C"/>
  </r>
  <r>
    <x v="5"/>
    <s v="FERRAMENTAS"/>
    <s v="ENXADA"/>
    <s v="77212704"/>
    <s v="UNIDADE"/>
    <n v="24.74"/>
    <x v="178"/>
    <n v="1.3"/>
    <n v="19.2"/>
    <n v="19.5"/>
    <n v="1.52"/>
    <n v="4.8671999999999995E-4"/>
    <x v="606"/>
    <n v="50"/>
    <x v="886"/>
    <n v="20"/>
    <n v="2.5"/>
    <n v="33.333333333333336"/>
    <n v="35.833333333333336"/>
    <n v="0.91559095215537667"/>
    <n v="6111.3183917574706"/>
    <s v="C"/>
  </r>
  <r>
    <x v="5"/>
    <s v="FERRAMENTAS"/>
    <s v="DESEMPENADEIRA PLÁSTICA COM ESPUMA "/>
    <s v="7821"/>
    <s v="CAIXA "/>
    <n v="12.89"/>
    <x v="18"/>
    <n v="5"/>
    <n v="30"/>
    <n v="18"/>
    <n v="2.5"/>
    <n v="2.7000000000000001E-3"/>
    <x v="607"/>
    <n v="95"/>
    <x v="887"/>
    <n v="20"/>
    <n v="4.75"/>
    <n v="63.333333333333329"/>
    <n v="68.083333333333329"/>
    <n v="0.90637582899099955"/>
    <n v="6112.2247675864619"/>
    <s v="C"/>
  </r>
  <r>
    <x v="5"/>
    <s v="FERRAMENTAS"/>
    <s v="BOTINAS"/>
    <s v="4012BELS2400LL "/>
    <s v="CAIXA COLETIVA "/>
    <n v="611"/>
    <x v="287"/>
    <n v="50"/>
    <n v="60"/>
    <n v="60"/>
    <n v="15.2"/>
    <n v="0.18"/>
    <x v="258"/>
    <n v="2"/>
    <x v="888"/>
    <n v="20"/>
    <n v="0.1"/>
    <n v="1.3333333333333333"/>
    <n v="1.4333333333333333"/>
    <n v="0.90448839412600668"/>
    <n v="6113.1292559805879"/>
    <s v="C"/>
  </r>
  <r>
    <x v="5"/>
    <s v="FERRAMENTAS"/>
    <s v="ENXADA"/>
    <s v="778"/>
    <s v="UNIDADE"/>
    <n v="24.1"/>
    <x v="278"/>
    <n v="1.5"/>
    <n v="25.5"/>
    <n v="17.5"/>
    <n v="1.95"/>
    <n v="6.6937500000000005E-4"/>
    <x v="608"/>
    <n v="50"/>
    <x v="889"/>
    <n v="20"/>
    <n v="2.5"/>
    <n v="33.333333333333336"/>
    <n v="35.833333333333336"/>
    <n v="0.89190549502605398"/>
    <n v="6114.0211614756136"/>
    <s v="C"/>
  </r>
  <r>
    <x v="5"/>
    <s v="MATERIAL ELÉTRICO"/>
    <s v="CONJUNTO 2 TOMADAS 2P + T PADRÃO BRASILEIRO 20A 250V SEPARADAS BRANCO S19 -  "/>
    <s v="I-05"/>
    <s v="CAIXA"/>
    <n v="15"/>
    <x v="276"/>
    <n v="15"/>
    <n v="23"/>
    <n v="15"/>
    <n v="5.1749999999999999E-3"/>
    <n v="5.1749999999999999E-3"/>
    <x v="609"/>
    <n v="80"/>
    <x v="890"/>
    <n v="20"/>
    <n v="4"/>
    <n v="53.333333333333329"/>
    <n v="57.333333333333329"/>
    <n v="0.8882046423495974"/>
    <n v="6114.9093661179631"/>
    <s v="C"/>
  </r>
  <r>
    <x v="5"/>
    <s v="MATERIAL HIDRÁULICO"/>
    <s v="REGISTRO ROMADO LOREN"/>
    <s v="VALVULA"/>
    <s v="CAIXA"/>
    <n v="240"/>
    <x v="41"/>
    <n v="50"/>
    <n v="114"/>
    <n v="45"/>
    <n v="8"/>
    <n v="0.25650000000000001"/>
    <x v="610"/>
    <n v="5"/>
    <x v="890"/>
    <n v="20"/>
    <n v="0.25"/>
    <n v="3.333333333333333"/>
    <n v="3.583333333333333"/>
    <n v="0.8882046423495974"/>
    <n v="6115.7975707603127"/>
    <s v="C"/>
  </r>
  <r>
    <x v="5"/>
    <s v="FERRAMENTAS"/>
    <s v="BOTINAS"/>
    <s v="4012BELS4600L "/>
    <s v="CAIXA COLETIVA "/>
    <n v="590"/>
    <x v="287"/>
    <n v="50"/>
    <n v="60"/>
    <n v="60"/>
    <n v="15.8"/>
    <n v="0.18"/>
    <x v="258"/>
    <n v="2"/>
    <x v="891"/>
    <n v="20"/>
    <n v="0.1"/>
    <n v="1.3333333333333333"/>
    <n v="1.4333333333333333"/>
    <n v="0.8734012316437707"/>
    <n v="6116.6709719919563"/>
    <s v="C"/>
  </r>
  <r>
    <x v="5"/>
    <s v="MATERIAL ELÉTRICO"/>
    <s v="FIO DE COBRE"/>
    <s v="C-04"/>
    <s v="ROLO"/>
    <n v="15.5"/>
    <x v="215"/>
    <n v="25"/>
    <n v="600"/>
    <n v="0.8"/>
    <n v="1.2E-2"/>
    <n v="1.2E-2"/>
    <x v="611"/>
    <n v="75"/>
    <x v="892"/>
    <n v="20"/>
    <n v="3.75"/>
    <n v="50"/>
    <n v="53.75"/>
    <n v="0.86044824727617242"/>
    <n v="6117.5314202392328"/>
    <s v="C"/>
  </r>
  <r>
    <x v="5"/>
    <s v="MATERIAL ELÉTRICO"/>
    <s v="REATORES"/>
    <s v="HID INTERNO"/>
    <s v="CAIXA"/>
    <n v="14.5"/>
    <x v="91"/>
    <n v="15"/>
    <n v="20"/>
    <n v="25"/>
    <n v="7"/>
    <n v="7.4999999999999997E-3"/>
    <x v="388"/>
    <n v="80"/>
    <x v="893"/>
    <n v="20"/>
    <n v="4"/>
    <n v="53.333333333333329"/>
    <n v="57.333333333333329"/>
    <n v="0.85859782093794412"/>
    <n v="6118.3900180601704"/>
    <s v="C"/>
  </r>
  <r>
    <x v="5"/>
    <s v="MATERIAL HIDRÁULICO"/>
    <s v="REDUÇÃO"/>
    <s v="RR300"/>
    <s v="CAIXA"/>
    <n v="229"/>
    <x v="288"/>
    <n v="120"/>
    <n v="80"/>
    <n v="100"/>
    <n v="17.899999999999999"/>
    <n v="0.96"/>
    <x v="612"/>
    <n v="5"/>
    <x v="894"/>
    <n v="20"/>
    <n v="0.25"/>
    <n v="3.333333333333333"/>
    <n v="3.583333333333333"/>
    <n v="0.84749526290857413"/>
    <n v="6119.2375133230789"/>
    <s v="C"/>
  </r>
  <r>
    <x v="5"/>
    <s v="MATERIAL HIDRÁULICO"/>
    <s v="RALO"/>
    <s v="409456"/>
    <s v="CAIXA"/>
    <n v="229"/>
    <x v="212"/>
    <n v="100"/>
    <n v="100"/>
    <n v="100"/>
    <n v="9.6999999999999993"/>
    <n v="1"/>
    <x v="76"/>
    <n v="5"/>
    <x v="894"/>
    <n v="20"/>
    <n v="0.25"/>
    <n v="3.333333333333333"/>
    <n v="3.583333333333333"/>
    <n v="0.84749526290857413"/>
    <n v="6120.0850085859875"/>
    <s v="C"/>
  </r>
  <r>
    <x v="5"/>
    <s v="MATERIAL HIDRÁULICO"/>
    <s v="SIFÃO"/>
    <s v="M4"/>
    <s v="CAIXA"/>
    <n v="229"/>
    <x v="261"/>
    <n v="100"/>
    <n v="100"/>
    <n v="100"/>
    <n v="1.9"/>
    <n v="1"/>
    <x v="76"/>
    <n v="5"/>
    <x v="894"/>
    <n v="20"/>
    <n v="0.25"/>
    <n v="3.333333333333333"/>
    <n v="3.583333333333333"/>
    <n v="0.84749526290857413"/>
    <n v="6120.932503848896"/>
    <s v="C"/>
  </r>
  <r>
    <x v="5"/>
    <s v="MATERIAL ELÉTRICO"/>
    <s v="RESISTENCIA PRA CHUVEIRO"/>
    <s v="87432730"/>
    <s v="SACO"/>
    <n v="11.9"/>
    <x v="216"/>
    <n v="10"/>
    <n v="15"/>
    <n v="15"/>
    <n v="0.5"/>
    <n v="2.2499999999999998E-3"/>
    <x v="613"/>
    <n v="95"/>
    <x v="895"/>
    <n v="20"/>
    <n v="4.75"/>
    <n v="63.333333333333329"/>
    <n v="68.083333333333329"/>
    <n v="0.83676279014684984"/>
    <n v="6121.7692666390431"/>
    <s v="C"/>
  </r>
  <r>
    <x v="5"/>
    <s v="MATERIAL ELÉTRICO"/>
    <s v="RESISTENCIA PRA CHUVEIRO"/>
    <s v="87532256"/>
    <s v="SACO"/>
    <n v="11.9"/>
    <x v="289"/>
    <n v="10"/>
    <n v="15"/>
    <n v="15"/>
    <n v="0.5"/>
    <n v="2.2499999999999998E-3"/>
    <x v="613"/>
    <n v="95"/>
    <x v="895"/>
    <n v="20"/>
    <n v="4.75"/>
    <n v="63.333333333333329"/>
    <n v="68.083333333333329"/>
    <n v="0.83676279014684984"/>
    <n v="6122.6060294291901"/>
    <s v="C"/>
  </r>
  <r>
    <x v="5"/>
    <s v="MATERIAL ELÉTRICO"/>
    <s v="RESISTENCIA PRA CHUVEIRO"/>
    <s v="87532263"/>
    <s v="SACO"/>
    <n v="11.9"/>
    <x v="289"/>
    <n v="10"/>
    <n v="15"/>
    <n v="15"/>
    <n v="0.5"/>
    <n v="2.2499999999999998E-3"/>
    <x v="613"/>
    <n v="95"/>
    <x v="895"/>
    <n v="20"/>
    <n v="4.75"/>
    <n v="63.333333333333329"/>
    <n v="68.083333333333329"/>
    <n v="0.83676279014684984"/>
    <n v="6123.4427922193372"/>
    <s v="C"/>
  </r>
  <r>
    <x v="5"/>
    <s v="MATERIAL ELÉTRICO"/>
    <s v="HASTE PARA CHUVEIRO"/>
    <s v="26.91.227.0"/>
    <s v="SACO"/>
    <n v="27.9"/>
    <x v="212"/>
    <n v="4"/>
    <n v="18"/>
    <n v="4"/>
    <n v="0.7"/>
    <n v="2.8800000000000001E-4"/>
    <x v="584"/>
    <n v="40"/>
    <x v="896"/>
    <n v="20"/>
    <n v="2"/>
    <n v="26.666666666666664"/>
    <n v="28.666666666666664"/>
    <n v="0.82603031738512556"/>
    <n v="6124.2688225367219"/>
    <s v="C"/>
  </r>
  <r>
    <x v="5"/>
    <s v="FERRAMENTAS"/>
    <s v="SERROTE LAMINA "/>
    <s v="ÇI9OI"/>
    <s v="CAIXA "/>
    <n v="556"/>
    <x v="178"/>
    <n v="350"/>
    <n v="350"/>
    <n v="150"/>
    <n v="80"/>
    <n v="18.375"/>
    <x v="614"/>
    <n v="2"/>
    <x v="897"/>
    <n v="20"/>
    <n v="0.1"/>
    <n v="1.3333333333333333"/>
    <n v="1.4333333333333333"/>
    <n v="0.82306963524396026"/>
    <n v="6125.0918921719658"/>
    <s v="C"/>
  </r>
  <r>
    <x v="5"/>
    <s v="MATERIAL ELÉTRICO"/>
    <s v="PLACA 4X2 SAÍDA DE FIO COM SUPORTE BRANCO S30 -  "/>
    <s v="I-09"/>
    <s v="CAIXA"/>
    <n v="30"/>
    <x v="276"/>
    <n v="16"/>
    <n v="27"/>
    <n v="18"/>
    <n v="7.7759999999999999E-3"/>
    <n v="7.7759999999999999E-3"/>
    <x v="615"/>
    <n v="36"/>
    <x v="898"/>
    <n v="20"/>
    <n v="1.8"/>
    <n v="24"/>
    <n v="25.8"/>
    <n v="0.79938417811463769"/>
    <n v="6125.8912763500803"/>
    <s v="C"/>
  </r>
  <r>
    <x v="5"/>
    <s v="FERRAMENTAS"/>
    <s v="ESCADA MULTIFUNCIONAL ALUMINIO 16 DEGRAUS "/>
    <s v="5132"/>
    <s v="CAIXA "/>
    <n v="520"/>
    <x v="230"/>
    <n v="1600"/>
    <n v="55"/>
    <n v="20"/>
    <n v="5"/>
    <n v="1.76"/>
    <x v="616"/>
    <n v="2"/>
    <x v="899"/>
    <n v="20"/>
    <n v="0.1"/>
    <n v="1.3333333333333333"/>
    <n v="1.4333333333333333"/>
    <n v="0.76977735670298442"/>
    <n v="6126.6610537067836"/>
    <s v="C"/>
  </r>
  <r>
    <x v="5"/>
    <s v="FERRAMENTAS"/>
    <s v="BOTINAS"/>
    <s v="1230000"/>
    <s v="CAIXA COLETIVA "/>
    <n v="514"/>
    <x v="284"/>
    <n v="50"/>
    <n v="60"/>
    <n v="60"/>
    <n v="16"/>
    <n v="0.18"/>
    <x v="258"/>
    <n v="2"/>
    <x v="900"/>
    <n v="20"/>
    <n v="0.1"/>
    <n v="1.3333333333333333"/>
    <n v="1.4333333333333333"/>
    <n v="0.76089531027948842"/>
    <n v="6127.4219490170635"/>
    <s v="C"/>
  </r>
  <r>
    <x v="5"/>
    <s v="FERRAMENTAS"/>
    <s v="ESCADA P/ PISCINA INOX 3 DEGRAUS"/>
    <s v="1/12 E3D"/>
    <s v="CAIXA "/>
    <n v="500"/>
    <x v="290"/>
    <n v="160"/>
    <n v="60"/>
    <n v="10"/>
    <n v="17"/>
    <n v="9.6000000000000002E-2"/>
    <x v="617"/>
    <n v="2"/>
    <x v="901"/>
    <n v="20"/>
    <n v="0.1"/>
    <n v="1.3333333333333333"/>
    <n v="1.4333333333333333"/>
    <n v="0.74017053529133114"/>
    <n v="6128.1621195523549"/>
    <s v="C"/>
  </r>
  <r>
    <x v="5"/>
    <s v="MATERIAL ELÉTRICO"/>
    <s v="CAIXA DE LUZ"/>
    <s v="D-06"/>
    <s v="CAIXA"/>
    <n v="25"/>
    <x v="236"/>
    <n v="20"/>
    <n v="20"/>
    <n v="15"/>
    <n v="6.0000000000000001E-3"/>
    <n v="6.0000000000000001E-3"/>
    <x v="502"/>
    <n v="40"/>
    <x v="901"/>
    <n v="20"/>
    <n v="2"/>
    <n v="26.666666666666664"/>
    <n v="28.666666666666664"/>
    <n v="0.74017053529133114"/>
    <n v="6128.9022900876462"/>
    <s v="C"/>
  </r>
  <r>
    <x v="5"/>
    <s v="MATERIAL HIDRÁULICO"/>
    <s v="SIFÃO"/>
    <s v="M1"/>
    <s v="CAIXA"/>
    <n v="199"/>
    <x v="261"/>
    <n v="100"/>
    <n v="100"/>
    <n v="100"/>
    <n v="1.9"/>
    <n v="1"/>
    <x v="76"/>
    <n v="5"/>
    <x v="902"/>
    <n v="20"/>
    <n v="0.25"/>
    <n v="3.333333333333333"/>
    <n v="3.583333333333333"/>
    <n v="0.73646968261487444"/>
    <n v="6129.6387597702615"/>
    <s v="C"/>
  </r>
  <r>
    <x v="5"/>
    <s v="FERRAMENTAS"/>
    <s v="ENXADA"/>
    <s v="770"/>
    <s v="UNIDADE"/>
    <n v="19.3"/>
    <x v="278"/>
    <n v="1.5"/>
    <n v="30"/>
    <n v="20"/>
    <n v="2.15"/>
    <n v="8.9999999999999998E-4"/>
    <x v="401"/>
    <n v="50"/>
    <x v="903"/>
    <n v="20"/>
    <n v="2.5"/>
    <n v="33.333333333333336"/>
    <n v="35.833333333333336"/>
    <n v="0.71426456655613457"/>
    <n v="6130.3530243368177"/>
    <s v="C"/>
  </r>
  <r>
    <x v="5"/>
    <s v="MATERIAL HIDRÁULICO"/>
    <s v="CAIXA SINFONADA CROMADA"/>
    <s v="TRIPLO"/>
    <s v="CAIXA"/>
    <n v="240"/>
    <x v="267"/>
    <n v="14"/>
    <n v="12"/>
    <n v="12"/>
    <n v="6"/>
    <n v="2.016E-3"/>
    <x v="618"/>
    <n v="4"/>
    <x v="904"/>
    <n v="20"/>
    <n v="0.2"/>
    <n v="2.6666666666666665"/>
    <n v="2.8666666666666667"/>
    <n v="0.71056371387967787"/>
    <n v="6131.063588050697"/>
    <s v="C"/>
  </r>
  <r>
    <x v="5"/>
    <s v="FERRAMENTAS"/>
    <s v="ESCADA P/ PISCINA INOX 2 DEGRAUS "/>
    <s v="1/12 E2D"/>
    <s v="CAIXA "/>
    <n v="478.5"/>
    <x v="290"/>
    <n v="130"/>
    <n v="60"/>
    <n v="10"/>
    <n v="15"/>
    <n v="7.8E-2"/>
    <x v="619"/>
    <n v="2"/>
    <x v="905"/>
    <n v="20"/>
    <n v="0.1"/>
    <n v="1.3333333333333333"/>
    <n v="1.4333333333333333"/>
    <n v="0.70834320227380387"/>
    <n v="6131.7719312529707"/>
    <s v="C"/>
  </r>
  <r>
    <x v="5"/>
    <s v="MATERIAL HIDRÁULICO"/>
    <s v="CANOS D'ÁGUA"/>
    <s v="C03"/>
    <s v="FARDO"/>
    <n v="189"/>
    <x v="272"/>
    <n v="110"/>
    <n v="90"/>
    <n v="100"/>
    <n v="19.2"/>
    <n v="0.99"/>
    <x v="568"/>
    <n v="5"/>
    <x v="906"/>
    <n v="20"/>
    <n v="0.25"/>
    <n v="3.333333333333333"/>
    <n v="3.583333333333333"/>
    <n v="0.69946115585030788"/>
    <n v="6132.471392408821"/>
    <s v="C"/>
  </r>
  <r>
    <x v="5"/>
    <s v="FERRAMENTAS"/>
    <s v="PÁ "/>
    <s v="77402504"/>
    <s v="UNIDADE"/>
    <n v="18.100000000000001"/>
    <x v="178"/>
    <n v="120"/>
    <n v="20.7"/>
    <n v="1"/>
    <n v="1.59"/>
    <n v="2.4840000000000001E-3"/>
    <x v="103"/>
    <n v="50"/>
    <x v="907"/>
    <n v="20"/>
    <n v="2.5"/>
    <n v="33.333333333333336"/>
    <n v="35.833333333333336"/>
    <n v="0.66985433443865472"/>
    <n v="6133.1412467432592"/>
    <s v="C"/>
  </r>
  <r>
    <x v="5"/>
    <s v="MATERIAL HIDRÁULICO"/>
    <s v="TANQUE"/>
    <s v="M57"/>
    <s v="PEÇA"/>
    <n v="180.9"/>
    <x v="41"/>
    <n v="50"/>
    <n v="53.5"/>
    <n v="50"/>
    <n v="22"/>
    <n v="0.13375000000000001"/>
    <x v="603"/>
    <n v="5"/>
    <x v="908"/>
    <n v="20"/>
    <n v="0.25"/>
    <n v="3.333333333333333"/>
    <n v="3.583333333333333"/>
    <n v="0.66948424917100902"/>
    <n v="6133.8107309924299"/>
    <s v="C"/>
  </r>
  <r>
    <x v="5"/>
    <s v="MATERIAL ELÉTRICO"/>
    <s v="CAIXA DE LUZ DE FERRO"/>
    <s v="D-03"/>
    <s v="CAIXA"/>
    <n v="25"/>
    <x v="212"/>
    <n v="15"/>
    <n v="30"/>
    <n v="20"/>
    <n v="8.9999999999999993E-3"/>
    <n v="8.9999999999999993E-3"/>
    <x v="620"/>
    <n v="36"/>
    <x v="909"/>
    <n v="20"/>
    <n v="1.8"/>
    <n v="24"/>
    <n v="25.8"/>
    <n v="0.66615348176219802"/>
    <n v="6134.476884474192"/>
    <s v="C"/>
  </r>
  <r>
    <x v="5"/>
    <s v="MATERIAL HIDRÁULICO"/>
    <s v="CAIXA DE GORDURA"/>
    <s v="TRIPLO"/>
    <s v="LOTE"/>
    <n v="179.9"/>
    <x v="212"/>
    <n v="170"/>
    <n v="114"/>
    <n v="30"/>
    <n v="14"/>
    <n v="0.58140000000000003"/>
    <x v="621"/>
    <n v="5"/>
    <x v="910"/>
    <n v="20"/>
    <n v="0.25"/>
    <n v="3.333333333333333"/>
    <n v="3.583333333333333"/>
    <n v="0.66578339649455232"/>
    <n v="6135.1426678706866"/>
    <s v="C"/>
  </r>
  <r>
    <x v="5"/>
    <s v="MATERIAL HIDRÁULICO"/>
    <s v="REGSTRO CROMADO C40 DUMOS"/>
    <s v="ROSQUEAVEL"/>
    <s v="CAIXA"/>
    <n v="175"/>
    <x v="41"/>
    <n v="30"/>
    <n v="30"/>
    <n v="30"/>
    <n v="7"/>
    <n v="2.7E-2"/>
    <x v="513"/>
    <n v="5"/>
    <x v="911"/>
    <n v="20"/>
    <n v="0.25"/>
    <n v="3.333333333333333"/>
    <n v="3.583333333333333"/>
    <n v="0.64764921837991474"/>
    <n v="6135.7903170890668"/>
    <s v="C"/>
  </r>
  <r>
    <x v="5"/>
    <s v="MATERIAL ELÉTRICO"/>
    <s v="CAIXA SOBREPOR EXTERNA XB-2901 APOIO"/>
    <s v="D-05"/>
    <s v="CAIXA"/>
    <n v="23.9"/>
    <x v="212"/>
    <n v="20"/>
    <n v="27"/>
    <n v="18"/>
    <n v="9.7199999999999995E-3"/>
    <n v="9.7199999999999995E-3"/>
    <x v="622"/>
    <n v="36"/>
    <x v="912"/>
    <n v="20"/>
    <n v="1.8"/>
    <n v="24"/>
    <n v="25.8"/>
    <n v="0.63684272856466129"/>
    <n v="6136.427159817631"/>
    <s v="C"/>
  </r>
  <r>
    <x v="5"/>
    <s v="MATERIAL HIDRÁULICO"/>
    <s v="RALO"/>
    <s v="RR200"/>
    <s v="CAIXA"/>
    <n v="163"/>
    <x v="291"/>
    <n v="20"/>
    <n v="50"/>
    <n v="40"/>
    <n v="12"/>
    <n v="0.04"/>
    <x v="477"/>
    <n v="5"/>
    <x v="913"/>
    <n v="20"/>
    <n v="0.25"/>
    <n v="3.333333333333333"/>
    <n v="3.583333333333333"/>
    <n v="0.60323898626243488"/>
    <n v="6137.0303988038931"/>
    <s v="C"/>
  </r>
  <r>
    <x v="5"/>
    <s v="FERRAMENTAS"/>
    <s v="DESEMPENADEIRA PVC "/>
    <s v="6325"/>
    <s v="CAIXA "/>
    <n v="16.29"/>
    <x v="18"/>
    <n v="3.5"/>
    <n v="17"/>
    <n v="30"/>
    <n v="2"/>
    <n v="1.7849999999999999E-3"/>
    <x v="623"/>
    <n v="50"/>
    <x v="914"/>
    <n v="20"/>
    <n v="2.5"/>
    <n v="33.333333333333336"/>
    <n v="35.833333333333336"/>
    <n v="0.60286890099478918"/>
    <n v="6137.6332677048877"/>
    <s v="C"/>
  </r>
  <r>
    <x v="5"/>
    <s v="MATERIAL ELÉTRICO"/>
    <s v="FIO DE COBRE"/>
    <s v="C-03"/>
    <s v="ROLO"/>
    <n v="20"/>
    <x v="215"/>
    <n v="20"/>
    <n v="600"/>
    <n v="0.5"/>
    <n v="6.0000000000000001E-3"/>
    <n v="6.0000000000000001E-3"/>
    <x v="502"/>
    <n v="40"/>
    <x v="915"/>
    <n v="20"/>
    <n v="2"/>
    <n v="26.666666666666664"/>
    <n v="28.666666666666664"/>
    <n v="0.59213642823306489"/>
    <n v="6138.2254041331207"/>
    <s v="C"/>
  </r>
  <r>
    <x v="5"/>
    <s v="MATERIAL ELÉTRICO"/>
    <s v="CAIXA DE LUZ TIGREFLEX 4&quot;X2&quot;"/>
    <s v="D-01"/>
    <s v=" CAIXA"/>
    <n v="20"/>
    <x v="212"/>
    <n v="10"/>
    <n v="28"/>
    <n v="20"/>
    <n v="5.5999999999999999E-3"/>
    <n v="5.5999999999999999E-3"/>
    <x v="504"/>
    <n v="40"/>
    <x v="915"/>
    <n v="20"/>
    <n v="2"/>
    <n v="26.666666666666664"/>
    <n v="28.666666666666664"/>
    <n v="0.59213642823306489"/>
    <n v="6138.8175405613538"/>
    <s v="C"/>
  </r>
  <r>
    <x v="5"/>
    <s v="MATERIAL HIDRÁULICO"/>
    <s v="ANEL"/>
    <s v="87807"/>
    <s v="CAIXA"/>
    <n v="199"/>
    <x v="212"/>
    <n v="15"/>
    <n v="15"/>
    <n v="15"/>
    <n v="6.64"/>
    <n v="3.375E-3"/>
    <x v="591"/>
    <n v="4"/>
    <x v="916"/>
    <n v="20"/>
    <n v="0.2"/>
    <n v="2.6666666666666665"/>
    <n v="2.8666666666666667"/>
    <n v="0.5891757460918996"/>
    <n v="6139.406716307446"/>
    <s v="C"/>
  </r>
  <r>
    <x v="5"/>
    <s v="FERRAMENTAS"/>
    <s v="PÁ "/>
    <s v="10334"/>
    <s v="UNIDADE"/>
    <n v="11.9"/>
    <x v="286"/>
    <n v="140"/>
    <n v="23.5"/>
    <n v="1"/>
    <n v="1.73"/>
    <n v="3.29E-3"/>
    <x v="624"/>
    <n v="66"/>
    <x v="917"/>
    <n v="20"/>
    <n v="3.3"/>
    <n v="44"/>
    <n v="47.3"/>
    <n v="0.58132993841781144"/>
    <n v="6139.9880462458641"/>
    <s v="C"/>
  </r>
  <r>
    <x v="5"/>
    <s v="MATERIAL ELÉTRICO"/>
    <s v="RESISTENCIA PRA CHUVEIRO"/>
    <s v="87242855"/>
    <s v="SACO"/>
    <n v="27.9"/>
    <x v="222"/>
    <n v="10"/>
    <n v="15"/>
    <n v="15"/>
    <n v="0.5"/>
    <n v="2.2499999999999998E-3"/>
    <x v="561"/>
    <n v="28"/>
    <x v="918"/>
    <n v="20"/>
    <n v="1.4"/>
    <n v="18.666666666666668"/>
    <n v="20.066666666666666"/>
    <n v="0.57822122216958782"/>
    <n v="6140.5662674680334"/>
    <s v="C"/>
  </r>
  <r>
    <x v="5"/>
    <s v="MATERIAL ELÉTRICO"/>
    <s v="RESISTENCIA PRA CHUVEIRO"/>
    <s v="87242855"/>
    <s v="SACO"/>
    <n v="27.9"/>
    <x v="222"/>
    <n v="10"/>
    <n v="15"/>
    <n v="15"/>
    <n v="0.5"/>
    <n v="2.2499999999999998E-3"/>
    <x v="561"/>
    <n v="28"/>
    <x v="918"/>
    <n v="20"/>
    <n v="1.4"/>
    <n v="18.666666666666668"/>
    <n v="20.066666666666666"/>
    <n v="0.57822122216958782"/>
    <n v="6141.1444886902027"/>
    <s v="C"/>
  </r>
  <r>
    <x v="5"/>
    <s v="FERRAMENTAS"/>
    <s v="PÁ "/>
    <s v="13534"/>
    <s v="UNIDADE"/>
    <n v="10.7"/>
    <x v="286"/>
    <n v="95"/>
    <n v="26"/>
    <n v="1"/>
    <n v="1.69"/>
    <n v="2.47E-3"/>
    <x v="625"/>
    <n v="70"/>
    <x v="919"/>
    <n v="20"/>
    <n v="3.5"/>
    <n v="46.666666666666671"/>
    <n v="50.166666666666671"/>
    <n v="0.55438773093320703"/>
    <n v="6141.6988764211355"/>
    <s v="C"/>
  </r>
  <r>
    <x v="5"/>
    <s v="MATERIAL HIDRÁULICO"/>
    <s v="CAIXA DE GORDURA"/>
    <s v="QUADRUPLO"/>
    <s v="LOTE"/>
    <n v="149.80000000000001"/>
    <x v="212"/>
    <n v="100"/>
    <n v="117"/>
    <n v="98"/>
    <n v="7.2"/>
    <n v="1.1466000000000001"/>
    <x v="626"/>
    <n v="5"/>
    <x v="919"/>
    <n v="20"/>
    <n v="0.25"/>
    <n v="3.333333333333333"/>
    <n v="3.583333333333333"/>
    <n v="0.55438773093320703"/>
    <n v="6142.2532641520684"/>
    <s v="C"/>
  </r>
  <r>
    <x v="5"/>
    <s v="MATERIAL HIDRÁULICO"/>
    <s v="PROLONGADOR"/>
    <s v="PRE53"/>
    <s v="CAIXA"/>
    <n v="149"/>
    <x v="272"/>
    <n v="110"/>
    <n v="90"/>
    <n v="100"/>
    <n v="59.6"/>
    <n v="0.99"/>
    <x v="568"/>
    <n v="5"/>
    <x v="920"/>
    <n v="20"/>
    <n v="0.25"/>
    <n v="3.333333333333333"/>
    <n v="3.583333333333333"/>
    <n v="0.55142704879204174"/>
    <n v="6142.8046912008604"/>
    <s v="C"/>
  </r>
  <r>
    <x v="5"/>
    <s v="MATERIAL HIDRÁULICO"/>
    <s v="RALO"/>
    <s v="2193/300"/>
    <s v="CAIXA"/>
    <n v="149"/>
    <x v="288"/>
    <n v="20"/>
    <n v="50"/>
    <n v="40"/>
    <n v="2.56"/>
    <n v="0.04"/>
    <x v="477"/>
    <n v="5"/>
    <x v="920"/>
    <n v="20"/>
    <n v="0.25"/>
    <n v="3.333333333333333"/>
    <n v="3.583333333333333"/>
    <n v="0.55142704879204174"/>
    <n v="6143.3561182496524"/>
    <s v="C"/>
  </r>
  <r>
    <x v="5"/>
    <s v="MATERIAL HIDRÁULICO"/>
    <s v="CAIXA DE GORDURA"/>
    <s v="TRIPLO"/>
    <s v="LOTE"/>
    <n v="148.9"/>
    <x v="212"/>
    <n v="108"/>
    <n v="126"/>
    <n v="120"/>
    <n v="9"/>
    <n v="1.63296"/>
    <x v="627"/>
    <n v="5"/>
    <x v="921"/>
    <n v="20"/>
    <n v="0.25"/>
    <n v="3.333333333333333"/>
    <n v="3.583333333333333"/>
    <n v="0.55105696352439604"/>
    <n v="6143.9071752131767"/>
    <s v="C"/>
  </r>
  <r>
    <x v="5"/>
    <s v="MATERIAL HIDRÁULICO"/>
    <s v="TUBO LIGAÇÃO"/>
    <s v="M77"/>
    <s v="CAIXA"/>
    <n v="147"/>
    <x v="292"/>
    <n v="115"/>
    <n v="69"/>
    <n v="12"/>
    <n v="21.6"/>
    <n v="9.5219999999999999E-2"/>
    <x v="628"/>
    <n v="5"/>
    <x v="922"/>
    <n v="20"/>
    <n v="0.25"/>
    <n v="3.333333333333333"/>
    <n v="3.583333333333333"/>
    <n v="0.54402534343912834"/>
    <n v="6144.4512005566157"/>
    <s v="C"/>
  </r>
  <r>
    <x v="5"/>
    <s v="MATERIAL HIDRÁULICO"/>
    <s v="VEDA ROSCA"/>
    <s v="M24"/>
    <s v="CAIXA"/>
    <n v="147"/>
    <x v="212"/>
    <n v="10"/>
    <n v="15"/>
    <n v="25"/>
    <n v="0.6"/>
    <n v="3.7499999999999999E-3"/>
    <x v="597"/>
    <n v="5"/>
    <x v="922"/>
    <n v="20"/>
    <n v="0.25"/>
    <n v="3.333333333333333"/>
    <n v="3.583333333333333"/>
    <n v="0.54402534343912834"/>
    <n v="6144.9952259000547"/>
    <s v="C"/>
  </r>
  <r>
    <x v="5"/>
    <s v="MATERIAL HIDRÁULICO"/>
    <s v="VEDA ROSCA"/>
    <s v="M30"/>
    <s v="CAIXA"/>
    <n v="147"/>
    <x v="292"/>
    <n v="15"/>
    <n v="20"/>
    <n v="30"/>
    <n v="0.3"/>
    <n v="8.9999999999999993E-3"/>
    <x v="401"/>
    <n v="5"/>
    <x v="922"/>
    <n v="20"/>
    <n v="0.25"/>
    <n v="3.333333333333333"/>
    <n v="3.583333333333333"/>
    <n v="0.54402534343912834"/>
    <n v="6145.5392512434937"/>
    <s v="C"/>
  </r>
  <r>
    <x v="5"/>
    <s v="MATERIAL ELÉTRICO"/>
    <s v="PLACA 4X2 2 POSTOS HORIZONTAIS COM SUPORTE BRANCO S30 -  "/>
    <s v="I-08"/>
    <s v="CAIXA"/>
    <n v="20"/>
    <x v="276"/>
    <n v="17"/>
    <n v="30"/>
    <n v="15"/>
    <n v="7.6499999999999997E-3"/>
    <n v="7.6499999999999997E-3"/>
    <x v="629"/>
    <n v="36"/>
    <x v="923"/>
    <n v="20"/>
    <n v="1.8"/>
    <n v="24"/>
    <n v="25.8"/>
    <n v="0.53292278540975846"/>
    <n v="6146.0721740289036"/>
    <s v="C"/>
  </r>
  <r>
    <x v="5"/>
    <s v="MATERIAL ELÉTRICO"/>
    <s v="TOMADA COM 3 CONJUNTOS 10A 250V LINHA S19 KIT  -  "/>
    <s v="I-01"/>
    <s v="CAIXA"/>
    <n v="20"/>
    <x v="276"/>
    <n v="20"/>
    <n v="25"/>
    <n v="15"/>
    <n v="7.4999999999999997E-3"/>
    <n v="7.4999999999999997E-3"/>
    <x v="141"/>
    <n v="36"/>
    <x v="923"/>
    <n v="20"/>
    <n v="1.8"/>
    <n v="24"/>
    <n v="25.8"/>
    <n v="0.53292278540975846"/>
    <n v="6146.6050968143136"/>
    <s v="C"/>
  </r>
  <r>
    <x v="5"/>
    <s v="MATERIAL HIDRÁULICO"/>
    <s v="SIFÃO"/>
    <s v="M9"/>
    <s v="CAIXA"/>
    <n v="143.9"/>
    <x v="41"/>
    <n v="100"/>
    <n v="100"/>
    <n v="100"/>
    <n v="1.8"/>
    <n v="1"/>
    <x v="76"/>
    <n v="5"/>
    <x v="924"/>
    <n v="20"/>
    <n v="0.25"/>
    <n v="3.333333333333333"/>
    <n v="3.583333333333333"/>
    <n v="0.53255270014211276"/>
    <n v="6147.1376495144559"/>
    <s v="C"/>
  </r>
  <r>
    <x v="5"/>
    <s v="MATERIAL HIDRÁULICO"/>
    <s v="CURVA"/>
    <s v="M16"/>
    <s v="CAIXA"/>
    <n v="179"/>
    <x v="272"/>
    <n v="110"/>
    <n v="90"/>
    <n v="100"/>
    <n v="4.84"/>
    <n v="0.99"/>
    <x v="442"/>
    <n v="4"/>
    <x v="925"/>
    <n v="20"/>
    <n v="0.2"/>
    <n v="2.6666666666666665"/>
    <n v="2.8666666666666667"/>
    <n v="0.52996210326859305"/>
    <n v="6147.6676116177241"/>
    <s v="C"/>
  </r>
  <r>
    <x v="5"/>
    <s v="FERRAMENTAS"/>
    <s v="COLHER"/>
    <s v="77350065"/>
    <s v="CAIXA "/>
    <n v="357.6"/>
    <x v="178"/>
    <n v="30"/>
    <n v="35"/>
    <n v="15"/>
    <n v="4.0999999999999996"/>
    <n v="1.575E-2"/>
    <x v="542"/>
    <n v="2"/>
    <x v="926"/>
    <n v="20"/>
    <n v="0.1"/>
    <n v="1.3333333333333333"/>
    <n v="1.4333333333333333"/>
    <n v="0.52936996684036008"/>
    <n v="6148.1969815845641"/>
    <s v="C"/>
  </r>
  <r>
    <x v="5"/>
    <s v="MATERIAL HIDRÁULICO"/>
    <s v="VALVULA PARA LAVATORIO"/>
    <s v="M66"/>
    <s v="CAIXA"/>
    <n v="177"/>
    <x v="261"/>
    <n v="38"/>
    <n v="21"/>
    <n v="5.28"/>
    <n v="4.8899999999999997"/>
    <n v="4.2134400000000006E-3"/>
    <x v="630"/>
    <n v="4"/>
    <x v="927"/>
    <n v="20"/>
    <n v="0.2"/>
    <n v="2.6666666666666665"/>
    <n v="2.8666666666666667"/>
    <n v="0.52404073898626247"/>
    <n v="6148.7210223235506"/>
    <s v="C"/>
  </r>
  <r>
    <x v="5"/>
    <s v="MATERIAL HIDRÁULICO"/>
    <s v="ANEL"/>
    <s v="87807"/>
    <s v="CAIXA"/>
    <n v="139.9"/>
    <x v="212"/>
    <n v="15"/>
    <n v="15"/>
    <n v="15"/>
    <n v="3.38"/>
    <n v="3.375E-3"/>
    <x v="631"/>
    <n v="5"/>
    <x v="928"/>
    <n v="20"/>
    <n v="0.25"/>
    <n v="3.333333333333333"/>
    <n v="3.583333333333333"/>
    <n v="0.51774928943628618"/>
    <n v="6149.238771612987"/>
    <s v="C"/>
  </r>
  <r>
    <x v="5"/>
    <s v="MATERIAL ELÉTRICO"/>
    <s v="RESISTENCIA PRA CHUVEIRO"/>
    <s v="87320163"/>
    <s v="SACO"/>
    <n v="24.9"/>
    <x v="244"/>
    <n v="10"/>
    <n v="15"/>
    <n v="15"/>
    <n v="0.5"/>
    <n v="2.2499999999999998E-3"/>
    <x v="561"/>
    <n v="28"/>
    <x v="929"/>
    <n v="20"/>
    <n v="1.4"/>
    <n v="18.666666666666668"/>
    <n v="20.066666666666666"/>
    <n v="0.51604689720511598"/>
    <n v="6149.7548185101923"/>
    <s v="C"/>
  </r>
  <r>
    <x v="5"/>
    <s v="MATERIAL ELÉTRICO"/>
    <s v="RESISTENCIA PRA CHUVEIRO"/>
    <s v="87320170"/>
    <s v="SACO"/>
    <n v="24.9"/>
    <x v="244"/>
    <n v="10"/>
    <n v="15"/>
    <n v="15"/>
    <n v="0.5"/>
    <n v="2.2499999999999998E-3"/>
    <x v="561"/>
    <n v="28"/>
    <x v="929"/>
    <n v="20"/>
    <n v="1.4"/>
    <n v="18.666666666666668"/>
    <n v="20.066666666666666"/>
    <n v="0.51604689720511598"/>
    <n v="6150.2708654073977"/>
    <s v="C"/>
  </r>
  <r>
    <x v="5"/>
    <s v="MATERIAL ELÉTRICO"/>
    <s v="RESISTENCIA PRA CHUVEIRO"/>
    <s v="86596433"/>
    <s v="SACO"/>
    <n v="28.9"/>
    <x v="244"/>
    <n v="10"/>
    <n v="15"/>
    <n v="15"/>
    <n v="0.5"/>
    <n v="2.2499999999999998E-3"/>
    <x v="632"/>
    <n v="24"/>
    <x v="930"/>
    <n v="20"/>
    <n v="1.2"/>
    <n v="16"/>
    <n v="17.2"/>
    <n v="0.51338228327806723"/>
    <n v="6150.7842476906753"/>
    <s v="C"/>
  </r>
  <r>
    <x v="5"/>
    <s v="MATERIAL HIDRÁULICO"/>
    <s v="CANO PARA CAIXA DE DESCARGA"/>
    <s v="M83"/>
    <s v="CAIXA"/>
    <n v="138"/>
    <x v="258"/>
    <n v="80"/>
    <n v="100"/>
    <n v="4"/>
    <n v="10"/>
    <n v="3.2000000000000001E-2"/>
    <x v="423"/>
    <n v="5"/>
    <x v="931"/>
    <n v="20"/>
    <n v="0.25"/>
    <n v="3.333333333333333"/>
    <n v="3.583333333333333"/>
    <n v="0.51071766935101848"/>
    <n v="6151.2949653600263"/>
    <s v="C"/>
  </r>
  <r>
    <x v="5"/>
    <s v="PREGOS E PARAFUSOS"/>
    <s v="BUCHAS TAB"/>
    <s v="M31"/>
    <s v="SACO"/>
    <n v="20"/>
    <x v="273"/>
    <n v="5"/>
    <n v="20"/>
    <n v="10"/>
    <n v="1"/>
    <n v="1E-3"/>
    <x v="633"/>
    <n v="34"/>
    <x v="932"/>
    <n v="25"/>
    <n v="0.73529411764705888"/>
    <n v="25.735294117647058"/>
    <n v="26.470588235294116"/>
    <n v="0.50331596399810519"/>
    <n v="6151.7982813240242"/>
    <s v="C"/>
  </r>
  <r>
    <x v="5"/>
    <s v="MATERIAL HIDRÁULICO"/>
    <s v="CAIXA SIFONADA QUADRADA"/>
    <s v="QUADRUPLO"/>
    <s v="CAIXA"/>
    <n v="168"/>
    <x v="267"/>
    <n v="50"/>
    <n v="60"/>
    <n v="50"/>
    <n v="6"/>
    <n v="0.15"/>
    <x v="388"/>
    <n v="4"/>
    <x v="933"/>
    <n v="20"/>
    <n v="0.2"/>
    <n v="2.6666666666666665"/>
    <n v="2.8666666666666667"/>
    <n v="0.49739459971577454"/>
    <n v="6152.2956759237395"/>
    <s v="C"/>
  </r>
  <r>
    <x v="5"/>
    <s v="FERRAMENTAS"/>
    <s v="SERROTE SUPERCUT"/>
    <s v="21I9Ç"/>
    <s v="CAIXA "/>
    <n v="332.2"/>
    <x v="178"/>
    <n v="350"/>
    <n v="350"/>
    <n v="150"/>
    <n v="80"/>
    <n v="18.375"/>
    <x v="614"/>
    <n v="2"/>
    <x v="934"/>
    <n v="20"/>
    <n v="0.1"/>
    <n v="1.3333333333333333"/>
    <n v="1.4333333333333333"/>
    <n v="0.49176930364756039"/>
    <n v="6152.7874452273873"/>
    <s v="C"/>
  </r>
  <r>
    <x v="5"/>
    <s v="MATERIAL HIDRÁULICO"/>
    <s v="REGISTRO CROMADO C56"/>
    <s v="VALVULA"/>
    <s v="CAIXA"/>
    <n v="130"/>
    <x v="237"/>
    <n v="20"/>
    <n v="30"/>
    <n v="20"/>
    <n v="8"/>
    <n v="1.2E-2"/>
    <x v="507"/>
    <n v="5"/>
    <x v="935"/>
    <n v="20"/>
    <n v="0.25"/>
    <n v="3.333333333333333"/>
    <n v="3.583333333333333"/>
    <n v="0.48111084793936526"/>
    <n v="6153.2685560753271"/>
    <s v="C"/>
  </r>
  <r>
    <x v="5"/>
    <s v="MATERIAL HIDRÁULICO"/>
    <s v="RALO"/>
    <s v="409457"/>
    <s v="CAIXA"/>
    <n v="129"/>
    <x v="212"/>
    <n v="100"/>
    <n v="100"/>
    <n v="100"/>
    <n v="8.1999999999999993"/>
    <n v="1"/>
    <x v="76"/>
    <n v="5"/>
    <x v="936"/>
    <n v="20"/>
    <n v="0.25"/>
    <n v="3.333333333333333"/>
    <n v="3.583333333333333"/>
    <n v="0.47740999526290856"/>
    <n v="6153.7459660705899"/>
    <s v="C"/>
  </r>
  <r>
    <x v="5"/>
    <s v="MATERIAL ELÉTRICO"/>
    <s v="RESISTENCIA PRA CHUVEIRO"/>
    <s v="86596426"/>
    <s v="SACO"/>
    <n v="26.78"/>
    <x v="244"/>
    <n v="10"/>
    <n v="15"/>
    <n v="15"/>
    <n v="0.5"/>
    <n v="2.2499999999999998E-3"/>
    <x v="632"/>
    <n v="24"/>
    <x v="937"/>
    <n v="20"/>
    <n v="1.2"/>
    <n v="16"/>
    <n v="17.2"/>
    <n v="0.47572240644244435"/>
    <n v="6154.2216884770323"/>
    <s v="C"/>
  </r>
  <r>
    <x v="5"/>
    <s v="MATERIAL ELÉTRICO"/>
    <s v="RESISTENCIA PRA CHUVEIRO"/>
    <s v="86596440"/>
    <s v="SACO"/>
    <n v="21.9"/>
    <x v="244"/>
    <n v="10"/>
    <n v="15"/>
    <n v="15"/>
    <n v="0.5"/>
    <n v="2.2499999999999998E-3"/>
    <x v="561"/>
    <n v="28"/>
    <x v="938"/>
    <n v="20"/>
    <n v="1.4"/>
    <n v="18.666666666666668"/>
    <n v="20.066666666666666"/>
    <n v="0.4538725722406442"/>
    <n v="6154.6755610492728"/>
    <s v="C"/>
  </r>
  <r>
    <x v="5"/>
    <s v="MATERIAL ELÉTRICO"/>
    <s v="CAIXA DE LUZ ELETRODUTO"/>
    <s v="D-04"/>
    <s v="CAIXA"/>
    <n v="16.899999999999999"/>
    <x v="212"/>
    <n v="16"/>
    <n v="27"/>
    <n v="15"/>
    <n v="6.4799999999999996E-3"/>
    <n v="6.4799999999999996E-3"/>
    <x v="634"/>
    <n v="36"/>
    <x v="939"/>
    <n v="20"/>
    <n v="1.8"/>
    <n v="24"/>
    <n v="25.8"/>
    <n v="0.45031975367124583"/>
    <n v="6155.1258808029443"/>
    <s v="C"/>
  </r>
  <r>
    <x v="5"/>
    <s v="FERRAMENTAS"/>
    <s v="CAIXA DE FERRAMENTA SANFONADA C/ 65 PEÇAS"/>
    <s v="JHGH"/>
    <s v="CAIXA "/>
    <n v="302.39999999999998"/>
    <x v="178"/>
    <n v="22.5"/>
    <n v="45.5"/>
    <n v="25.5"/>
    <n v="15.805"/>
    <n v="2.6105625E-2"/>
    <x v="635"/>
    <n v="2"/>
    <x v="940"/>
    <n v="20"/>
    <n v="0.1"/>
    <n v="1.3333333333333333"/>
    <n v="1.4333333333333333"/>
    <n v="0.44765513974419702"/>
    <n v="6155.5735359426881"/>
    <s v="C"/>
  </r>
  <r>
    <x v="5"/>
    <s v="FERRAMENTAS"/>
    <s v="PÁ "/>
    <s v="77400524"/>
    <s v="UNIDADE"/>
    <n v="12"/>
    <x v="178"/>
    <n v="140"/>
    <n v="21"/>
    <n v="1"/>
    <n v="1.52"/>
    <n v="2.9399999999999999E-3"/>
    <x v="636"/>
    <n v="50"/>
    <x v="941"/>
    <n v="20"/>
    <n v="2.5"/>
    <n v="33.333333333333336"/>
    <n v="35.833333333333336"/>
    <n v="0.4441023211747987"/>
    <n v="6156.0176382638629"/>
    <s v="C"/>
  </r>
  <r>
    <x v="5"/>
    <s v="MATERIAL HIDRÁULICO"/>
    <s v="ADAPTADOS"/>
    <s v="SD04"/>
    <s v="CAIXA"/>
    <n v="119"/>
    <x v="272"/>
    <n v="110"/>
    <n v="90"/>
    <n v="100"/>
    <n v="7.2"/>
    <n v="0.99"/>
    <x v="568"/>
    <n v="5"/>
    <x v="942"/>
    <n v="20"/>
    <n v="0.25"/>
    <n v="3.333333333333333"/>
    <n v="3.583333333333333"/>
    <n v="0.44040146849834205"/>
    <n v="6156.4580397323616"/>
    <s v="C"/>
  </r>
  <r>
    <x v="5"/>
    <s v="MATERIAL ELÉTRICO"/>
    <s v="CONJUNTO 1 TOMADA COAXIAL PARA TV HORIZONTAL BRANCO S19 -  "/>
    <s v="I-06"/>
    <s v="CAIXA"/>
    <n v="16"/>
    <x v="276"/>
    <n v="15"/>
    <n v="30"/>
    <n v="20"/>
    <n v="8.9999999999999993E-3"/>
    <n v="8.9999999999999993E-3"/>
    <x v="620"/>
    <n v="36"/>
    <x v="943"/>
    <n v="20"/>
    <n v="1.8"/>
    <n v="24"/>
    <n v="25.8"/>
    <n v="0.42633822832780671"/>
    <n v="6156.8843779606896"/>
    <s v="C"/>
  </r>
  <r>
    <x v="5"/>
    <s v="MATERIAL HIDRÁULICO"/>
    <s v="JUNÇÃO SIMPLES ESGOTO"/>
    <s v="DUPLO"/>
    <s v="CAIXA"/>
    <n v="114.9"/>
    <x v="212"/>
    <n v="35"/>
    <n v="30"/>
    <n v="7.5"/>
    <n v="55.6"/>
    <n v="7.8750000000000001E-3"/>
    <x v="555"/>
    <n v="5"/>
    <x v="944"/>
    <n v="20"/>
    <n v="0.25"/>
    <n v="3.333333333333333"/>
    <n v="3.583333333333333"/>
    <n v="0.42522797252486977"/>
    <n v="6157.3096059332147"/>
    <s v="C"/>
  </r>
  <r>
    <x v="5"/>
    <s v="MATERIAL HIDRÁULICO"/>
    <s v="RALO"/>
    <s v="409460"/>
    <s v="CAIXA"/>
    <n v="143"/>
    <x v="288"/>
    <n v="20"/>
    <n v="50"/>
    <n v="40"/>
    <n v="5.9"/>
    <n v="0.04"/>
    <x v="423"/>
    <n v="4"/>
    <x v="945"/>
    <n v="20"/>
    <n v="0.2"/>
    <n v="2.6666666666666665"/>
    <n v="2.8666666666666667"/>
    <n v="0.42337754618664142"/>
    <n v="6157.7329834794009"/>
    <s v="C"/>
  </r>
  <r>
    <x v="5"/>
    <s v="MATERIAL HIDRÁULICO"/>
    <s v="SIFÃO"/>
    <s v="M3"/>
    <s v="CAIXA"/>
    <n v="109"/>
    <x v="261"/>
    <n v="100"/>
    <n v="100"/>
    <n v="100"/>
    <n v="1.9"/>
    <n v="1"/>
    <x v="76"/>
    <n v="5"/>
    <x v="946"/>
    <n v="20"/>
    <n v="0.25"/>
    <n v="3.333333333333333"/>
    <n v="3.583333333333333"/>
    <n v="0.40339294173377549"/>
    <n v="6158.1363764211346"/>
    <s v="C"/>
  </r>
  <r>
    <x v="5"/>
    <s v="MATERIAL HIDRÁULICO"/>
    <s v="SIFÃO"/>
    <s v="M10"/>
    <s v="CAIXA"/>
    <n v="109"/>
    <x v="261"/>
    <n v="100"/>
    <n v="100"/>
    <n v="100"/>
    <n v="1.9"/>
    <n v="1"/>
    <x v="76"/>
    <n v="5"/>
    <x v="946"/>
    <n v="20"/>
    <n v="0.25"/>
    <n v="3.333333333333333"/>
    <n v="3.583333333333333"/>
    <n v="0.40339294173377549"/>
    <n v="6158.5397693628684"/>
    <s v="C"/>
  </r>
  <r>
    <x v="5"/>
    <s v="MATERIAL ELÉTRICO"/>
    <s v="RESISTENCIA PRA CHUVEIRO"/>
    <s v="85261484"/>
    <s v="SACO"/>
    <n v="21.9"/>
    <x v="222"/>
    <n v="10"/>
    <n v="15"/>
    <n v="15"/>
    <n v="0.5"/>
    <n v="2.2499999999999998E-3"/>
    <x v="632"/>
    <n v="24"/>
    <x v="947"/>
    <n v="20"/>
    <n v="1.2"/>
    <n v="16"/>
    <n v="17.2"/>
    <n v="0.38903363334912361"/>
    <n v="6158.9288029962172"/>
    <s v="C"/>
  </r>
  <r>
    <x v="5"/>
    <s v="MATERIAL HIDRÁULICO"/>
    <s v="REGISTRO PARA MANGUEIRA CLABER"/>
    <s v="ROSQUEAVEL"/>
    <s v="CAIXA"/>
    <n v="130"/>
    <x v="293"/>
    <n v="25"/>
    <n v="20"/>
    <n v="20"/>
    <n v="5"/>
    <n v="0.01"/>
    <x v="637"/>
    <n v="4"/>
    <x v="948"/>
    <n v="20"/>
    <n v="0.2"/>
    <n v="2.6666666666666665"/>
    <n v="2.8666666666666667"/>
    <n v="0.38488867835149221"/>
    <n v="6159.3136916745689"/>
    <s v="C"/>
  </r>
  <r>
    <x v="5"/>
    <s v="MATERIAL HIDRÁULICO"/>
    <s v="CAIXA SIFONADA TAMPA QUADRADA"/>
    <s v="DUPLO"/>
    <s v="CAIXA"/>
    <n v="102"/>
    <x v="267"/>
    <n v="40"/>
    <n v="60"/>
    <n v="50"/>
    <n v="4.2"/>
    <n v="0.12"/>
    <x v="388"/>
    <n v="5"/>
    <x v="949"/>
    <n v="20"/>
    <n v="0.25"/>
    <n v="3.333333333333333"/>
    <n v="3.583333333333333"/>
    <n v="0.37748697299857886"/>
    <n v="6159.6911786475675"/>
    <s v="C"/>
  </r>
  <r>
    <x v="5"/>
    <s v="PREGOS E PARAFUSOS"/>
    <s v="PREGOS QUADRADO"/>
    <s v="M25"/>
    <s v="SACO"/>
    <n v="15"/>
    <x v="226"/>
    <n v="5"/>
    <n v="20"/>
    <n v="10"/>
    <n v="1"/>
    <n v="1E-3"/>
    <x v="633"/>
    <n v="34"/>
    <x v="949"/>
    <n v="25"/>
    <n v="0.73529411764705888"/>
    <n v="25.735294117647058"/>
    <n v="26.470588235294116"/>
    <n v="0.37748697299857886"/>
    <n v="6160.0686656205662"/>
    <s v="C"/>
  </r>
  <r>
    <x v="5"/>
    <s v="PREGOS E PARAFUSOS"/>
    <s v="BUCHAS BUR"/>
    <s v="M28"/>
    <s v="SACO"/>
    <n v="15"/>
    <x v="273"/>
    <n v="5"/>
    <n v="20"/>
    <n v="10"/>
    <n v="1"/>
    <n v="1E-3"/>
    <x v="633"/>
    <n v="34"/>
    <x v="949"/>
    <n v="25"/>
    <n v="0.73529411764705888"/>
    <n v="25.735294117647058"/>
    <n v="26.470588235294116"/>
    <n v="0.37748697299857886"/>
    <n v="6160.4461525935649"/>
    <s v="C"/>
  </r>
  <r>
    <x v="5"/>
    <s v="FERRAMENTAS"/>
    <s v="ESCADA TRADICIONAL INOX P/ PISCINA 5 DEGRAUS "/>
    <s v="VFA 04"/>
    <s v="CAIXA "/>
    <n v="250"/>
    <x v="294"/>
    <n v="200"/>
    <n v="60"/>
    <n v="10"/>
    <n v="33"/>
    <n v="0.12"/>
    <x v="502"/>
    <n v="2"/>
    <x v="950"/>
    <n v="20"/>
    <n v="0.1"/>
    <n v="1.3333333333333333"/>
    <n v="1.4333333333333333"/>
    <n v="0.37008526764566557"/>
    <n v="6160.8162378612105"/>
    <s v="C"/>
  </r>
  <r>
    <x v="5"/>
    <s v="MATERIAL HIDRÁULICO"/>
    <s v="CURVA"/>
    <s v="M19"/>
    <s v="CAIXA"/>
    <n v="99.9"/>
    <x v="272"/>
    <n v="110"/>
    <n v="90"/>
    <n v="100"/>
    <n v="4.84"/>
    <n v="0.99"/>
    <x v="568"/>
    <n v="5"/>
    <x v="951"/>
    <n v="20"/>
    <n v="0.25"/>
    <n v="3.333333333333333"/>
    <n v="3.583333333333333"/>
    <n v="0.36971518237801992"/>
    <n v="6161.1859530435886"/>
    <s v="C"/>
  </r>
  <r>
    <x v="5"/>
    <s v="MATERIAL HIDRÁULICO"/>
    <s v="ANEL"/>
    <s v="AA34"/>
    <s v="CAIXA"/>
    <n v="99"/>
    <x v="41"/>
    <n v="15"/>
    <n v="20"/>
    <n v="30"/>
    <n v="3.29"/>
    <n v="8.9999999999999993E-3"/>
    <x v="401"/>
    <n v="5"/>
    <x v="952"/>
    <n v="20"/>
    <n v="0.25"/>
    <n v="3.333333333333333"/>
    <n v="3.583333333333333"/>
    <n v="0.36638441496920893"/>
    <n v="6161.5523374585582"/>
    <s v="C"/>
  </r>
  <r>
    <x v="5"/>
    <s v="MATERIAL HIDRÁULICO"/>
    <s v="CANO PARA CAIXA DE DESCARGA"/>
    <s v="M84"/>
    <s v="CAIXA"/>
    <n v="98"/>
    <x v="258"/>
    <n v="80"/>
    <n v="100"/>
    <n v="4"/>
    <n v="10"/>
    <n v="3.2000000000000001E-2"/>
    <x v="423"/>
    <n v="5"/>
    <x v="953"/>
    <n v="20"/>
    <n v="0.25"/>
    <n v="3.333333333333333"/>
    <n v="3.583333333333333"/>
    <n v="0.36268356229275228"/>
    <n v="6161.9150210208509"/>
    <s v="C"/>
  </r>
  <r>
    <x v="5"/>
    <s v="MATERIAL HIDRÁULICO"/>
    <s v="CAIXA SINFONADA CROMADA"/>
    <s v="QUINTOPLO"/>
    <s v="CAIXA"/>
    <n v="96"/>
    <x v="267"/>
    <n v="18"/>
    <n v="15"/>
    <n v="50"/>
    <n v="4.8"/>
    <n v="1.35E-2"/>
    <x v="638"/>
    <n v="5"/>
    <x v="954"/>
    <n v="20"/>
    <n v="0.25"/>
    <n v="3.333333333333333"/>
    <n v="3.583333333333333"/>
    <n v="0.35528185693983894"/>
    <n v="6162.2703028777905"/>
    <s v="C"/>
  </r>
  <r>
    <x v="5"/>
    <s v="FERRAMENTAS"/>
    <s v="CAIXA DE FERRAMENTA PRO FRIBOX C/ 31 PEÇAS"/>
    <s v="SA2XA"/>
    <s v="CAIXA "/>
    <n v="239.6"/>
    <x v="178"/>
    <n v="28.5"/>
    <n v="36.5"/>
    <n v="59.5"/>
    <n v="10.164999999999999"/>
    <n v="6.1894875000000002E-2"/>
    <x v="639"/>
    <n v="2"/>
    <x v="955"/>
    <n v="20"/>
    <n v="0.1"/>
    <n v="1.3333333333333333"/>
    <n v="1.4333333333333333"/>
    <n v="0.35468972051160585"/>
    <n v="6162.624992598302"/>
    <s v="C"/>
  </r>
  <r>
    <x v="5"/>
    <s v="MATERIAL HIDRÁULICO"/>
    <s v="GRELHA"/>
    <s v="M62"/>
    <s v="CAIXA"/>
    <n v="95"/>
    <x v="212"/>
    <n v="50"/>
    <n v="50"/>
    <n v="20"/>
    <n v="8.6"/>
    <n v="0.05"/>
    <x v="104"/>
    <n v="5"/>
    <x v="956"/>
    <n v="20"/>
    <n v="0.25"/>
    <n v="3.333333333333333"/>
    <n v="3.583333333333333"/>
    <n v="0.35158100426338229"/>
    <n v="6162.9765736025656"/>
    <s v="C"/>
  </r>
  <r>
    <x v="5"/>
    <s v="PREGOS E PARAFUSOS"/>
    <s v="BUCHAS OCO"/>
    <s v="M32"/>
    <s v="SACO"/>
    <n v="13.9"/>
    <x v="273"/>
    <n v="5"/>
    <n v="20"/>
    <n v="10"/>
    <n v="1"/>
    <n v="1E-3"/>
    <x v="633"/>
    <n v="34"/>
    <x v="957"/>
    <n v="25"/>
    <n v="0.73529411764705888"/>
    <n v="25.735294117647058"/>
    <n v="26.470588235294116"/>
    <n v="0.3498045949786831"/>
    <n v="6163.3263781975447"/>
    <s v="C"/>
  </r>
  <r>
    <x v="5"/>
    <s v="MATERIAL ELÉTRICO"/>
    <s v="RESISTENCIA PRA CHUVEIRO"/>
    <s v="87100426"/>
    <s v="SACO"/>
    <n v="16.39"/>
    <x v="244"/>
    <n v="10"/>
    <n v="15"/>
    <n v="15"/>
    <n v="0.5"/>
    <n v="2.2499999999999998E-3"/>
    <x v="561"/>
    <n v="28"/>
    <x v="958"/>
    <n v="20"/>
    <n v="1.4"/>
    <n v="18.666666666666668"/>
    <n v="20.066666666666666"/>
    <n v="0.33967906205589771"/>
    <n v="6163.6660572596011"/>
    <s v="C"/>
  </r>
  <r>
    <x v="5"/>
    <s v="MATERIAL ELÉTRICO"/>
    <s v="DUCHA"/>
    <s v="CCV3"/>
    <s v="SACO"/>
    <n v="9.1300000000000008"/>
    <x v="261"/>
    <n v="10"/>
    <n v="15"/>
    <n v="10"/>
    <n v="2"/>
    <n v="1.5E-3"/>
    <x v="488"/>
    <n v="50"/>
    <x v="959"/>
    <n v="20"/>
    <n v="2.5"/>
    <n v="33.333333333333336"/>
    <n v="35.833333333333336"/>
    <n v="0.33788784936049271"/>
    <n v="6164.0039451089615"/>
    <s v="C"/>
  </r>
  <r>
    <x v="5"/>
    <s v="MATERIAL HIDRÁULICO"/>
    <s v="LUVA (CONEXÃO)"/>
    <s v=" 209624"/>
    <s v="CAIXA"/>
    <n v="89"/>
    <x v="212"/>
    <n v="100"/>
    <n v="100"/>
    <n v="100"/>
    <n v="3.6"/>
    <n v="1"/>
    <x v="76"/>
    <n v="5"/>
    <x v="960"/>
    <n v="20"/>
    <n v="0.25"/>
    <n v="3.333333333333333"/>
    <n v="3.583333333333333"/>
    <n v="0.32937588820464236"/>
    <n v="6164.3333209971661"/>
    <s v="C"/>
  </r>
  <r>
    <x v="5"/>
    <s v="FERRAMENTAS"/>
    <s v="ALICATE CRIMPADOR"/>
    <s v="H9BE"/>
    <s v="CAIXA "/>
    <n v="219.2"/>
    <x v="295"/>
    <n v="230"/>
    <n v="70"/>
    <n v="10"/>
    <n v="15"/>
    <n v="0.161"/>
    <x v="640"/>
    <n v="2"/>
    <x v="961"/>
    <n v="20"/>
    <n v="0.1"/>
    <n v="1.3333333333333333"/>
    <n v="1.4333333333333333"/>
    <n v="0.32449076267171956"/>
    <n v="6164.6578117598374"/>
    <s v="C"/>
  </r>
  <r>
    <x v="5"/>
    <s v="MATERIAL HIDRÁULICO"/>
    <s v="VALVULA PARA LAVATORIO"/>
    <s v="M69"/>
    <s v="CAIXA"/>
    <n v="87"/>
    <x v="296"/>
    <n v="27.5"/>
    <n v="18"/>
    <n v="7.5"/>
    <n v="4.59"/>
    <n v="3.7125000000000001E-3"/>
    <x v="641"/>
    <n v="5"/>
    <x v="962"/>
    <n v="20"/>
    <n v="0.25"/>
    <n v="3.333333333333333"/>
    <n v="3.583333333333333"/>
    <n v="0.32197418285172907"/>
    <n v="6164.979785942689"/>
    <s v="C"/>
  </r>
  <r>
    <x v="5"/>
    <s v="MATERIAL HIDRÁULICO"/>
    <s v="VEDA ROSCA"/>
    <s v="M26"/>
    <s v="CAIXA"/>
    <n v="87"/>
    <x v="212"/>
    <n v="10"/>
    <n v="15"/>
    <n v="25"/>
    <n v="0.6"/>
    <n v="3.7499999999999999E-3"/>
    <x v="597"/>
    <n v="5"/>
    <x v="962"/>
    <n v="20"/>
    <n v="0.25"/>
    <n v="3.333333333333333"/>
    <n v="3.583333333333333"/>
    <n v="0.32197418285172907"/>
    <n v="6165.3017601255406"/>
    <s v="C"/>
  </r>
  <r>
    <x v="5"/>
    <s v="FERRAMENTAS"/>
    <s v="SERROTE DOBRAVEL"/>
    <s v="L9L"/>
    <s v="CAIXA "/>
    <n v="215.6"/>
    <x v="178"/>
    <n v="350"/>
    <n v="350"/>
    <n v="150"/>
    <n v="80"/>
    <n v="18.375"/>
    <x v="614"/>
    <n v="2"/>
    <x v="963"/>
    <n v="20"/>
    <n v="0.1"/>
    <n v="1.3333333333333333"/>
    <n v="1.4333333333333333"/>
    <n v="0.31916153481762199"/>
    <n v="6165.6209216603584"/>
    <s v="C"/>
  </r>
  <r>
    <x v="5"/>
    <s v="FERRAMENTAS"/>
    <s v="SERROTE COSTA"/>
    <s v="Ç9KI"/>
    <s v="CAIXA "/>
    <n v="211.6"/>
    <x v="178"/>
    <n v="350"/>
    <n v="350"/>
    <n v="150"/>
    <n v="80"/>
    <n v="18.375"/>
    <x v="614"/>
    <n v="2"/>
    <x v="964"/>
    <n v="20"/>
    <n v="0.1"/>
    <n v="1.3333333333333333"/>
    <n v="1.4333333333333333"/>
    <n v="0.31324017053529135"/>
    <n v="6165.9341618308936"/>
    <s v="C"/>
  </r>
  <r>
    <x v="5"/>
    <s v="FERRAMENTAS"/>
    <s v="ESCADA TRADICIONAL INOX P/ PISCINA 4 DEGRAUS "/>
    <s v="VFA 03"/>
    <s v="CAIXA "/>
    <n v="210"/>
    <x v="294"/>
    <n v="175"/>
    <n v="60"/>
    <n v="10"/>
    <n v="29"/>
    <n v="0.105"/>
    <x v="419"/>
    <n v="2"/>
    <x v="965"/>
    <n v="20"/>
    <n v="0.1"/>
    <n v="1.3333333333333333"/>
    <n v="1.4333333333333333"/>
    <n v="0.31087162482235908"/>
    <n v="6166.2450334557161"/>
    <s v="C"/>
  </r>
  <r>
    <x v="5"/>
    <s v="FERRAMENTAS"/>
    <s v="SERROTE DE PODA RETO"/>
    <s v="L6661"/>
    <s v="CAIXA "/>
    <n v="205.2"/>
    <x v="195"/>
    <n v="350"/>
    <n v="350"/>
    <n v="150"/>
    <n v="80"/>
    <n v="18.375"/>
    <x v="614"/>
    <n v="2"/>
    <x v="966"/>
    <n v="20"/>
    <n v="0.1"/>
    <n v="1.3333333333333333"/>
    <n v="1.4333333333333333"/>
    <n v="0.30376598768356228"/>
    <n v="6166.5487994433997"/>
    <s v="C"/>
  </r>
  <r>
    <x v="5"/>
    <s v="FERRAMENTAS"/>
    <s v="OCULOS POLICABORNATO"/>
    <s v="2CAD"/>
    <s v="CAIXA"/>
    <n v="4.4000000000000004"/>
    <x v="195"/>
    <n v="16.5"/>
    <n v="12.5"/>
    <n v="8.5"/>
    <n v="0.155"/>
    <n v="1.7531249999999999E-3"/>
    <x v="642"/>
    <n v="90"/>
    <x v="967"/>
    <n v="20"/>
    <n v="4.5"/>
    <n v="60"/>
    <n v="64.5"/>
    <n v="0.29310753197536715"/>
    <n v="6166.8419069753754"/>
    <s v="C"/>
  </r>
  <r>
    <x v="5"/>
    <s v="MATERIAL HIDRÁULICO"/>
    <s v="LUVA (CONEXÃO)"/>
    <s v=" 209622"/>
    <s v="CAIXA"/>
    <n v="99"/>
    <x v="212"/>
    <n v="100"/>
    <n v="100"/>
    <n v="100"/>
    <n v="6.04"/>
    <n v="1"/>
    <x v="643"/>
    <n v="4"/>
    <x v="968"/>
    <n v="20"/>
    <n v="0.2"/>
    <n v="2.6666666666666665"/>
    <n v="2.8666666666666667"/>
    <n v="0.29310753197536715"/>
    <n v="6167.1350145073511"/>
    <s v="C"/>
  </r>
  <r>
    <x v="5"/>
    <s v="MATERIAL HIDRÁULICO"/>
    <s v="REDUÇÃO"/>
    <s v="30074"/>
    <s v="CAIXA"/>
    <n v="79"/>
    <x v="212"/>
    <n v="100"/>
    <n v="100"/>
    <n v="100"/>
    <n v="75"/>
    <n v="1"/>
    <x v="76"/>
    <n v="5"/>
    <x v="969"/>
    <n v="20"/>
    <n v="0.25"/>
    <n v="3.333333333333333"/>
    <n v="3.583333333333333"/>
    <n v="0.2923673614400758"/>
    <n v="6167.4273818687916"/>
    <s v="C"/>
  </r>
  <r>
    <x v="5"/>
    <s v="MATERIAL HIDRÁULICO"/>
    <s v="REDUÇÃO"/>
    <s v="30076"/>
    <s v="CAIXA"/>
    <n v="79"/>
    <x v="212"/>
    <n v="100"/>
    <n v="100"/>
    <n v="100"/>
    <n v="70"/>
    <n v="1"/>
    <x v="76"/>
    <n v="5"/>
    <x v="969"/>
    <n v="20"/>
    <n v="0.25"/>
    <n v="3.333333333333333"/>
    <n v="3.583333333333333"/>
    <n v="0.2923673614400758"/>
    <n v="6167.7197492302321"/>
    <s v="C"/>
  </r>
  <r>
    <x v="5"/>
    <s v="MATERIAL HIDRÁULICO"/>
    <s v="SIFÃO"/>
    <s v="M8"/>
    <s v="CAIXA"/>
    <n v="79"/>
    <x v="256"/>
    <n v="100"/>
    <n v="100"/>
    <n v="100"/>
    <n v="1.8"/>
    <n v="1"/>
    <x v="76"/>
    <n v="5"/>
    <x v="969"/>
    <n v="20"/>
    <n v="0.25"/>
    <n v="3.333333333333333"/>
    <n v="3.583333333333333"/>
    <n v="0.2923673614400758"/>
    <n v="6168.0121165916726"/>
    <s v="C"/>
  </r>
  <r>
    <x v="5"/>
    <s v="MATERIAL ELÉTRICO"/>
    <s v="FIO DE COBRE"/>
    <s v="A-02"/>
    <s v="ROLO"/>
    <n v="10.99"/>
    <x v="220"/>
    <n v="15"/>
    <n v="300"/>
    <n v="0.5"/>
    <n v="2.2499999999999998E-3"/>
    <n v="2.2499999999999998E-3"/>
    <x v="644"/>
    <n v="35"/>
    <x v="970"/>
    <n v="20"/>
    <n v="1.75"/>
    <n v="23.333333333333336"/>
    <n v="25.083333333333336"/>
    <n v="0.28470659639981055"/>
    <n v="6168.2968231880723"/>
    <s v="C"/>
  </r>
  <r>
    <x v="5"/>
    <s v="FERRAMENTAS"/>
    <s v="COLHER"/>
    <s v="11354"/>
    <s v="CAIXA "/>
    <n v="188.4"/>
    <x v="286"/>
    <n v="30"/>
    <n v="35"/>
    <n v="15"/>
    <n v="3.4"/>
    <n v="1.575E-2"/>
    <x v="542"/>
    <n v="2"/>
    <x v="971"/>
    <n v="20"/>
    <n v="0.1"/>
    <n v="1.3333333333333333"/>
    <n v="1.4333333333333333"/>
    <n v="0.2788962576977736"/>
    <n v="6168.5757194457701"/>
    <s v="C"/>
  </r>
  <r>
    <x v="5"/>
    <s v="FERRAMENTAS"/>
    <s v="CHAVE GRIFO "/>
    <s v="DS1D5W"/>
    <s v="CAIXA "/>
    <n v="188"/>
    <x v="297"/>
    <n v="370"/>
    <n v="360"/>
    <n v="190"/>
    <n v="58"/>
    <n v="25.308"/>
    <x v="645"/>
    <n v="2"/>
    <x v="972"/>
    <n v="20"/>
    <n v="0.1"/>
    <n v="1.3333333333333333"/>
    <n v="1.4333333333333333"/>
    <n v="0.27830412126954052"/>
    <n v="6168.8540235670398"/>
    <s v="C"/>
  </r>
  <r>
    <x v="5"/>
    <s v="MATERIAL HIDRÁULICO"/>
    <s v="ANEL"/>
    <s v="AA35"/>
    <s v="CAIXA"/>
    <n v="75"/>
    <x v="41"/>
    <n v="15"/>
    <n v="20"/>
    <n v="30"/>
    <n v="1.4"/>
    <n v="8.9999999999999993E-3"/>
    <x v="401"/>
    <n v="5"/>
    <x v="973"/>
    <n v="20"/>
    <n v="0.25"/>
    <n v="3.333333333333333"/>
    <n v="3.583333333333333"/>
    <n v="0.27756395073424917"/>
    <n v="6169.1315875177743"/>
    <s v="C"/>
  </r>
  <r>
    <x v="5"/>
    <s v="FERRAMENTAS"/>
    <s v="NÍVEL"/>
    <s v="43120012"/>
    <s v="CAIXA "/>
    <n v="183.6"/>
    <x v="178"/>
    <n v="20"/>
    <n v="35"/>
    <n v="12"/>
    <n v="16"/>
    <n v="8.3999999999999995E-3"/>
    <x v="646"/>
    <n v="2"/>
    <x v="974"/>
    <n v="20"/>
    <n v="0.1"/>
    <n v="1.3333333333333333"/>
    <n v="1.4333333333333333"/>
    <n v="0.27179062055897679"/>
    <n v="6169.4033781383332"/>
    <s v="C"/>
  </r>
  <r>
    <x v="5"/>
    <s v="FERRAMENTAS"/>
    <s v="ESCADA TRADICIONAL INOX P/ PISCINA 3 DEGRAUS"/>
    <s v="VFA 02"/>
    <s v="CAIXA "/>
    <n v="180.9"/>
    <x v="294"/>
    <n v="150"/>
    <n v="60"/>
    <n v="10"/>
    <n v="22"/>
    <n v="0.09"/>
    <x v="431"/>
    <n v="2"/>
    <x v="975"/>
    <n v="20"/>
    <n v="0.1"/>
    <n v="1.3333333333333333"/>
    <n v="1.4333333333333333"/>
    <n v="0.26779369966840361"/>
    <n v="6169.671171838002"/>
    <s v="C"/>
  </r>
  <r>
    <x v="5"/>
    <s v="MATERIAL ELÉTRICO"/>
    <s v="PLACA 4X4 4 POSTOS SEPARADOS COM SUPORTE BRANCO S30 -  SIMON"/>
    <s v="I-04"/>
    <s v="CAIXA"/>
    <n v="10"/>
    <x v="276"/>
    <n v="18"/>
    <n v="24"/>
    <n v="15"/>
    <n v="6.4799999999999996E-3"/>
    <n v="6.4799999999999996E-3"/>
    <x v="634"/>
    <n v="36"/>
    <x v="976"/>
    <n v="20"/>
    <n v="1.8"/>
    <n v="24"/>
    <n v="25.8"/>
    <n v="0.26646139270487923"/>
    <n v="6169.9376332307065"/>
    <s v="C"/>
  </r>
  <r>
    <x v="5"/>
    <s v="FERRAMENTAS"/>
    <s v="COLHER"/>
    <s v="77351065"/>
    <s v="CAIXA "/>
    <n v="177.6"/>
    <x v="178"/>
    <n v="30"/>
    <n v="35"/>
    <n v="15"/>
    <n v="5.8"/>
    <n v="1.575E-2"/>
    <x v="542"/>
    <n v="2"/>
    <x v="977"/>
    <n v="20"/>
    <n v="0.1"/>
    <n v="1.3333333333333333"/>
    <n v="1.4333333333333333"/>
    <n v="0.2629085741354808"/>
    <n v="6170.200541804842"/>
    <s v="C"/>
  </r>
  <r>
    <x v="5"/>
    <s v="MATERIAL HIDRÁULICO"/>
    <s v="VALVULA PARA LAVATORIO"/>
    <s v="M67"/>
    <s v="CAIXA"/>
    <n v="87"/>
    <x v="261"/>
    <n v="38"/>
    <n v="21"/>
    <n v="5.28"/>
    <n v="4.8899999999999997"/>
    <n v="4.2134400000000006E-3"/>
    <x v="630"/>
    <n v="4"/>
    <x v="978"/>
    <n v="20"/>
    <n v="0.2"/>
    <n v="2.6666666666666665"/>
    <n v="2.8666666666666667"/>
    <n v="0.25757934628138324"/>
    <n v="6170.4581211511231"/>
    <s v="C"/>
  </r>
  <r>
    <x v="5"/>
    <s v="MATERIAL HIDRÁULICO"/>
    <s v="CURVA"/>
    <s v="4100116"/>
    <s v="CAIXA"/>
    <n v="69"/>
    <x v="212"/>
    <n v="100"/>
    <n v="100"/>
    <n v="100"/>
    <n v="4.84"/>
    <n v="1"/>
    <x v="76"/>
    <n v="5"/>
    <x v="979"/>
    <n v="20"/>
    <n v="0.25"/>
    <n v="3.333333333333333"/>
    <n v="3.583333333333333"/>
    <n v="0.25535883467550924"/>
    <n v="6170.7134799857986"/>
    <s v="C"/>
  </r>
  <r>
    <x v="5"/>
    <s v="MATERIAL HIDRÁULICO"/>
    <s v="TE"/>
    <s v="5108031"/>
    <s v="CAIXA"/>
    <n v="69"/>
    <x v="212"/>
    <n v="100"/>
    <n v="100"/>
    <n v="100"/>
    <n v="4.16"/>
    <n v="1"/>
    <x v="76"/>
    <n v="5"/>
    <x v="979"/>
    <n v="20"/>
    <n v="0.25"/>
    <n v="3.333333333333333"/>
    <n v="3.583333333333333"/>
    <n v="0.25535883467550924"/>
    <n v="6170.968838820474"/>
    <s v="C"/>
  </r>
  <r>
    <x v="5"/>
    <s v="MATERIAL HIDRÁULICO"/>
    <s v="TE"/>
    <s v="TT444"/>
    <s v="CAIXA"/>
    <n v="69"/>
    <x v="272"/>
    <n v="110"/>
    <n v="90"/>
    <n v="100"/>
    <n v="1.8"/>
    <n v="0.99"/>
    <x v="568"/>
    <n v="5"/>
    <x v="979"/>
    <n v="20"/>
    <n v="0.25"/>
    <n v="3.333333333333333"/>
    <n v="3.583333333333333"/>
    <n v="0.25535883467550924"/>
    <n v="6171.2241976551495"/>
    <s v="C"/>
  </r>
  <r>
    <x v="5"/>
    <s v="MATERIAL HIDRÁULICO"/>
    <s v="NÍPEL"/>
    <s v="572219"/>
    <s v="CAIXA"/>
    <n v="68"/>
    <x v="212"/>
    <n v="100"/>
    <n v="100"/>
    <n v="100"/>
    <n v="0.9"/>
    <n v="1"/>
    <x v="76"/>
    <n v="5"/>
    <x v="980"/>
    <n v="20"/>
    <n v="0.25"/>
    <n v="3.333333333333333"/>
    <n v="3.583333333333333"/>
    <n v="0.25165798199905259"/>
    <n v="6171.4758556371489"/>
    <s v="C"/>
  </r>
  <r>
    <x v="5"/>
    <s v="PREGOS E PARAFUSOS"/>
    <s v="PREGOS COM CABEÇA"/>
    <s v="M19"/>
    <s v="SACO"/>
    <n v="10"/>
    <x v="226"/>
    <n v="5"/>
    <n v="20"/>
    <n v="10"/>
    <n v="1"/>
    <n v="1E-3"/>
    <x v="633"/>
    <n v="34"/>
    <x v="980"/>
    <n v="25"/>
    <n v="0.73529411764705888"/>
    <n v="25.735294117647058"/>
    <n v="26.470588235294116"/>
    <n v="0.25165798199905259"/>
    <n v="6171.7275136191483"/>
    <s v="C"/>
  </r>
  <r>
    <x v="5"/>
    <s v="PREGOS E PARAFUSOS"/>
    <s v="BUCHAS OCO"/>
    <s v="M26"/>
    <s v="SACO"/>
    <n v="10"/>
    <x v="273"/>
    <n v="5"/>
    <n v="20"/>
    <n v="10"/>
    <n v="1"/>
    <n v="1E-3"/>
    <x v="633"/>
    <n v="34"/>
    <x v="980"/>
    <n v="25"/>
    <n v="0.73529411764705888"/>
    <n v="25.735294117647058"/>
    <n v="26.470588235294116"/>
    <n v="0.25165798199905259"/>
    <n v="6171.9791716011478"/>
    <s v="C"/>
  </r>
  <r>
    <x v="5"/>
    <s v="PREGOS E PARAFUSOS"/>
    <s v="BUCHAS KT"/>
    <s v="M29"/>
    <s v="SACO"/>
    <n v="10"/>
    <x v="273"/>
    <n v="5"/>
    <n v="20"/>
    <n v="10"/>
    <n v="1"/>
    <n v="1E-3"/>
    <x v="633"/>
    <n v="34"/>
    <x v="980"/>
    <n v="25"/>
    <n v="0.73529411764705888"/>
    <n v="25.735294117647058"/>
    <n v="26.470588235294116"/>
    <n v="0.25165798199905259"/>
    <n v="6172.2308295831472"/>
    <s v="C"/>
  </r>
  <r>
    <x v="5"/>
    <s v="PREGOS E PARAFUSOS"/>
    <s v="BUCHAS BUR"/>
    <s v="M33"/>
    <s v="SACO"/>
    <n v="10"/>
    <x v="273"/>
    <n v="5"/>
    <n v="20"/>
    <n v="10"/>
    <n v="1"/>
    <n v="1E-3"/>
    <x v="633"/>
    <n v="34"/>
    <x v="980"/>
    <n v="25"/>
    <n v="0.73529411764705888"/>
    <n v="25.735294117647058"/>
    <n v="26.470588235294116"/>
    <n v="0.25165798199905259"/>
    <n v="6172.4824875651466"/>
    <s v="C"/>
  </r>
  <r>
    <x v="5"/>
    <s v="PREGOS E PARAFUSOS"/>
    <s v="BUCHAS ''A''"/>
    <s v="M30"/>
    <s v="SACO"/>
    <n v="9.99"/>
    <x v="273"/>
    <n v="5"/>
    <n v="20"/>
    <n v="10"/>
    <n v="1"/>
    <n v="1E-3"/>
    <x v="633"/>
    <n v="34"/>
    <x v="981"/>
    <n v="25"/>
    <n v="0.73529411764705888"/>
    <n v="25.735294117647058"/>
    <n v="26.470588235294116"/>
    <n v="0.25140632401705354"/>
    <n v="6172.7338938891635"/>
    <s v="C"/>
  </r>
  <r>
    <x v="5"/>
    <s v="MATERIAL ELÉTRICO"/>
    <s v="RESISTENCIA PRA CHUVEIRO"/>
    <s v="86586941"/>
    <s v="SACO"/>
    <n v="13.9"/>
    <x v="222"/>
    <n v="10"/>
    <n v="15"/>
    <n v="15"/>
    <n v="0.5"/>
    <n v="2.2499999999999998E-3"/>
    <x v="632"/>
    <n v="24"/>
    <x v="982"/>
    <n v="20"/>
    <n v="1.2"/>
    <n v="16"/>
    <n v="17.2"/>
    <n v="0.24692089057318808"/>
    <n v="6172.9808147797366"/>
    <s v="C"/>
  </r>
  <r>
    <x v="5"/>
    <s v="MATERIAL ELÉTRICO"/>
    <s v="RESISTENCIA PRA CHUVEIRO"/>
    <s v="87432723"/>
    <s v="SACO"/>
    <n v="11.9"/>
    <x v="216"/>
    <n v="10"/>
    <n v="15"/>
    <n v="15"/>
    <n v="0.5"/>
    <n v="2.2499999999999998E-3"/>
    <x v="561"/>
    <n v="28"/>
    <x v="983"/>
    <n v="20"/>
    <n v="1.4"/>
    <n v="18.666666666666668"/>
    <n v="20.066666666666666"/>
    <n v="0.24662482235907152"/>
    <n v="6173.2274396020957"/>
    <s v="C"/>
  </r>
  <r>
    <x v="5"/>
    <s v="MATERIAL HIDRÁULICO"/>
    <s v="ADAPTADOS"/>
    <s v="5140116"/>
    <s v="CAIXA"/>
    <n v="65"/>
    <x v="212"/>
    <n v="100"/>
    <n v="100"/>
    <n v="100"/>
    <n v="1.88"/>
    <n v="1"/>
    <x v="76"/>
    <n v="5"/>
    <x v="984"/>
    <n v="20"/>
    <n v="0.25"/>
    <n v="3.333333333333333"/>
    <n v="3.583333333333333"/>
    <n v="0.24055542396968263"/>
    <n v="6173.4679950260652"/>
    <s v="C"/>
  </r>
  <r>
    <x v="5"/>
    <s v="FERRAMENTAS"/>
    <s v="SERROTE PROFICIONAL 12''"/>
    <s v="L21KL"/>
    <s v="CAIXA "/>
    <n v="159.6"/>
    <x v="178"/>
    <n v="350"/>
    <n v="350"/>
    <n v="150"/>
    <n v="80"/>
    <n v="18.375"/>
    <x v="614"/>
    <n v="2"/>
    <x v="985"/>
    <n v="20"/>
    <n v="0.1"/>
    <n v="1.3333333333333333"/>
    <n v="1.4333333333333333"/>
    <n v="0.2362624348649929"/>
    <n v="6173.7042574609304"/>
    <s v="C"/>
  </r>
  <r>
    <x v="5"/>
    <s v="FERRAMENTAS"/>
    <s v="COLHER"/>
    <s v="11049"/>
    <s v="CAIXA "/>
    <n v="156"/>
    <x v="286"/>
    <n v="30"/>
    <n v="35"/>
    <n v="15"/>
    <n v="3.2"/>
    <n v="1.575E-2"/>
    <x v="542"/>
    <n v="2"/>
    <x v="986"/>
    <n v="20"/>
    <n v="0.1"/>
    <n v="1.3333333333333333"/>
    <n v="1.4333333333333333"/>
    <n v="0.23093320701089531"/>
    <n v="6173.9351906679412"/>
    <s v="C"/>
  </r>
  <r>
    <x v="5"/>
    <s v="FERRAMENTAS"/>
    <s v="CHAVE DE FENDA EMBORRACHADA"/>
    <s v="D1SD1"/>
    <s v="CAIXA "/>
    <n v="156"/>
    <x v="298"/>
    <n v="810"/>
    <n v="900"/>
    <n v="350"/>
    <n v="255.3"/>
    <n v="255.15"/>
    <x v="647"/>
    <n v="2"/>
    <x v="986"/>
    <n v="20"/>
    <n v="0.1"/>
    <n v="1.3333333333333333"/>
    <n v="1.4333333333333333"/>
    <n v="0.23093320701089531"/>
    <n v="6174.1661238749521"/>
    <s v="C"/>
  </r>
  <r>
    <x v="5"/>
    <s v="FERRAMENTAS"/>
    <s v="CHAVE GRIFO"/>
    <s v="F1D2"/>
    <s v="CAIXA "/>
    <n v="156"/>
    <x v="178"/>
    <n v="300"/>
    <n v="320"/>
    <n v="200"/>
    <n v="24"/>
    <n v="19.2"/>
    <x v="648"/>
    <n v="2"/>
    <x v="986"/>
    <n v="20"/>
    <n v="0.1"/>
    <n v="1.3333333333333333"/>
    <n v="1.4333333333333333"/>
    <n v="0.23093320701089531"/>
    <n v="6174.3970570819629"/>
    <s v="C"/>
  </r>
  <r>
    <x v="5"/>
    <s v="FERRAMENTAS"/>
    <s v="NÍVEL"/>
    <s v="43100012"/>
    <s v="CAIXA "/>
    <n v="154.80000000000001"/>
    <x v="178"/>
    <n v="20"/>
    <n v="35"/>
    <n v="12"/>
    <n v="16"/>
    <n v="8.3999999999999995E-3"/>
    <x v="646"/>
    <n v="2"/>
    <x v="987"/>
    <n v="20"/>
    <n v="0.1"/>
    <n v="1.3333333333333333"/>
    <n v="1.4333333333333333"/>
    <n v="0.22915679772619613"/>
    <n v="6174.6262138796892"/>
    <s v="C"/>
  </r>
  <r>
    <x v="5"/>
    <s v="FERRAMENTAS"/>
    <s v="DESEMPENADEIRA TERMO PLÁSTICO "/>
    <s v="8685"/>
    <s v="CAIXA "/>
    <n v="6.1"/>
    <x v="18"/>
    <n v="2.1"/>
    <n v="16"/>
    <n v="8"/>
    <n v="2"/>
    <n v="2.6880000000000003E-4"/>
    <x v="649"/>
    <n v="50"/>
    <x v="988"/>
    <n v="20"/>
    <n v="2.5"/>
    <n v="33.333333333333336"/>
    <n v="35.833333333333336"/>
    <n v="0.22575201326385599"/>
    <n v="6174.8519658929526"/>
    <s v="C"/>
  </r>
  <r>
    <x v="5"/>
    <s v="FERRAMENTAS"/>
    <s v="ESCADA TRADICIONAL INOX P/ PISCINA 2 DEGAUS "/>
    <s v="VFA 01"/>
    <s v="CAIXA "/>
    <n v="150"/>
    <x v="294"/>
    <n v="125"/>
    <n v="60"/>
    <n v="10"/>
    <n v="20"/>
    <n v="7.4999999999999997E-2"/>
    <x v="77"/>
    <n v="2"/>
    <x v="989"/>
    <n v="20"/>
    <n v="0.1"/>
    <n v="1.3333333333333333"/>
    <n v="1.4333333333333333"/>
    <n v="0.22205116058739935"/>
    <n v="6175.07401705354"/>
    <s v="C"/>
  </r>
  <r>
    <x v="5"/>
    <s v="MATERIAL HIDRÁULICO"/>
    <s v="REDUÇÃO"/>
    <s v="30075"/>
    <s v="CAIXA"/>
    <n v="59.9"/>
    <x v="212"/>
    <n v="100"/>
    <n v="100"/>
    <n v="100"/>
    <n v="63"/>
    <n v="1"/>
    <x v="76"/>
    <n v="5"/>
    <x v="990"/>
    <n v="20"/>
    <n v="0.25"/>
    <n v="3.333333333333333"/>
    <n v="3.583333333333333"/>
    <n v="0.22168107531975367"/>
    <n v="6175.2956981288598"/>
    <s v="C"/>
  </r>
  <r>
    <x v="5"/>
    <s v="MATERIAL HIDRÁULICO"/>
    <s v="JUNÇÃO SIMPLES ESGOTO"/>
    <s v="DUPLO"/>
    <s v="CAIXA"/>
    <n v="59.9"/>
    <x v="212"/>
    <n v="20"/>
    <n v="30"/>
    <n v="5"/>
    <n v="35.950000000000003"/>
    <n v="3.0000000000000001E-3"/>
    <x v="534"/>
    <n v="5"/>
    <x v="990"/>
    <n v="20"/>
    <n v="0.25"/>
    <n v="3.333333333333333"/>
    <n v="3.583333333333333"/>
    <n v="0.22168107531975367"/>
    <n v="6175.5173792041796"/>
    <s v="C"/>
  </r>
  <r>
    <x v="5"/>
    <s v="MATERIAL HIDRÁULICO"/>
    <s v="VALVULA PARA LAVATORIO"/>
    <s v="M70"/>
    <s v="CAIXA"/>
    <n v="59.7"/>
    <x v="296"/>
    <n v="27.5"/>
    <n v="18"/>
    <n v="7.5"/>
    <n v="4.59"/>
    <n v="3.7125000000000001E-3"/>
    <x v="641"/>
    <n v="5"/>
    <x v="991"/>
    <n v="20"/>
    <n v="0.25"/>
    <n v="3.333333333333333"/>
    <n v="3.583333333333333"/>
    <n v="0.22094090478446235"/>
    <n v="6175.7383201089642"/>
    <s v="C"/>
  </r>
  <r>
    <x v="5"/>
    <s v="FERRAMENTAS"/>
    <s v="COLHER"/>
    <s v="11678"/>
    <s v="CAIXA "/>
    <n v="147.6"/>
    <x v="286"/>
    <n v="30"/>
    <n v="35"/>
    <n v="15"/>
    <n v="3.1"/>
    <n v="1.575E-2"/>
    <x v="542"/>
    <n v="2"/>
    <x v="992"/>
    <n v="20"/>
    <n v="0.1"/>
    <n v="1.3333333333333333"/>
    <n v="1.4333333333333333"/>
    <n v="0.21849834201800095"/>
    <n v="6175.9568184509826"/>
    <s v="C"/>
  </r>
  <r>
    <x v="5"/>
    <s v="MATERIAL HIDRÁULICO"/>
    <s v="PROLONGADOR"/>
    <s v="PRE52"/>
    <s v="CAIXA"/>
    <n v="59"/>
    <x v="272"/>
    <n v="110"/>
    <n v="90"/>
    <n v="100"/>
    <n v="46.22"/>
    <n v="0.99"/>
    <x v="568"/>
    <n v="5"/>
    <x v="993"/>
    <n v="20"/>
    <n v="0.25"/>
    <n v="3.333333333333333"/>
    <n v="3.583333333333333"/>
    <n v="0.21835030791094268"/>
    <n v="6176.175168758894"/>
    <s v="C"/>
  </r>
  <r>
    <x v="5"/>
    <s v="MATERIAL HIDRÁULICO"/>
    <s v="PROLONGADOR"/>
    <s v="29980"/>
    <s v="CAIXA"/>
    <n v="59"/>
    <x v="212"/>
    <n v="100"/>
    <n v="100"/>
    <n v="100"/>
    <n v="20.97"/>
    <n v="1"/>
    <x v="76"/>
    <n v="5"/>
    <x v="993"/>
    <n v="20"/>
    <n v="0.25"/>
    <n v="3.333333333333333"/>
    <n v="3.583333333333333"/>
    <n v="0.21835030791094268"/>
    <n v="6176.3935190668053"/>
    <s v="C"/>
  </r>
  <r>
    <x v="5"/>
    <s v="MATERIAL HIDRÁULICO"/>
    <s v="JOELHO"/>
    <s v="5100116"/>
    <s v="CAIXA"/>
    <n v="59"/>
    <x v="212"/>
    <n v="100"/>
    <n v="100"/>
    <n v="100"/>
    <n v="9"/>
    <n v="1"/>
    <x v="76"/>
    <n v="5"/>
    <x v="993"/>
    <n v="20"/>
    <n v="0.25"/>
    <n v="3.333333333333333"/>
    <n v="3.583333333333333"/>
    <n v="0.21835030791094268"/>
    <n v="6176.6118693747167"/>
    <s v="C"/>
  </r>
  <r>
    <x v="5"/>
    <s v="MATERIAL HIDRÁULICO"/>
    <s v="CURVA"/>
    <s v="4100114"/>
    <s v="CAIXA"/>
    <n v="59"/>
    <x v="212"/>
    <n v="100"/>
    <n v="100"/>
    <n v="100"/>
    <n v="4.84"/>
    <n v="1"/>
    <x v="76"/>
    <n v="5"/>
    <x v="993"/>
    <n v="20"/>
    <n v="0.25"/>
    <n v="3.333333333333333"/>
    <n v="3.583333333333333"/>
    <n v="0.21835030791094268"/>
    <n v="6176.830219682628"/>
    <s v="C"/>
  </r>
  <r>
    <x v="5"/>
    <s v="MATERIAL HIDRÁULICO"/>
    <s v="JOELHO"/>
    <s v="5100111"/>
    <s v="CAIXA"/>
    <n v="59"/>
    <x v="272"/>
    <n v="110"/>
    <n v="90"/>
    <n v="100"/>
    <n v="4.58"/>
    <n v="0.99"/>
    <x v="568"/>
    <n v="5"/>
    <x v="993"/>
    <n v="20"/>
    <n v="0.25"/>
    <n v="3.333333333333333"/>
    <n v="3.583333333333333"/>
    <n v="0.21835030791094268"/>
    <n v="6177.0485699905394"/>
    <s v="C"/>
  </r>
  <r>
    <x v="5"/>
    <s v="MATERIAL HIDRÁULICO"/>
    <s v="TE"/>
    <s v="5108029"/>
    <s v="CAIXA"/>
    <n v="59"/>
    <x v="212"/>
    <n v="100"/>
    <n v="100"/>
    <n v="100"/>
    <n v="2.82"/>
    <n v="1"/>
    <x v="76"/>
    <n v="5"/>
    <x v="993"/>
    <n v="20"/>
    <n v="0.25"/>
    <n v="3.333333333333333"/>
    <n v="3.583333333333333"/>
    <n v="0.21835030791094268"/>
    <n v="6177.2669202984507"/>
    <s v="C"/>
  </r>
  <r>
    <x v="5"/>
    <s v="MATERIAL HIDRÁULICO"/>
    <s v="NÍPEL"/>
    <s v="572220"/>
    <s v="CAIXA"/>
    <n v="59"/>
    <x v="212"/>
    <n v="100"/>
    <n v="100"/>
    <n v="100"/>
    <n v="1.2"/>
    <n v="1"/>
    <x v="76"/>
    <n v="5"/>
    <x v="993"/>
    <n v="20"/>
    <n v="0.25"/>
    <n v="3.333333333333333"/>
    <n v="3.583333333333333"/>
    <n v="0.21835030791094268"/>
    <n v="6177.4852706063621"/>
    <s v="C"/>
  </r>
  <r>
    <x v="5"/>
    <s v="MATERIAL HIDRÁULICO"/>
    <s v="SIFÃO"/>
    <s v="M2"/>
    <s v="CAIXA"/>
    <n v="59"/>
    <x v="283"/>
    <n v="100"/>
    <n v="100"/>
    <n v="100"/>
    <n v="0.7"/>
    <n v="1"/>
    <x v="76"/>
    <n v="5"/>
    <x v="993"/>
    <n v="20"/>
    <n v="0.25"/>
    <n v="3.333333333333333"/>
    <n v="3.583333333333333"/>
    <n v="0.21835030791094268"/>
    <n v="6177.7036209142734"/>
    <s v="C"/>
  </r>
  <r>
    <x v="5"/>
    <s v="FERRAMENTAS"/>
    <s v="COLHER"/>
    <s v="77348075"/>
    <s v="CAIXA "/>
    <n v="144"/>
    <x v="178"/>
    <n v="30"/>
    <n v="35"/>
    <n v="15"/>
    <n v="3.5"/>
    <n v="1.575E-2"/>
    <x v="542"/>
    <n v="2"/>
    <x v="994"/>
    <n v="20"/>
    <n v="0.1"/>
    <n v="1.3333333333333333"/>
    <n v="1.4333333333333333"/>
    <n v="0.21316911416390336"/>
    <n v="6177.9167900284374"/>
    <s v="C"/>
  </r>
  <r>
    <x v="5"/>
    <s v="MATERIAL HIDRÁULICO"/>
    <s v="VEDA ROSCA"/>
    <s v="M28"/>
    <s v="CAIXA"/>
    <n v="57"/>
    <x v="299"/>
    <n v="15"/>
    <n v="20"/>
    <n v="30"/>
    <n v="0.3"/>
    <n v="8.9999999999999993E-3"/>
    <x v="401"/>
    <n v="5"/>
    <x v="995"/>
    <n v="20"/>
    <n v="0.25"/>
    <n v="3.333333333333333"/>
    <n v="3.583333333333333"/>
    <n v="0.21094860255802939"/>
    <n v="6178.1277386309957"/>
    <s v="C"/>
  </r>
  <r>
    <x v="5"/>
    <s v="FERRAMENTAS"/>
    <s v="NÍVEL"/>
    <s v="43105012"/>
    <s v="CAIXA "/>
    <n v="140.4"/>
    <x v="178"/>
    <n v="20"/>
    <n v="35"/>
    <n v="12"/>
    <n v="16"/>
    <n v="8.3999999999999995E-3"/>
    <x v="646"/>
    <n v="2"/>
    <x v="996"/>
    <n v="20"/>
    <n v="0.1"/>
    <n v="1.3333333333333333"/>
    <n v="1.4333333333333333"/>
    <n v="0.20783988630980579"/>
    <n v="6178.3355785173053"/>
    <s v="C"/>
  </r>
  <r>
    <x v="5"/>
    <s v="MATERIAL HIDRÁULICO"/>
    <s v="PROLONGADOR"/>
    <s v="29983"/>
    <s v="CAIXA"/>
    <n v="55"/>
    <x v="212"/>
    <n v="100"/>
    <n v="100"/>
    <n v="100"/>
    <n v="47.52"/>
    <n v="1"/>
    <x v="76"/>
    <n v="5"/>
    <x v="997"/>
    <n v="20"/>
    <n v="0.25"/>
    <n v="3.333333333333333"/>
    <n v="3.583333333333333"/>
    <n v="0.20354689720511607"/>
    <n v="6178.5391254145106"/>
    <s v="C"/>
  </r>
  <r>
    <x v="5"/>
    <s v="FERRAMENTAS"/>
    <s v="CHAVE AJUSTAVEL"/>
    <s v="F32D"/>
    <s v="CAIXA "/>
    <n v="136"/>
    <x v="178"/>
    <n v="290"/>
    <n v="300"/>
    <n v="180"/>
    <n v="15"/>
    <n v="15.66"/>
    <x v="650"/>
    <n v="2"/>
    <x v="998"/>
    <n v="20"/>
    <n v="0.1"/>
    <n v="1.3333333333333333"/>
    <n v="1.4333333333333333"/>
    <n v="0.20132638559924207"/>
    <n v="6178.7404518001094"/>
    <s v="C"/>
  </r>
  <r>
    <x v="5"/>
    <s v="FERRAMENTAS"/>
    <s v="ALICATE CORTA CABOS"/>
    <s v="TE5E"/>
    <s v="CAIXA "/>
    <n v="132"/>
    <x v="235"/>
    <n v="800"/>
    <n v="980"/>
    <n v="680"/>
    <n v="85"/>
    <n v="533.12"/>
    <x v="651"/>
    <n v="2"/>
    <x v="999"/>
    <n v="20"/>
    <n v="0.1"/>
    <n v="1.3333333333333333"/>
    <n v="1.4333333333333333"/>
    <n v="0.19540502131691143"/>
    <n v="6178.9358568214266"/>
    <s v="C"/>
  </r>
  <r>
    <x v="5"/>
    <s v="FERRAMENTAS"/>
    <s v="NÍVEL"/>
    <s v="43110012"/>
    <s v="CAIXA "/>
    <n v="130.80000000000001"/>
    <x v="178"/>
    <n v="20"/>
    <n v="35"/>
    <n v="12"/>
    <n v="18"/>
    <n v="8.3999999999999995E-3"/>
    <x v="646"/>
    <n v="2"/>
    <x v="1000"/>
    <n v="20"/>
    <n v="0.1"/>
    <n v="1.3333333333333333"/>
    <n v="1.4333333333333333"/>
    <n v="0.19362861203221224"/>
    <n v="6179.1294854334592"/>
    <s v="C"/>
  </r>
  <r>
    <x v="5"/>
    <s v="FERRAMENTAS"/>
    <s v="NÍVEL"/>
    <s v="20024"/>
    <s v="CAIXA "/>
    <n v="127.2"/>
    <x v="300"/>
    <n v="20"/>
    <n v="35"/>
    <n v="12"/>
    <n v="16"/>
    <n v="8.3999999999999995E-3"/>
    <x v="646"/>
    <n v="2"/>
    <x v="1001"/>
    <n v="20"/>
    <n v="0.1"/>
    <n v="1.3333333333333333"/>
    <n v="1.4333333333333333"/>
    <n v="0.18829938417811465"/>
    <n v="6179.3177848176374"/>
    <s v="C"/>
  </r>
  <r>
    <x v="5"/>
    <s v="FERRAMENTAS"/>
    <s v="COLHER"/>
    <s v="77335065"/>
    <s v="CAIXA "/>
    <n v="124.8"/>
    <x v="178"/>
    <n v="30"/>
    <n v="35"/>
    <n v="15"/>
    <n v="3.9"/>
    <n v="1.575E-2"/>
    <x v="542"/>
    <n v="2"/>
    <x v="1002"/>
    <n v="20"/>
    <n v="0.1"/>
    <n v="1.3333333333333333"/>
    <n v="1.4333333333333333"/>
    <n v="0.18474656560871625"/>
    <n v="6179.5025313832457"/>
    <s v="C"/>
  </r>
  <r>
    <x v="5"/>
    <s v="FERRAMENTAS"/>
    <s v="ALICATE D'ÁGUA"/>
    <s v="Y59E"/>
    <s v="CAIXA "/>
    <n v="124.8"/>
    <x v="263"/>
    <n v="270"/>
    <n v="260"/>
    <n v="80"/>
    <n v="25"/>
    <n v="5.6159999999999997"/>
    <x v="652"/>
    <n v="2"/>
    <x v="1002"/>
    <n v="20"/>
    <n v="0.1"/>
    <n v="1.3333333333333333"/>
    <n v="1.4333333333333333"/>
    <n v="0.18474656560871625"/>
    <n v="6179.687277948854"/>
    <s v="C"/>
  </r>
  <r>
    <x v="5"/>
    <s v="MATERIAL HIDRÁULICO"/>
    <s v="LUVA (CONEXÃO)"/>
    <s v="LU850"/>
    <s v="CAIXA"/>
    <n v="49.5"/>
    <x v="301"/>
    <n v="100"/>
    <n v="100"/>
    <n v="100"/>
    <n v="2.88"/>
    <n v="1"/>
    <x v="76"/>
    <n v="5"/>
    <x v="1003"/>
    <n v="20"/>
    <n v="0.25"/>
    <n v="3.333333333333333"/>
    <n v="3.583333333333333"/>
    <n v="0.18319220748460446"/>
    <n v="6179.8704701563383"/>
    <s v="C"/>
  </r>
  <r>
    <x v="5"/>
    <s v="MATERIAL ELÉTRICO"/>
    <s v="CONECTOR"/>
    <s v="5700329"/>
    <s v="SACO"/>
    <n v="10.210000000000001"/>
    <x v="302"/>
    <n v="4"/>
    <n v="2"/>
    <n v="5"/>
    <n v="0.5"/>
    <n v="4.0000000000000003E-5"/>
    <x v="653"/>
    <n v="24"/>
    <x v="1004"/>
    <n v="20"/>
    <n v="1.2"/>
    <n v="16"/>
    <n v="17.2"/>
    <n v="0.18137138796778779"/>
    <n v="6180.0518415443057"/>
    <s v="C"/>
  </r>
  <r>
    <x v="5"/>
    <s v="MATERIAL HIDRÁULICO"/>
    <s v="PROLONGADOR"/>
    <s v="29982"/>
    <s v="CAIXA"/>
    <n v="49"/>
    <x v="212"/>
    <n v="100"/>
    <n v="100"/>
    <n v="100"/>
    <n v="86"/>
    <n v="1"/>
    <x v="76"/>
    <n v="5"/>
    <x v="1005"/>
    <n v="20"/>
    <n v="0.25"/>
    <n v="3.333333333333333"/>
    <n v="3.583333333333333"/>
    <n v="0.18134178114637614"/>
    <n v="6180.233183325452"/>
    <s v="C"/>
  </r>
  <r>
    <x v="5"/>
    <s v="MATERIAL HIDRÁULICO"/>
    <s v="JOELHO"/>
    <s v="5100113"/>
    <s v="CAIXA"/>
    <n v="49"/>
    <x v="212"/>
    <n v="100"/>
    <n v="100"/>
    <n v="100"/>
    <n v="3.07"/>
    <n v="1"/>
    <x v="76"/>
    <n v="5"/>
    <x v="1005"/>
    <n v="20"/>
    <n v="0.25"/>
    <n v="3.333333333333333"/>
    <n v="3.583333333333333"/>
    <n v="0.18134178114637614"/>
    <n v="6180.4145251065984"/>
    <s v="C"/>
  </r>
  <r>
    <x v="5"/>
    <s v="MATERIAL HIDRÁULICO"/>
    <s v="CAP"/>
    <s v="5100689"/>
    <s v="CAIXA"/>
    <n v="49"/>
    <x v="212"/>
    <n v="100"/>
    <n v="100"/>
    <n v="100"/>
    <n v="1.5"/>
    <n v="1"/>
    <x v="76"/>
    <n v="5"/>
    <x v="1005"/>
    <n v="20"/>
    <n v="0.25"/>
    <n v="3.333333333333333"/>
    <n v="3.583333333333333"/>
    <n v="0.18134178114637614"/>
    <n v="6180.5958668877447"/>
    <s v="C"/>
  </r>
  <r>
    <x v="5"/>
    <s v="MATERIAL HIDRÁULICO"/>
    <s v="CAP"/>
    <s v="5100687"/>
    <s v="CAIXA"/>
    <n v="49"/>
    <x v="212"/>
    <n v="100"/>
    <n v="100"/>
    <n v="100"/>
    <n v="1.2"/>
    <n v="1"/>
    <x v="76"/>
    <n v="5"/>
    <x v="1005"/>
    <n v="20"/>
    <n v="0.25"/>
    <n v="3.333333333333333"/>
    <n v="3.583333333333333"/>
    <n v="0.18134178114637614"/>
    <n v="6180.777208668891"/>
    <s v="C"/>
  </r>
  <r>
    <x v="5"/>
    <s v="FERRAMENTAS"/>
    <s v="MANGUEIRA P/ JARDIM RETRATIL VERDE"/>
    <s v="ORB 258"/>
    <s v="PALETE "/>
    <n v="119.9"/>
    <x v="223"/>
    <n v="5"/>
    <n v="3.2"/>
    <n v="1500"/>
    <n v="12.5"/>
    <n v="2.4E-2"/>
    <x v="654"/>
    <n v="2"/>
    <x v="1006"/>
    <n v="20"/>
    <n v="0.1"/>
    <n v="1.3333333333333333"/>
    <n v="1.4333333333333333"/>
    <n v="0.17749289436286123"/>
    <n v="6180.9547015632543"/>
    <s v="C"/>
  </r>
  <r>
    <x v="5"/>
    <s v="FERRAMENTAS"/>
    <s v="MANGUEIRA P/ JARDIM RETRATIL AMARELO"/>
    <s v="ORB 259"/>
    <s v="PALETE "/>
    <n v="119.9"/>
    <x v="223"/>
    <n v="5"/>
    <n v="3.2"/>
    <n v="1500"/>
    <n v="12.5"/>
    <n v="2.4E-2"/>
    <x v="654"/>
    <n v="2"/>
    <x v="1006"/>
    <n v="20"/>
    <n v="0.1"/>
    <n v="1.3333333333333333"/>
    <n v="1.4333333333333333"/>
    <n v="0.17749289436286123"/>
    <n v="6181.1321944576175"/>
    <s v="C"/>
  </r>
  <r>
    <x v="5"/>
    <s v="FERRAMENTAS"/>
    <s v="MANGUEIRA P/ JARDIM RETRATIL AZUL"/>
    <s v="ORB 260"/>
    <s v="PALETE "/>
    <n v="119.9"/>
    <x v="223"/>
    <n v="5"/>
    <n v="3.2"/>
    <n v="1500"/>
    <n v="12.5"/>
    <n v="2.4E-2"/>
    <x v="654"/>
    <n v="2"/>
    <x v="1006"/>
    <n v="20"/>
    <n v="0.1"/>
    <n v="1.3333333333333333"/>
    <n v="1.4333333333333333"/>
    <n v="0.17749289436286123"/>
    <n v="6181.3096873519808"/>
    <s v="C"/>
  </r>
  <r>
    <x v="5"/>
    <s v="FERRAMENTAS"/>
    <s v="SERROTE DE PONTA 12''"/>
    <s v="L29II"/>
    <s v="CAIXA "/>
    <n v="119.6"/>
    <x v="178"/>
    <n v="350"/>
    <n v="350"/>
    <n v="150"/>
    <n v="80"/>
    <n v="18.375"/>
    <x v="614"/>
    <n v="2"/>
    <x v="1007"/>
    <n v="20"/>
    <n v="0.1"/>
    <n v="1.3333333333333333"/>
    <n v="1.4333333333333333"/>
    <n v="0.17704879204168641"/>
    <n v="6181.4867361440229"/>
    <s v="C"/>
  </r>
  <r>
    <x v="5"/>
    <s v="FERRAMENTAS"/>
    <s v="SERROTE UTYLIT"/>
    <s v="K1LLI"/>
    <s v="CAIXA "/>
    <n v="115.6"/>
    <x v="178"/>
    <n v="350"/>
    <n v="350"/>
    <n v="150"/>
    <n v="80"/>
    <n v="18.375"/>
    <x v="614"/>
    <n v="2"/>
    <x v="1008"/>
    <n v="20"/>
    <n v="0.1"/>
    <n v="1.3333333333333333"/>
    <n v="1.4333333333333333"/>
    <n v="0.17112742775935574"/>
    <n v="6181.6578635717824"/>
    <s v="C"/>
  </r>
  <r>
    <x v="5"/>
    <s v="FERRAMENTAS"/>
    <s v="COLHER"/>
    <s v="77330065"/>
    <s v="CAIXA "/>
    <n v="112.8"/>
    <x v="178"/>
    <n v="30"/>
    <n v="35"/>
    <n v="15"/>
    <n v="4.3"/>
    <n v="1.575E-2"/>
    <x v="542"/>
    <n v="2"/>
    <x v="1009"/>
    <n v="20"/>
    <n v="0.1"/>
    <n v="1.3333333333333333"/>
    <n v="1.4333333333333333"/>
    <n v="0.16698247276172432"/>
    <n v="6181.8248460445438"/>
    <s v="C"/>
  </r>
  <r>
    <x v="5"/>
    <s v="MATERIAL HIDRÁULICO"/>
    <s v="JUNÇÃO SIMPLES ESGOTO"/>
    <s v="TRIPLO"/>
    <s v="CAIXA"/>
    <n v="44.8"/>
    <x v="212"/>
    <n v="20"/>
    <n v="175"/>
    <n v="5"/>
    <n v="40"/>
    <n v="1.7500000000000002E-2"/>
    <x v="655"/>
    <n v="5"/>
    <x v="1010"/>
    <n v="20"/>
    <n v="0.25"/>
    <n v="3.333333333333333"/>
    <n v="3.583333333333333"/>
    <n v="0.16579819990525818"/>
    <n v="6181.990644244449"/>
    <s v="C"/>
  </r>
  <r>
    <x v="5"/>
    <s v="FERRAMENTAS"/>
    <s v="SERROTE CABO EMBORRACHADO "/>
    <s v="IÇ58I"/>
    <s v="CAIXA "/>
    <n v="111.6"/>
    <x v="295"/>
    <n v="350"/>
    <n v="350"/>
    <n v="150"/>
    <n v="80"/>
    <n v="18.375"/>
    <x v="614"/>
    <n v="2"/>
    <x v="1011"/>
    <n v="20"/>
    <n v="0.1"/>
    <n v="1.3333333333333333"/>
    <n v="1.4333333333333333"/>
    <n v="0.1652060634770251"/>
    <n v="6182.1558503079259"/>
    <s v="C"/>
  </r>
  <r>
    <x v="5"/>
    <s v="FERRAMENTAS"/>
    <s v="NÍVEL"/>
    <s v="20018"/>
    <s v="CAIXA "/>
    <n v="108"/>
    <x v="300"/>
    <n v="20"/>
    <n v="35"/>
    <n v="12"/>
    <n v="17"/>
    <n v="8.3999999999999995E-3"/>
    <x v="646"/>
    <n v="2"/>
    <x v="1012"/>
    <n v="20"/>
    <n v="0.1"/>
    <n v="1.3333333333333333"/>
    <n v="1.4333333333333333"/>
    <n v="0.15987683562292754"/>
    <n v="6182.3157271435484"/>
    <s v="C"/>
  </r>
  <r>
    <x v="5"/>
    <s v="FERRAMENTAS"/>
    <s v="OCULOS PANORAMICO"/>
    <s v="49DC"/>
    <s v="CAIXA"/>
    <n v="2.4"/>
    <x v="195"/>
    <n v="17.5"/>
    <n v="11.5"/>
    <n v="10.5"/>
    <n v="0.16500000000000001"/>
    <n v="2.113125E-3"/>
    <x v="656"/>
    <n v="90"/>
    <x v="1012"/>
    <n v="20"/>
    <n v="4.5"/>
    <n v="60"/>
    <n v="64.5"/>
    <n v="0.15987683562292754"/>
    <n v="6182.475603979171"/>
    <s v="C"/>
  </r>
  <r>
    <x v="5"/>
    <s v="FERRAMENTAS"/>
    <s v="CHAVE DE CANO GRIFO"/>
    <s v="5AS4A"/>
    <s v="CAIXA "/>
    <n v="107.6"/>
    <x v="303"/>
    <n v="1140"/>
    <n v="1340"/>
    <n v="640"/>
    <n v="16"/>
    <n v="977.66399999999999"/>
    <x v="657"/>
    <n v="2"/>
    <x v="1013"/>
    <n v="20"/>
    <n v="0.1"/>
    <n v="1.3333333333333333"/>
    <n v="1.4333333333333333"/>
    <n v="0.15928469919469446"/>
    <n v="6182.6348886783653"/>
    <s v="C"/>
  </r>
  <r>
    <x v="5"/>
    <s v="FERRAMENTAS"/>
    <s v="ALICATE P/ ELOTRONICA"/>
    <s v="49EYE"/>
    <s v="CAIXA "/>
    <n v="104.5"/>
    <x v="295"/>
    <n v="250"/>
    <n v="300"/>
    <n v="80"/>
    <n v="32.4"/>
    <n v="6"/>
    <x v="40"/>
    <n v="2"/>
    <x v="1014"/>
    <n v="20"/>
    <n v="0.1"/>
    <n v="1.3333333333333333"/>
    <n v="1.4333333333333333"/>
    <n v="0.15469564187588822"/>
    <n v="6182.7895843202414"/>
    <s v="C"/>
  </r>
  <r>
    <x v="5"/>
    <s v="FERRAMENTAS"/>
    <s v="NÍVEL"/>
    <s v="20014"/>
    <s v="CAIXA "/>
    <n v="104.4"/>
    <x v="300"/>
    <n v="20"/>
    <n v="35"/>
    <n v="12"/>
    <n v="16"/>
    <n v="8.3999999999999995E-3"/>
    <x v="646"/>
    <n v="2"/>
    <x v="1015"/>
    <n v="20"/>
    <n v="0.1"/>
    <n v="1.3333333333333333"/>
    <n v="1.4333333333333333"/>
    <n v="0.15454760776882995"/>
    <n v="6182.9441319280104"/>
    <s v="C"/>
  </r>
  <r>
    <x v="5"/>
    <s v="FERRAMENTAS"/>
    <s v="ALICATE DIAGONAL"/>
    <s v="ERT9R"/>
    <s v="CAIXA "/>
    <n v="104"/>
    <x v="235"/>
    <n v="820"/>
    <n v="1350"/>
    <n v="620"/>
    <n v="400"/>
    <n v="686.34"/>
    <x v="658"/>
    <n v="2"/>
    <x v="1016"/>
    <n v="20"/>
    <n v="0.1"/>
    <n v="1.3333333333333333"/>
    <n v="1.4333333333333333"/>
    <n v="0.15395547134059687"/>
    <n v="6183.0980873993512"/>
    <s v="C"/>
  </r>
  <r>
    <x v="5"/>
    <s v="MATERIAL ELÉTRICO"/>
    <s v="CONECTOR"/>
    <s v="3653457"/>
    <s v="SACO"/>
    <n v="8.51"/>
    <x v="302"/>
    <n v="4"/>
    <n v="2"/>
    <n v="5"/>
    <n v="0.5"/>
    <n v="4.0000000000000003E-5"/>
    <x v="653"/>
    <n v="24"/>
    <x v="1017"/>
    <n v="20"/>
    <n v="1.2"/>
    <n v="16"/>
    <n v="17.2"/>
    <n v="0.15117243012790149"/>
    <n v="6183.2492598294793"/>
    <s v="C"/>
  </r>
  <r>
    <x v="5"/>
    <s v="FERRAMENTAS"/>
    <s v="SERROTE DE PODA"/>
    <s v="IL59U"/>
    <s v="CAIXA "/>
    <n v="101.2"/>
    <x v="178"/>
    <n v="350"/>
    <n v="350"/>
    <n v="150"/>
    <n v="80"/>
    <n v="18.375"/>
    <x v="614"/>
    <n v="2"/>
    <x v="1018"/>
    <n v="20"/>
    <n v="0.1"/>
    <n v="1.3333333333333333"/>
    <n v="1.4333333333333333"/>
    <n v="0.14981051634296544"/>
    <n v="6183.3990703458221"/>
    <s v="C"/>
  </r>
  <r>
    <x v="5"/>
    <s v="MATERIAL HIDRÁULICO"/>
    <s v="ADAPTADOS"/>
    <s v="SD03"/>
    <s v="CAIXA"/>
    <n v="39.9"/>
    <x v="272"/>
    <n v="110"/>
    <n v="90"/>
    <n v="100"/>
    <n v="3"/>
    <n v="0.99"/>
    <x v="568"/>
    <n v="5"/>
    <x v="1019"/>
    <n v="20"/>
    <n v="0.25"/>
    <n v="3.333333333333333"/>
    <n v="3.583333333333333"/>
    <n v="0.14766402179062058"/>
    <n v="6183.5467343676128"/>
    <s v="C"/>
  </r>
  <r>
    <x v="5"/>
    <s v="FERRAMENTAS"/>
    <s v="CHAVE INGLESA"/>
    <s v="S4DA"/>
    <s v="CAIXA "/>
    <n v="98.4"/>
    <x v="303"/>
    <n v="610"/>
    <n v="600"/>
    <n v="350"/>
    <n v="230"/>
    <n v="128.1"/>
    <x v="659"/>
    <n v="2"/>
    <x v="1020"/>
    <n v="20"/>
    <n v="0.1"/>
    <n v="1.3333333333333333"/>
    <n v="1.4333333333333333"/>
    <n v="0.14566556134533398"/>
    <n v="6183.6923999289584"/>
    <s v="C"/>
  </r>
  <r>
    <x v="5"/>
    <s v="FERRAMENTAS"/>
    <s v="CHAVE BIELA"/>
    <s v="E0S4"/>
    <s v="CAIXA "/>
    <n v="98.4"/>
    <x v="263"/>
    <n v="250"/>
    <n v="300"/>
    <n v="80"/>
    <n v="25"/>
    <n v="6"/>
    <x v="40"/>
    <n v="2"/>
    <x v="1020"/>
    <n v="20"/>
    <n v="0.1"/>
    <n v="1.3333333333333333"/>
    <n v="1.4333333333333333"/>
    <n v="0.14566556134533398"/>
    <n v="6183.838065490304"/>
    <s v="C"/>
  </r>
  <r>
    <x v="5"/>
    <s v="MATERIAL HIDRÁULICO"/>
    <s v="CURVA"/>
    <s v="M17"/>
    <s v="CAIXA"/>
    <n v="39"/>
    <x v="272"/>
    <n v="110"/>
    <n v="90"/>
    <n v="100"/>
    <n v="4.84"/>
    <n v="0.99"/>
    <x v="568"/>
    <n v="5"/>
    <x v="1021"/>
    <n v="20"/>
    <n v="0.25"/>
    <n v="3.333333333333333"/>
    <n v="3.583333333333333"/>
    <n v="0.14433325438180958"/>
    <n v="6183.9823987446862"/>
    <s v="C"/>
  </r>
  <r>
    <x v="5"/>
    <s v="MATERIAL HIDRÁULICO"/>
    <s v="CURVA"/>
    <s v="4100113"/>
    <s v="CAIXA"/>
    <n v="39"/>
    <x v="212"/>
    <n v="100"/>
    <n v="100"/>
    <n v="100"/>
    <n v="4.84"/>
    <n v="1"/>
    <x v="76"/>
    <n v="5"/>
    <x v="1021"/>
    <n v="20"/>
    <n v="0.25"/>
    <n v="3.333333333333333"/>
    <n v="3.583333333333333"/>
    <n v="0.14433325438180958"/>
    <n v="6184.1267319990684"/>
    <s v="C"/>
  </r>
  <r>
    <x v="5"/>
    <s v="FERRAMENTAS"/>
    <s v="CAIXA FRT. C/ 3 GAVETAS INOX"/>
    <s v="5DAXC"/>
    <s v="CAIXA "/>
    <n v="93.6"/>
    <x v="178"/>
    <n v="58.9"/>
    <n v="27"/>
    <n v="34.5"/>
    <n v="6.7050000000000001"/>
    <n v="5.486535E-2"/>
    <x v="660"/>
    <n v="2"/>
    <x v="1022"/>
    <n v="20"/>
    <n v="0.1"/>
    <n v="1.3333333333333333"/>
    <n v="1.4333333333333333"/>
    <n v="0.13855992420653718"/>
    <n v="6184.2652919232751"/>
    <s v="C"/>
  </r>
  <r>
    <x v="5"/>
    <s v="MATERIAL ELÉTRICO"/>
    <s v="*CONJUNTO 1 TOMADA COAXIAL PARA TV HORIZONTAL BRANCO S19 -  "/>
    <s v="I-03"/>
    <s v="CAIXA"/>
    <n v="5"/>
    <x v="276"/>
    <n v="16"/>
    <n v="23"/>
    <n v="20"/>
    <n v="7.3600000000000002E-3"/>
    <n v="7.3600000000000002E-3"/>
    <x v="661"/>
    <n v="36"/>
    <x v="1023"/>
    <n v="20"/>
    <n v="1.8"/>
    <n v="24"/>
    <n v="25.8"/>
    <n v="0.13323069635243961"/>
    <n v="6184.3985226196273"/>
    <s v="C"/>
  </r>
  <r>
    <x v="5"/>
    <s v="FERRAMENTAS"/>
    <s v="MARTELO DE BORDA"/>
    <s v="1HM8"/>
    <s v="CAIXA "/>
    <n v="88"/>
    <x v="304"/>
    <n v="300"/>
    <n v="450"/>
    <n v="200"/>
    <n v="60"/>
    <n v="27"/>
    <x v="662"/>
    <n v="2"/>
    <x v="1024"/>
    <n v="20"/>
    <n v="0.1"/>
    <n v="1.3333333333333333"/>
    <n v="1.4333333333333333"/>
    <n v="0.13027001421127429"/>
    <n v="6184.5287926338387"/>
    <s v="C"/>
  </r>
  <r>
    <x v="5"/>
    <s v="FERRAMENTAS"/>
    <s v="CHAVE AJUSTAVEL"/>
    <s v="S4AS"/>
    <s v="CAIXA "/>
    <n v="86.4"/>
    <x v="178"/>
    <n v="160"/>
    <n v="330"/>
    <n v="240"/>
    <n v="150"/>
    <n v="12.672000000000001"/>
    <x v="663"/>
    <n v="2"/>
    <x v="1025"/>
    <n v="20"/>
    <n v="0.1"/>
    <n v="1.3333333333333333"/>
    <n v="1.4333333333333333"/>
    <n v="0.12790146849834202"/>
    <n v="6184.6566941023375"/>
    <s v="C"/>
  </r>
  <r>
    <x v="5"/>
    <s v="PREGOS E PARAFUSOS"/>
    <s v="BUCHAS UM"/>
    <s v="M27"/>
    <s v="SACO"/>
    <n v="5"/>
    <x v="273"/>
    <n v="5"/>
    <n v="20"/>
    <n v="10"/>
    <n v="1"/>
    <n v="1E-3"/>
    <x v="633"/>
    <n v="34"/>
    <x v="1026"/>
    <n v="25"/>
    <n v="0.73529411764705888"/>
    <n v="25.735294117647058"/>
    <n v="26.470588235294116"/>
    <n v="0.1258289909995263"/>
    <n v="6184.7825230933367"/>
    <s v="C"/>
  </r>
  <r>
    <x v="5"/>
    <s v="FERRAMENTAS"/>
    <s v="ALICATE MEIA CANA"/>
    <s v="R2T9EH"/>
    <s v="CAIXA "/>
    <n v="84"/>
    <x v="303"/>
    <n v="780"/>
    <n v="1000"/>
    <n v="700"/>
    <n v="100"/>
    <n v="546"/>
    <x v="664"/>
    <n v="2"/>
    <x v="1027"/>
    <n v="20"/>
    <n v="0.1"/>
    <n v="1.3333333333333333"/>
    <n v="1.4333333333333333"/>
    <n v="0.12434864992894364"/>
    <n v="6184.9068717432656"/>
    <s v="C"/>
  </r>
  <r>
    <x v="5"/>
    <s v="MATERIAL HIDRÁULICO"/>
    <s v="LUVA (CONEXÃO)"/>
    <s v="LU852"/>
    <s v="CAIXA"/>
    <n v="33"/>
    <x v="301"/>
    <n v="100"/>
    <n v="100"/>
    <n v="100"/>
    <n v="3.2"/>
    <n v="1"/>
    <x v="76"/>
    <n v="5"/>
    <x v="1028"/>
    <n v="20"/>
    <n v="0.25"/>
    <n v="3.333333333333333"/>
    <n v="3.583333333333333"/>
    <n v="0.12212813832306964"/>
    <n v="6185.0289998815888"/>
    <s v="C"/>
  </r>
  <r>
    <x v="5"/>
    <s v="FERRAMENTAS"/>
    <s v="CHAVE DE FENDA"/>
    <s v="1S5S0"/>
    <s v="CAIXA "/>
    <n v="79.599999999999994"/>
    <x v="178"/>
    <n v="775"/>
    <n v="880"/>
    <n v="460"/>
    <n v="8.6999999999999993"/>
    <n v="313.72000000000003"/>
    <x v="665"/>
    <n v="2"/>
    <x v="1029"/>
    <n v="20"/>
    <n v="0.1"/>
    <n v="1.3333333333333333"/>
    <n v="1.4333333333333333"/>
    <n v="0.11783514921837991"/>
    <n v="6185.1468350308069"/>
    <s v="C"/>
  </r>
  <r>
    <x v="5"/>
    <s v="MATERIAL HIDRÁULICO"/>
    <s v="NÍPEL"/>
    <s v="572221"/>
    <s v="CAIXA"/>
    <n v="30"/>
    <x v="212"/>
    <n v="100"/>
    <n v="100"/>
    <n v="100"/>
    <n v="0.99"/>
    <n v="1"/>
    <x v="76"/>
    <n v="5"/>
    <x v="1030"/>
    <n v="20"/>
    <n v="0.25"/>
    <n v="3.333333333333333"/>
    <n v="3.583333333333333"/>
    <n v="0.11102558029369967"/>
    <n v="6185.257860611101"/>
    <s v="C"/>
  </r>
  <r>
    <x v="5"/>
    <s v="MATERIAL HIDRÁULICO"/>
    <s v="PROLONGADOR"/>
    <s v="29981"/>
    <s v="CAIXA"/>
    <n v="29"/>
    <x v="212"/>
    <n v="100"/>
    <n v="100"/>
    <n v="100"/>
    <n v="48.78"/>
    <n v="1"/>
    <x v="76"/>
    <n v="5"/>
    <x v="1031"/>
    <n v="20"/>
    <n v="0.25"/>
    <n v="3.333333333333333"/>
    <n v="3.583333333333333"/>
    <n v="0.10732472761724302"/>
    <n v="6185.3651853387182"/>
    <s v="C"/>
  </r>
  <r>
    <x v="5"/>
    <s v="MATERIAL HIDRÁULICO"/>
    <s v="CURVA"/>
    <s v="4100112"/>
    <s v="CAIXA"/>
    <n v="29"/>
    <x v="212"/>
    <n v="100"/>
    <n v="100"/>
    <n v="100"/>
    <n v="4.84"/>
    <n v="1"/>
    <x v="76"/>
    <n v="5"/>
    <x v="1031"/>
    <n v="20"/>
    <n v="0.25"/>
    <n v="3.333333333333333"/>
    <n v="3.583333333333333"/>
    <n v="0.10732472761724302"/>
    <n v="6185.4725100663354"/>
    <s v="C"/>
  </r>
  <r>
    <x v="5"/>
    <s v="MATERIAL HIDRÁULICO"/>
    <s v="JOELHO"/>
    <s v="5100115"/>
    <s v="CAIXA"/>
    <n v="29"/>
    <x v="212"/>
    <n v="100"/>
    <n v="100"/>
    <n v="100"/>
    <n v="2.3199999999999998"/>
    <n v="1"/>
    <x v="76"/>
    <n v="5"/>
    <x v="1031"/>
    <n v="20"/>
    <n v="0.25"/>
    <n v="3.333333333333333"/>
    <n v="3.583333333333333"/>
    <n v="0.10732472761724302"/>
    <n v="6185.5798347939526"/>
    <s v="C"/>
  </r>
  <r>
    <x v="5"/>
    <s v="MATERIAL HIDRÁULICO"/>
    <s v="TE"/>
    <s v="5108030"/>
    <s v="CAIXA"/>
    <n v="29"/>
    <x v="212"/>
    <n v="100"/>
    <n v="100"/>
    <n v="100"/>
    <n v="1.36"/>
    <n v="1"/>
    <x v="76"/>
    <n v="5"/>
    <x v="1031"/>
    <n v="20"/>
    <n v="0.25"/>
    <n v="3.333333333333333"/>
    <n v="3.583333333333333"/>
    <n v="0.10732472761724302"/>
    <n v="6185.6871595215698"/>
    <s v="C"/>
  </r>
  <r>
    <x v="5"/>
    <s v="MATERIAL HIDRÁULICO"/>
    <s v="VEDA ROSCA"/>
    <s v="M29"/>
    <s v="CAIXA"/>
    <n v="27"/>
    <x v="305"/>
    <n v="10"/>
    <n v="15"/>
    <n v="25"/>
    <n v="0.93"/>
    <n v="3.7499999999999999E-3"/>
    <x v="597"/>
    <n v="5"/>
    <x v="579"/>
    <n v="20"/>
    <n v="0.25"/>
    <n v="3.333333333333333"/>
    <n v="3.583333333333333"/>
    <n v="9.9923022264329711E-2"/>
    <n v="6185.787082543834"/>
    <s v="C"/>
  </r>
  <r>
    <x v="5"/>
    <s v="FERRAMENTAS"/>
    <s v="ALICATE UNIVERSAL"/>
    <s v="Y9ERY"/>
    <s v="CAIXA "/>
    <n v="66.8"/>
    <x v="295"/>
    <n v="1830"/>
    <n v="1570"/>
    <n v="530"/>
    <n v="18"/>
    <n v="1522.7429999999999"/>
    <x v="666"/>
    <n v="2"/>
    <x v="1032"/>
    <n v="20"/>
    <n v="0.1"/>
    <n v="1.3333333333333333"/>
    <n v="1.4333333333333333"/>
    <n v="9.8886783514921833E-2"/>
    <n v="6185.8859693273489"/>
    <s v="C"/>
  </r>
  <r>
    <x v="5"/>
    <s v="FERRAMENTAS"/>
    <s v="ALICATE ANEL"/>
    <s v="G5G5"/>
    <s v="CAIXA "/>
    <n v="66.8"/>
    <x v="263"/>
    <n v="260"/>
    <n v="270"/>
    <n v="90"/>
    <n v="16"/>
    <n v="6.3179999999999996"/>
    <x v="667"/>
    <n v="2"/>
    <x v="1032"/>
    <n v="20"/>
    <n v="0.1"/>
    <n v="1.3333333333333333"/>
    <n v="1.4333333333333333"/>
    <n v="9.8886783514921833E-2"/>
    <n v="6185.9848561108638"/>
    <s v="C"/>
  </r>
  <r>
    <x v="5"/>
    <s v="FERRAMENTAS"/>
    <s v="SERROTE AMADOR "/>
    <s v="1Ç5L"/>
    <s v="CAIXA "/>
    <n v="65.2"/>
    <x v="235"/>
    <n v="350"/>
    <n v="350"/>
    <n v="150"/>
    <n v="80"/>
    <n v="18.375"/>
    <x v="614"/>
    <n v="2"/>
    <x v="1033"/>
    <n v="20"/>
    <n v="0.1"/>
    <n v="1.3333333333333333"/>
    <n v="1.4333333333333333"/>
    <n v="9.6518237801989579E-2"/>
    <n v="6186.081374348666"/>
    <s v="C"/>
  </r>
  <r>
    <x v="5"/>
    <s v="FERRAMENTAS"/>
    <s v="MARTELO DE MADEIRA"/>
    <s v="JK8LJ"/>
    <s v="CAIXA "/>
    <n v="64"/>
    <x v="304"/>
    <n v="350"/>
    <n v="350"/>
    <n v="150"/>
    <n v="80"/>
    <n v="18.375"/>
    <x v="614"/>
    <n v="2"/>
    <x v="1034"/>
    <n v="20"/>
    <n v="0.1"/>
    <n v="1.3333333333333333"/>
    <n v="1.4333333333333333"/>
    <n v="9.4741828517290391E-2"/>
    <n v="6186.1761161771838"/>
    <s v="C"/>
  </r>
  <r>
    <x v="5"/>
    <s v="MATERIAL HIDRÁULICO"/>
    <s v="REDUÇÃO"/>
    <s v="RR100"/>
    <s v="CAIXA"/>
    <n v="25"/>
    <x v="288"/>
    <n v="120"/>
    <n v="80"/>
    <n v="100"/>
    <n v="20"/>
    <n v="0.96"/>
    <x v="612"/>
    <n v="5"/>
    <x v="1035"/>
    <n v="20"/>
    <n v="0.25"/>
    <n v="3.333333333333333"/>
    <n v="3.583333333333333"/>
    <n v="9.2521316911416393E-2"/>
    <n v="6186.2686374940949"/>
    <s v="C"/>
  </r>
  <r>
    <x v="5"/>
    <s v="MATERIAL HIDRÁULICO"/>
    <s v="NÍPEL"/>
    <s v="N3999"/>
    <s v="CAIXA"/>
    <n v="25"/>
    <x v="272"/>
    <n v="110"/>
    <n v="90"/>
    <n v="100"/>
    <n v="1"/>
    <n v="0.99"/>
    <x v="568"/>
    <n v="5"/>
    <x v="1035"/>
    <n v="20"/>
    <n v="0.25"/>
    <n v="3.333333333333333"/>
    <n v="3.583333333333333"/>
    <n v="9.2521316911416393E-2"/>
    <n v="6186.3611588110061"/>
    <s v="C"/>
  </r>
  <r>
    <x v="5"/>
    <s v="MATERIAL HIDRÁULICO"/>
    <s v="NÍPEL"/>
    <s v="572223"/>
    <s v="CAIXA"/>
    <n v="25"/>
    <x v="212"/>
    <n v="100"/>
    <n v="100"/>
    <n v="100"/>
    <n v="1"/>
    <n v="1"/>
    <x v="76"/>
    <n v="5"/>
    <x v="1035"/>
    <n v="20"/>
    <n v="0.25"/>
    <n v="3.333333333333333"/>
    <n v="3.583333333333333"/>
    <n v="9.2521316911416393E-2"/>
    <n v="6186.4536801279173"/>
    <s v="C"/>
  </r>
  <r>
    <x v="5"/>
    <s v="MATERIAL HIDRÁULICO"/>
    <s v="JUNÇÃO SIMPLES ESGOTO"/>
    <s v="DUPLO"/>
    <s v="CAIXA"/>
    <n v="22.5"/>
    <x v="212"/>
    <n v="30"/>
    <n v="40"/>
    <n v="37.5"/>
    <n v="14.95"/>
    <n v="4.4999999999999998E-2"/>
    <x v="490"/>
    <n v="5"/>
    <x v="1036"/>
    <n v="20"/>
    <n v="0.25"/>
    <n v="3.333333333333333"/>
    <n v="3.583333333333333"/>
    <n v="8.3269185220274752E-2"/>
    <n v="6186.5369493131375"/>
    <s v="C"/>
  </r>
  <r>
    <x v="5"/>
    <s v="FERRAMENTAS"/>
    <s v="CHAVE DE TESTE"/>
    <s v="SDS4"/>
    <s v="CAIXA "/>
    <n v="56"/>
    <x v="303"/>
    <n v="1020"/>
    <n v="1320"/>
    <n v="638"/>
    <n v="8.8000000000000007"/>
    <n v="859.00319999999999"/>
    <x v="668"/>
    <n v="2"/>
    <x v="427"/>
    <n v="20"/>
    <n v="0.1"/>
    <n v="1.3333333333333333"/>
    <n v="1.4333333333333333"/>
    <n v="8.2899099952629091E-2"/>
    <n v="6186.61984841309"/>
    <s v="C"/>
  </r>
  <r>
    <x v="5"/>
    <s v="FERRAMENTAS"/>
    <s v="CHAVE ESTRELA"/>
    <s v="E30"/>
    <s v="CAIXA "/>
    <n v="56"/>
    <x v="306"/>
    <n v="210"/>
    <n v="380"/>
    <n v="100"/>
    <n v="41"/>
    <n v="7.98"/>
    <x v="669"/>
    <n v="2"/>
    <x v="427"/>
    <n v="20"/>
    <n v="0.1"/>
    <n v="1.3333333333333333"/>
    <n v="1.4333333333333333"/>
    <n v="8.2899099952629091E-2"/>
    <n v="6186.7027475130426"/>
    <s v="C"/>
  </r>
  <r>
    <x v="5"/>
    <s v="FERRAMENTAS"/>
    <s v="TESOURA DE JARDINAGEM "/>
    <s v="6787"/>
    <s v="CAIXA "/>
    <n v="55"/>
    <x v="307"/>
    <n v="25"/>
    <n v="12"/>
    <n v="6"/>
    <n v="6"/>
    <n v="1.8E-3"/>
    <x v="670"/>
    <n v="2"/>
    <x v="1037"/>
    <n v="20"/>
    <n v="0.1"/>
    <n v="1.3333333333333333"/>
    <n v="1.4333333333333333"/>
    <n v="8.141875888204643E-2"/>
    <n v="6186.7841662719247"/>
    <s v="C"/>
  </r>
  <r>
    <x v="5"/>
    <s v="MATERIAL ELÉTRICO"/>
    <s v="CONECTOR"/>
    <s v="5700830"/>
    <s v="SACO"/>
    <n v="4.55"/>
    <x v="302"/>
    <n v="4"/>
    <n v="2"/>
    <n v="5"/>
    <n v="0.5"/>
    <n v="4.0000000000000003E-5"/>
    <x v="653"/>
    <n v="24"/>
    <x v="1038"/>
    <n v="20"/>
    <n v="1.2"/>
    <n v="16"/>
    <n v="17.2"/>
    <n v="8.0826622453813349E-2"/>
    <n v="6186.8649928943787"/>
    <s v="C"/>
  </r>
  <r>
    <x v="5"/>
    <s v="FERRAMENTAS"/>
    <s v="TESOURA CORNETA VERDE"/>
    <s v="856"/>
    <s v="CAIXA "/>
    <n v="52.9"/>
    <x v="285"/>
    <n v="33"/>
    <n v="18"/>
    <n v="10"/>
    <n v="9"/>
    <n v="5.94E-3"/>
    <x v="671"/>
    <n v="2"/>
    <x v="1039"/>
    <n v="20"/>
    <n v="0.1"/>
    <n v="1.3333333333333333"/>
    <n v="1.4333333333333333"/>
    <n v="7.8310042633822838E-2"/>
    <n v="6186.943302937013"/>
    <s v="C"/>
  </r>
  <r>
    <x v="5"/>
    <s v="FERRAMENTAS"/>
    <s v="TESOURA CORNETA AMARELA"/>
    <s v="856"/>
    <s v="CAIXA "/>
    <n v="52.9"/>
    <x v="285"/>
    <n v="33"/>
    <n v="18"/>
    <n v="10"/>
    <n v="9"/>
    <n v="5.94E-3"/>
    <x v="671"/>
    <n v="2"/>
    <x v="1039"/>
    <n v="20"/>
    <n v="0.1"/>
    <n v="1.3333333333333333"/>
    <n v="1.4333333333333333"/>
    <n v="7.8310042633822838E-2"/>
    <n v="6187.0216129796472"/>
    <s v="C"/>
  </r>
  <r>
    <x v="5"/>
    <s v="FERRAMENTAS"/>
    <s v="TESOURA CORNETA PRETA "/>
    <s v="856"/>
    <s v="CAIXA "/>
    <n v="52.9"/>
    <x v="285"/>
    <n v="33"/>
    <n v="18"/>
    <n v="10"/>
    <n v="9"/>
    <n v="5.94E-3"/>
    <x v="671"/>
    <n v="2"/>
    <x v="1039"/>
    <n v="20"/>
    <n v="0.1"/>
    <n v="1.3333333333333333"/>
    <n v="1.4333333333333333"/>
    <n v="7.8310042633822838E-2"/>
    <n v="6187.0999230222815"/>
    <s v="C"/>
  </r>
  <r>
    <x v="5"/>
    <s v="MATERIAL HIDRÁULICO"/>
    <s v="CURVA"/>
    <s v="M18"/>
    <s v="CAIXA"/>
    <n v="19.899999999999999"/>
    <x v="272"/>
    <n v="110"/>
    <n v="90"/>
    <n v="100"/>
    <n v="4.84"/>
    <n v="0.99"/>
    <x v="568"/>
    <n v="5"/>
    <x v="1040"/>
    <n v="20"/>
    <n v="0.25"/>
    <n v="3.333333333333333"/>
    <n v="3.583333333333333"/>
    <n v="7.364696826148745E-2"/>
    <n v="6187.173569990543"/>
    <s v="C"/>
  </r>
  <r>
    <x v="5"/>
    <s v="MATERIAL HIDRÁULICO"/>
    <s v="ADAPTADOS"/>
    <s v="5140116"/>
    <s v="CAIXA"/>
    <n v="19.899999999999999"/>
    <x v="212"/>
    <n v="100"/>
    <n v="100"/>
    <n v="100"/>
    <n v="0.84"/>
    <n v="1"/>
    <x v="76"/>
    <n v="5"/>
    <x v="1040"/>
    <n v="20"/>
    <n v="0.25"/>
    <n v="3.333333333333333"/>
    <n v="3.583333333333333"/>
    <n v="7.364696826148745E-2"/>
    <n v="6187.2472169588045"/>
    <s v="C"/>
  </r>
  <r>
    <x v="5"/>
    <s v="MATERIAL HIDRÁULICO"/>
    <s v="ANEL"/>
    <s v="87807"/>
    <s v="CAIXA"/>
    <n v="19.899999999999999"/>
    <x v="212"/>
    <n v="15"/>
    <n v="15"/>
    <n v="15"/>
    <n v="0.44"/>
    <n v="3.375E-3"/>
    <x v="631"/>
    <n v="5"/>
    <x v="1040"/>
    <n v="20"/>
    <n v="0.25"/>
    <n v="3.333333333333333"/>
    <n v="3.583333333333333"/>
    <n v="7.364696826148745E-2"/>
    <n v="6187.3208639270661"/>
    <s v="C"/>
  </r>
  <r>
    <x v="5"/>
    <s v="MATERIAL HIDRÁULICO"/>
    <s v="JUNÇÃO SIMPLES ESGOTO"/>
    <s v="DUPLO"/>
    <s v="CAIXA"/>
    <n v="19.5"/>
    <x v="212"/>
    <n v="10"/>
    <n v="25"/>
    <n v="5"/>
    <n v="22.25"/>
    <n v="1.25E-3"/>
    <x v="672"/>
    <n v="5"/>
    <x v="1041"/>
    <n v="20"/>
    <n v="0.25"/>
    <n v="3.333333333333333"/>
    <n v="3.583333333333333"/>
    <n v="7.2166627190904789E-2"/>
    <n v="6187.3930305542572"/>
    <s v="C"/>
  </r>
  <r>
    <x v="5"/>
    <s v="FERRAMENTAS"/>
    <s v="MARTELO BOLA"/>
    <s v="G5FG"/>
    <s v="CAIXA "/>
    <n v="48"/>
    <x v="308"/>
    <n v="300"/>
    <n v="450"/>
    <n v="200"/>
    <n v="60"/>
    <n v="27"/>
    <x v="662"/>
    <n v="2"/>
    <x v="1042"/>
    <n v="20"/>
    <n v="0.1"/>
    <n v="1.3333333333333333"/>
    <n v="1.4333333333333333"/>
    <n v="7.105637138796779E-2"/>
    <n v="6187.4640869256455"/>
    <s v="C"/>
  </r>
  <r>
    <x v="5"/>
    <s v="FERRAMENTAS"/>
    <s v="MARTELO CARPINTEIRO"/>
    <s v="FG4D"/>
    <s v="CAIXA "/>
    <n v="48"/>
    <x v="308"/>
    <n v="300"/>
    <n v="450"/>
    <n v="200"/>
    <n v="60"/>
    <n v="27"/>
    <x v="662"/>
    <n v="2"/>
    <x v="1042"/>
    <n v="20"/>
    <n v="0.1"/>
    <n v="1.3333333333333333"/>
    <n v="1.4333333333333333"/>
    <n v="7.105637138796779E-2"/>
    <n v="6187.5351432970338"/>
    <s v="C"/>
  </r>
  <r>
    <x v="5"/>
    <s v="FERRAMENTAS"/>
    <s v="ALICATE DESENCAPADOR DE FIO"/>
    <s v="H9R"/>
    <s v="CAIXA "/>
    <n v="48"/>
    <x v="178"/>
    <n v="260"/>
    <n v="400"/>
    <n v="210"/>
    <n v="16"/>
    <n v="21.84"/>
    <x v="673"/>
    <n v="2"/>
    <x v="1042"/>
    <n v="20"/>
    <n v="0.1"/>
    <n v="1.3333333333333333"/>
    <n v="1.4333333333333333"/>
    <n v="7.105637138796779E-2"/>
    <n v="6187.6061996684221"/>
    <s v="C"/>
  </r>
  <r>
    <x v="5"/>
    <s v="MATERIAL HIDRÁULICO"/>
    <s v="TE"/>
    <s v="TT555"/>
    <s v="CAIXA"/>
    <n v="19"/>
    <x v="272"/>
    <n v="110"/>
    <n v="90"/>
    <n v="100"/>
    <n v="1.56"/>
    <n v="0.99"/>
    <x v="568"/>
    <n v="5"/>
    <x v="1043"/>
    <n v="20"/>
    <n v="0.25"/>
    <n v="3.333333333333333"/>
    <n v="3.583333333333333"/>
    <n v="7.0316200852676453E-2"/>
    <n v="6187.6765158692751"/>
    <s v="C"/>
  </r>
  <r>
    <x v="5"/>
    <s v="MATERIAL HIDRÁULICO"/>
    <s v="LUVA (CONEXÃO)"/>
    <s v=" 209623"/>
    <s v="CAIXA"/>
    <n v="19"/>
    <x v="212"/>
    <n v="100"/>
    <n v="100"/>
    <n v="100"/>
    <n v="1.4"/>
    <n v="1"/>
    <x v="76"/>
    <n v="5"/>
    <x v="1043"/>
    <n v="20"/>
    <n v="0.25"/>
    <n v="3.333333333333333"/>
    <n v="3.583333333333333"/>
    <n v="7.0316200852676453E-2"/>
    <n v="6187.7468320701282"/>
    <s v="C"/>
  </r>
  <r>
    <x v="5"/>
    <s v="MATERIAL HIDRÁULICO"/>
    <s v="CAP"/>
    <s v="5100688"/>
    <s v="CAIXA"/>
    <n v="19"/>
    <x v="212"/>
    <n v="100"/>
    <n v="100"/>
    <n v="100"/>
    <n v="1"/>
    <n v="1"/>
    <x v="76"/>
    <n v="5"/>
    <x v="1043"/>
    <n v="20"/>
    <n v="0.25"/>
    <n v="3.333333333333333"/>
    <n v="3.583333333333333"/>
    <n v="7.0316200852676453E-2"/>
    <n v="6187.8171482709813"/>
    <s v="C"/>
  </r>
  <r>
    <x v="5"/>
    <s v="MATERIAL HIDRÁULICO"/>
    <s v="CAP"/>
    <s v="C1999"/>
    <s v="CAIXA"/>
    <n v="19"/>
    <x v="272"/>
    <n v="110"/>
    <n v="90"/>
    <n v="100"/>
    <n v="0.64"/>
    <n v="0.99"/>
    <x v="568"/>
    <n v="5"/>
    <x v="1043"/>
    <n v="20"/>
    <n v="0.25"/>
    <n v="3.333333333333333"/>
    <n v="3.583333333333333"/>
    <n v="7.0316200852676453E-2"/>
    <n v="6187.8874644718344"/>
    <s v="C"/>
  </r>
  <r>
    <x v="5"/>
    <s v="FERRAMENTAS"/>
    <s v="ALICATE DE BICO"/>
    <s v="RT9EY"/>
    <s v="CAIXA "/>
    <n v="47.4"/>
    <x v="235"/>
    <n v="1430"/>
    <n v="630"/>
    <n v="630"/>
    <n v="90"/>
    <n v="567.56700000000001"/>
    <x v="674"/>
    <n v="2"/>
    <x v="1044"/>
    <n v="20"/>
    <n v="0.1"/>
    <n v="1.3333333333333333"/>
    <n v="1.4333333333333333"/>
    <n v="7.0168166745618196E-2"/>
    <n v="6187.9576326385804"/>
    <s v="C"/>
  </r>
  <r>
    <x v="5"/>
    <s v="FERRAMENTAS"/>
    <s v="MARTELO DE UNHA CABO/FIBRA"/>
    <s v="M16A"/>
    <s v="CAIXA "/>
    <n v="44"/>
    <x v="308"/>
    <n v="300"/>
    <n v="450"/>
    <n v="200"/>
    <n v="60"/>
    <n v="27"/>
    <x v="662"/>
    <n v="2"/>
    <x v="428"/>
    <n v="20"/>
    <n v="0.1"/>
    <n v="1.3333333333333333"/>
    <n v="1.4333333333333333"/>
    <n v="6.5135007105637147E-2"/>
    <n v="6188.0227676456861"/>
    <s v="C"/>
  </r>
  <r>
    <x v="5"/>
    <s v="FERRAMENTAS"/>
    <s v="MARTELO BORRACHA"/>
    <s v="J545J"/>
    <s v="CAIXA "/>
    <n v="44"/>
    <x v="308"/>
    <n v="300"/>
    <n v="450"/>
    <n v="200"/>
    <n v="60"/>
    <n v="27"/>
    <x v="662"/>
    <n v="2"/>
    <x v="428"/>
    <n v="20"/>
    <n v="0.1"/>
    <n v="1.3333333333333333"/>
    <n v="1.4333333333333333"/>
    <n v="6.5135007105637147E-2"/>
    <n v="6188.0879026527919"/>
    <s v="C"/>
  </r>
  <r>
    <x v="5"/>
    <s v="MATERIAL HIDRÁULICO"/>
    <s v="LUVA (CONEXÃO)"/>
    <s v="LU851"/>
    <s v="CAIXA"/>
    <n v="17.5"/>
    <x v="301"/>
    <n v="100"/>
    <n v="100"/>
    <n v="100"/>
    <n v="3.92"/>
    <n v="1"/>
    <x v="76"/>
    <n v="5"/>
    <x v="1045"/>
    <n v="20"/>
    <n v="0.25"/>
    <n v="3.333333333333333"/>
    <n v="3.583333333333333"/>
    <n v="6.4764921837991471E-2"/>
    <n v="6188.15266757463"/>
    <s v="C"/>
  </r>
  <r>
    <x v="5"/>
    <s v="MATERIAL HIDRÁULICO"/>
    <s v="JUNÇÃO SIMPLES ESGOTO"/>
    <s v="DUPLO"/>
    <s v="CAIXA"/>
    <n v="16.899999999999999"/>
    <x v="212"/>
    <n v="30"/>
    <n v="150"/>
    <n v="37.5"/>
    <n v="10.4"/>
    <n v="0.16875000000000001"/>
    <x v="578"/>
    <n v="5"/>
    <x v="1046"/>
    <n v="20"/>
    <n v="0.25"/>
    <n v="3.333333333333333"/>
    <n v="3.583333333333333"/>
    <n v="6.2544410232117487E-2"/>
    <n v="6188.2152119848624"/>
    <s v="C"/>
  </r>
  <r>
    <x v="5"/>
    <s v="FERRAMENTAS"/>
    <s v="MACHADO DE UNHA"/>
    <s v="AD96"/>
    <s v="CAIXA "/>
    <n v="40.799999999999997"/>
    <x v="306"/>
    <n v="31.5"/>
    <n v="25.5"/>
    <n v="13.5"/>
    <n v="6.9050000000000002"/>
    <n v="1.0843874999999999E-2"/>
    <x v="675"/>
    <n v="2"/>
    <x v="1047"/>
    <n v="20"/>
    <n v="0.1"/>
    <n v="1.3333333333333333"/>
    <n v="1.4333333333333333"/>
    <n v="6.0397915679772617E-2"/>
    <n v="6188.2756099005419"/>
    <s v="C"/>
  </r>
  <r>
    <x v="5"/>
    <s v="MATERIAL ELÉTRICO"/>
    <s v="CONECTOR"/>
    <s v="1110204"/>
    <s v="SACO"/>
    <n v="3.34"/>
    <x v="302"/>
    <n v="4"/>
    <n v="2"/>
    <n v="5"/>
    <n v="0.5"/>
    <n v="4.0000000000000003E-5"/>
    <x v="653"/>
    <n v="24"/>
    <x v="1048"/>
    <n v="20"/>
    <n v="1.2"/>
    <n v="16"/>
    <n v="17.2"/>
    <n v="5.9332070108953104E-2"/>
    <n v="6188.334941970651"/>
    <s v="C"/>
  </r>
  <r>
    <x v="5"/>
    <s v="FERRAMENTAS"/>
    <s v="MARTELO DE UNHA CABO/MADEIRA"/>
    <s v="M16A"/>
    <s v="CAIXA "/>
    <n v="39.6"/>
    <x v="178"/>
    <n v="300"/>
    <n v="450"/>
    <n v="200"/>
    <n v="60"/>
    <n v="27"/>
    <x v="662"/>
    <n v="2"/>
    <x v="1049"/>
    <n v="20"/>
    <n v="0.1"/>
    <n v="1.3333333333333333"/>
    <n v="1.4333333333333333"/>
    <n v="5.8621506395073429E-2"/>
    <n v="6188.393563477046"/>
    <s v="C"/>
  </r>
  <r>
    <x v="5"/>
    <s v="FERRAMENTAS"/>
    <s v="CHAVE T11X1"/>
    <s v="1SD"/>
    <s v="CAIXA "/>
    <n v="39.6"/>
    <x v="303"/>
    <n v="150"/>
    <n v="173"/>
    <n v="85"/>
    <n v="10"/>
    <n v="2.2057500000000001"/>
    <x v="676"/>
    <n v="2"/>
    <x v="1049"/>
    <n v="20"/>
    <n v="0.1"/>
    <n v="1.3333333333333333"/>
    <n v="1.4333333333333333"/>
    <n v="5.8621506395073429E-2"/>
    <n v="6188.4521849834409"/>
    <s v="C"/>
  </r>
  <r>
    <x v="5"/>
    <s v="FERRAMENTAS"/>
    <s v="CAIXA FRT. C/ 3 GAVETAS"/>
    <s v="5C9AS"/>
    <s v="CAIXA "/>
    <n v="37.67"/>
    <x v="309"/>
    <n v="25"/>
    <n v="22.5"/>
    <n v="21.5"/>
    <n v="3.8149999999999999"/>
    <n v="1.209375E-2"/>
    <x v="677"/>
    <n v="2"/>
    <x v="1050"/>
    <n v="20"/>
    <n v="0.1"/>
    <n v="1.3333333333333333"/>
    <n v="1.4333333333333333"/>
    <n v="5.5764448128848891E-2"/>
    <n v="6188.5079494315696"/>
    <s v="C"/>
  </r>
  <r>
    <x v="5"/>
    <s v="MATERIAL HIDRÁULICO"/>
    <s v="ANEL"/>
    <s v="AA33"/>
    <s v="CAIXA"/>
    <n v="15"/>
    <x v="41"/>
    <n v="15"/>
    <n v="20"/>
    <n v="30"/>
    <n v="0.5"/>
    <n v="8.9999999999999993E-3"/>
    <x v="401"/>
    <n v="5"/>
    <x v="1051"/>
    <n v="20"/>
    <n v="0.25"/>
    <n v="3.333333333333333"/>
    <n v="3.583333333333333"/>
    <n v="5.5512790146849837E-2"/>
    <n v="6188.5634622217167"/>
    <s v="C"/>
  </r>
  <r>
    <x v="5"/>
    <s v="MATERIAL HIDRÁULICO"/>
    <s v="JUNÇÃO SIMPLES ESGOTO"/>
    <s v="DUPLO"/>
    <s v="CAIXA"/>
    <n v="14.9"/>
    <x v="212"/>
    <n v="17.5"/>
    <n v="35"/>
    <n v="25"/>
    <n v="11.7"/>
    <n v="1.53125E-2"/>
    <x v="678"/>
    <n v="5"/>
    <x v="1052"/>
    <n v="20"/>
    <n v="0.25"/>
    <n v="3.333333333333333"/>
    <n v="3.583333333333333"/>
    <n v="5.5142704879204169E-2"/>
    <n v="6188.6186049265962"/>
    <s v="C"/>
  </r>
  <r>
    <x v="5"/>
    <s v="FERRAMENTAS"/>
    <s v="CHAVE FIXA"/>
    <s v="F1415"/>
    <s v="CAIXA "/>
    <n v="36"/>
    <x v="306"/>
    <n v="200"/>
    <n v="360"/>
    <n v="380"/>
    <n v="32"/>
    <n v="27.36"/>
    <x v="679"/>
    <n v="2"/>
    <x v="1053"/>
    <n v="20"/>
    <n v="0.1"/>
    <n v="1.3333333333333333"/>
    <n v="1.4333333333333333"/>
    <n v="5.3292278540975839E-2"/>
    <n v="6188.6718972051367"/>
    <s v="C"/>
  </r>
  <r>
    <x v="5"/>
    <s v="FERRAMENTAS"/>
    <s v="OCULOS ACRILICO C/ LENTE VERD"/>
    <s v="A5CS"/>
    <s v="CAIXA "/>
    <n v="35.6"/>
    <x v="310"/>
    <n v="22"/>
    <n v="10"/>
    <n v="20"/>
    <n v="60"/>
    <n v="4.4000000000000003E-3"/>
    <x v="680"/>
    <n v="2"/>
    <x v="1054"/>
    <n v="20"/>
    <n v="0.1"/>
    <n v="1.3333333333333333"/>
    <n v="1.4333333333333333"/>
    <n v="5.2700142112742779E-2"/>
    <n v="6188.7245973472491"/>
    <s v="C"/>
  </r>
  <r>
    <x v="5"/>
    <s v="FERRAMENTAS"/>
    <s v="OCULOS ACRILICO C/ LENTE TRANSPARENTE"/>
    <s v="5C9C"/>
    <s v="CAIXA "/>
    <n v="35.6"/>
    <x v="311"/>
    <n v="130"/>
    <n v="270"/>
    <n v="90"/>
    <n v="15"/>
    <n v="3.1589999999999998"/>
    <x v="681"/>
    <n v="2"/>
    <x v="1054"/>
    <n v="20"/>
    <n v="0.1"/>
    <n v="1.3333333333333333"/>
    <n v="1.4333333333333333"/>
    <n v="5.2700142112742779E-2"/>
    <n v="6188.7772974893614"/>
    <s v="C"/>
  </r>
  <r>
    <x v="5"/>
    <s v="FERRAMENTAS"/>
    <s v="OCULOS ACRILICO C/ LENTE AZUL"/>
    <s v="5C9A"/>
    <s v="CAIXA "/>
    <n v="35.200000000000003"/>
    <x v="310"/>
    <n v="12"/>
    <n v="91"/>
    <n v="20"/>
    <n v="74.5"/>
    <n v="2.1839999999999998E-2"/>
    <x v="682"/>
    <n v="2"/>
    <x v="1055"/>
    <n v="20"/>
    <n v="0.1"/>
    <n v="1.3333333333333333"/>
    <n v="1.4333333333333333"/>
    <n v="5.2108005684509719E-2"/>
    <n v="6188.8294054950456"/>
    <s v="C"/>
  </r>
  <r>
    <x v="5"/>
    <s v="FERRAMENTAS"/>
    <s v="CHAVE COMBINADA"/>
    <s v="EF112"/>
    <s v="CAIXA "/>
    <n v="34"/>
    <x v="178"/>
    <n v="380"/>
    <n v="320"/>
    <n v="260"/>
    <n v="12.5"/>
    <n v="31.616"/>
    <x v="683"/>
    <n v="2"/>
    <x v="1056"/>
    <n v="20"/>
    <n v="0.1"/>
    <n v="1.3333333333333333"/>
    <n v="1.4333333333333333"/>
    <n v="5.0331596399810517E-2"/>
    <n v="6188.8797370914453"/>
    <s v="C"/>
  </r>
  <r>
    <x v="5"/>
    <s v="FERRAMENTAS"/>
    <s v="MANGUEIRA FLÉX P/ JARDIM VERDE"/>
    <s v="VIJ - 386"/>
    <s v="PALETE "/>
    <n v="33.950000000000003"/>
    <x v="312"/>
    <n v="3.2"/>
    <n v="3.2"/>
    <n v="10000"/>
    <n v="10.6"/>
    <n v="0.1024"/>
    <x v="684"/>
    <n v="2"/>
    <x v="1057"/>
    <n v="20"/>
    <n v="0.1"/>
    <n v="1.3333333333333333"/>
    <n v="1.4333333333333333"/>
    <n v="5.0257579346281389E-2"/>
    <n v="6188.9299946707915"/>
    <s v="C"/>
  </r>
  <r>
    <x v="5"/>
    <s v="FERRAMENTAS"/>
    <s v="MANGUEIRA FLÉX P/ JARDIM BRANCO"/>
    <s v="VIJ - 387"/>
    <s v="PALETE "/>
    <n v="33.950000000000003"/>
    <x v="312"/>
    <n v="3.2"/>
    <n v="3.2"/>
    <n v="10000"/>
    <n v="10.6"/>
    <n v="0.1024"/>
    <x v="684"/>
    <n v="2"/>
    <x v="1057"/>
    <n v="20"/>
    <n v="0.1"/>
    <n v="1.3333333333333333"/>
    <n v="1.4333333333333333"/>
    <n v="5.0257579346281389E-2"/>
    <n v="6188.9802522501377"/>
    <s v="C"/>
  </r>
  <r>
    <x v="5"/>
    <s v="FERRAMENTAS"/>
    <s v="MANGUEIRA FLÉX P/ JARDIM LARANJA"/>
    <s v="VIJ - 388"/>
    <s v="PALETE "/>
    <n v="33.950000000000003"/>
    <x v="312"/>
    <n v="3.2"/>
    <n v="3.2"/>
    <n v="10000"/>
    <n v="10.6"/>
    <n v="0.1024"/>
    <x v="684"/>
    <n v="2"/>
    <x v="1057"/>
    <n v="20"/>
    <n v="0.1"/>
    <n v="1.3333333333333333"/>
    <n v="1.4333333333333333"/>
    <n v="5.0257579346281389E-2"/>
    <n v="6189.0305098294839"/>
    <s v="C"/>
  </r>
  <r>
    <x v="5"/>
    <s v="FERRAMENTAS"/>
    <s v="MANGUEIRA FLÉX P/ JARDIM AMARELA"/>
    <s v="VIJ - 389"/>
    <s v="PALETE "/>
    <n v="33.950000000000003"/>
    <x v="312"/>
    <n v="3.2"/>
    <n v="3.2"/>
    <n v="10000"/>
    <n v="10.6"/>
    <n v="0.1024"/>
    <x v="684"/>
    <n v="2"/>
    <x v="1057"/>
    <n v="20"/>
    <n v="0.1"/>
    <n v="1.3333333333333333"/>
    <n v="1.4333333333333333"/>
    <n v="5.0257579346281389E-2"/>
    <n v="6189.0807674088301"/>
    <s v="C"/>
  </r>
  <r>
    <x v="5"/>
    <s v="FERRAMENTAS"/>
    <s v="MANGUEIRA JARDIM VERDE "/>
    <s v="635"/>
    <s v="PALETE "/>
    <n v="33.9"/>
    <x v="223"/>
    <n v="5.0999999999999996"/>
    <n v="2.9"/>
    <n v="8000"/>
    <n v="11.2"/>
    <n v="0.11831999999999998"/>
    <x v="685"/>
    <n v="2"/>
    <x v="1058"/>
    <n v="20"/>
    <n v="0.1"/>
    <n v="1.3333333333333333"/>
    <n v="1.4333333333333333"/>
    <n v="5.0183562292752247E-2"/>
    <n v="6189.1309509711227"/>
    <s v="C"/>
  </r>
  <r>
    <x v="5"/>
    <s v="FERRAMENTAS"/>
    <s v="MANGUEIRA JARDIM AMARELA "/>
    <s v="635"/>
    <s v="PALETE "/>
    <n v="33.9"/>
    <x v="223"/>
    <n v="5.0999999999999996"/>
    <n v="2.9"/>
    <n v="8000"/>
    <n v="11.2"/>
    <n v="0.11831999999999998"/>
    <x v="685"/>
    <n v="2"/>
    <x v="1058"/>
    <n v="20"/>
    <n v="0.1"/>
    <n v="1.3333333333333333"/>
    <n v="1.4333333333333333"/>
    <n v="5.0183562292752247E-2"/>
    <n v="6189.1811345334154"/>
    <s v="C"/>
  </r>
  <r>
    <x v="5"/>
    <s v="FERRAMENTAS"/>
    <s v="MACHADO "/>
    <s v="ADC33"/>
    <s v="CAIXA "/>
    <n v="32.799999999999997"/>
    <x v="178"/>
    <n v="44.5"/>
    <n v="26.5"/>
    <n v="13.5"/>
    <n v="10.425000000000001"/>
    <n v="1.5919875E-2"/>
    <x v="686"/>
    <n v="2"/>
    <x v="1059"/>
    <n v="20"/>
    <n v="0.1"/>
    <n v="1.3333333333333333"/>
    <n v="1.4333333333333333"/>
    <n v="4.8555187115111316E-2"/>
    <n v="6189.2296897205306"/>
    <s v="C"/>
  </r>
  <r>
    <x v="5"/>
    <s v="MATERIAL HIDRÁULICO"/>
    <s v="JUNÇÃO SIMPLES ESGOTO"/>
    <s v="DUPLO"/>
    <s v="CAIXA"/>
    <n v="12.5"/>
    <x v="212"/>
    <n v="25"/>
    <n v="30"/>
    <n v="25"/>
    <n v="7.8"/>
    <n v="1.8749999999999999E-2"/>
    <x v="459"/>
    <n v="5"/>
    <x v="1060"/>
    <n v="20"/>
    <n v="0.25"/>
    <n v="3.333333333333333"/>
    <n v="3.583333333333333"/>
    <n v="4.6260658455708197E-2"/>
    <n v="6189.2759503789866"/>
    <s v="C"/>
  </r>
  <r>
    <x v="5"/>
    <s v="FERRAMENTAS"/>
    <s v="TESOURAS  PICOTE  VERDE"/>
    <s v="TAP 02"/>
    <s v="CAIXA "/>
    <n v="25.9"/>
    <x v="313"/>
    <n v="21.3"/>
    <n v="9.3000000000000007"/>
    <n v="3"/>
    <n v="7.5"/>
    <n v="5.9427000000000004E-4"/>
    <x v="687"/>
    <n v="2"/>
    <x v="1061"/>
    <n v="20"/>
    <n v="0.1"/>
    <n v="1.3333333333333333"/>
    <n v="1.4333333333333333"/>
    <n v="3.8340833728090953E-2"/>
    <n v="6189.314291212715"/>
    <s v="C"/>
  </r>
  <r>
    <x v="5"/>
    <s v="FERRAMENTAS"/>
    <s v="TESOURAS PICOTE  PRETA"/>
    <s v="TAP 03"/>
    <s v="CAIXA "/>
    <n v="25.9"/>
    <x v="313"/>
    <n v="21.3"/>
    <n v="9.3000000000000007"/>
    <n v="3"/>
    <n v="7.5"/>
    <n v="5.9427000000000004E-4"/>
    <x v="687"/>
    <n v="2"/>
    <x v="1061"/>
    <n v="20"/>
    <n v="0.1"/>
    <n v="1.3333333333333333"/>
    <n v="1.4333333333333333"/>
    <n v="3.8340833728090953E-2"/>
    <n v="6189.3526320464434"/>
    <s v="C"/>
  </r>
  <r>
    <x v="5"/>
    <s v="FERRAMENTAS"/>
    <s v="TESOURAS PICOTE  AZUL"/>
    <s v="TAP 04"/>
    <s v="CAIXA "/>
    <n v="25.9"/>
    <x v="314"/>
    <n v="21.3"/>
    <n v="9.3000000000000007"/>
    <n v="3"/>
    <n v="7.5"/>
    <n v="5.9427000000000004E-4"/>
    <x v="687"/>
    <n v="2"/>
    <x v="1061"/>
    <n v="20"/>
    <n v="0.1"/>
    <n v="1.3333333333333333"/>
    <n v="1.4333333333333333"/>
    <n v="3.8340833728090953E-2"/>
    <n v="6189.3909728801718"/>
    <s v="C"/>
  </r>
  <r>
    <x v="5"/>
    <s v="MATERIAL ELÉTRICO"/>
    <s v="CONECTOR"/>
    <s v="5700919"/>
    <s v="SACO"/>
    <n v="1.27"/>
    <x v="302"/>
    <n v="4"/>
    <n v="2"/>
    <n v="5"/>
    <n v="0.5"/>
    <n v="4.0000000000000003E-5"/>
    <x v="688"/>
    <n v="40"/>
    <x v="1062"/>
    <n v="20"/>
    <n v="2"/>
    <n v="26.666666666666664"/>
    <n v="28.666666666666664"/>
    <n v="3.7600663192799623E-2"/>
    <n v="6189.428573543365"/>
    <s v="C"/>
  </r>
  <r>
    <x v="5"/>
    <s v="MATERIAL HIDRÁULICO"/>
    <s v="ADAPTADOS"/>
    <s v="SD02"/>
    <s v="CAIXA"/>
    <n v="9.9"/>
    <x v="272"/>
    <n v="110"/>
    <n v="90"/>
    <n v="100"/>
    <n v="1.6"/>
    <n v="0.99"/>
    <x v="568"/>
    <n v="5"/>
    <x v="1063"/>
    <n v="20"/>
    <n v="0.25"/>
    <n v="3.333333333333333"/>
    <n v="3.583333333333333"/>
    <n v="3.6638441496920894E-2"/>
    <n v="6189.4652119848615"/>
    <s v="C"/>
  </r>
  <r>
    <x v="5"/>
    <s v="MATERIAL ELÉTRICO"/>
    <s v="CONECTOR"/>
    <s v="1110222"/>
    <s v="SACO"/>
    <n v="2.0099999999999998"/>
    <x v="302"/>
    <n v="4"/>
    <n v="2"/>
    <n v="5"/>
    <n v="0.5"/>
    <n v="4.0000000000000003E-5"/>
    <x v="653"/>
    <n v="24"/>
    <x v="1064"/>
    <n v="20"/>
    <n v="1.2"/>
    <n v="16"/>
    <n v="17.2"/>
    <n v="3.5705826622453814E-2"/>
    <n v="6189.5009178114842"/>
    <s v="C"/>
  </r>
  <r>
    <x v="5"/>
    <s v="MATERIAL HIDRÁULICO"/>
    <s v="JOELHO"/>
    <s v="5100112"/>
    <s v="CAIXA"/>
    <n v="9"/>
    <x v="272"/>
    <n v="110"/>
    <n v="90"/>
    <n v="100"/>
    <n v="1.95"/>
    <n v="0.99"/>
    <x v="568"/>
    <n v="5"/>
    <x v="1065"/>
    <n v="20"/>
    <n v="0.25"/>
    <n v="3.333333333333333"/>
    <n v="3.583333333333333"/>
    <n v="3.3307674088109904E-2"/>
    <n v="6189.5342254855723"/>
    <s v="C"/>
  </r>
  <r>
    <x v="5"/>
    <s v="MATERIAL HIDRÁULICO"/>
    <s v="JOELHO"/>
    <s v="5100114"/>
    <s v="CAIXA"/>
    <n v="9"/>
    <x v="212"/>
    <n v="100"/>
    <n v="100"/>
    <n v="100"/>
    <n v="1.6"/>
    <n v="1"/>
    <x v="76"/>
    <n v="5"/>
    <x v="1065"/>
    <n v="20"/>
    <n v="0.25"/>
    <n v="3.333333333333333"/>
    <n v="3.583333333333333"/>
    <n v="3.3307674088109904E-2"/>
    <n v="6189.5675331596603"/>
    <s v="C"/>
  </r>
  <r>
    <x v="5"/>
    <s v="MATERIAL HIDRÁULICO"/>
    <s v="TE"/>
    <s v="TT66"/>
    <s v="CAIXA"/>
    <n v="9"/>
    <x v="272"/>
    <n v="110"/>
    <n v="90"/>
    <n v="100"/>
    <n v="1.55"/>
    <n v="0.99"/>
    <x v="568"/>
    <n v="5"/>
    <x v="1065"/>
    <n v="20"/>
    <n v="0.25"/>
    <n v="3.333333333333333"/>
    <n v="3.583333333333333"/>
    <n v="3.3307674088109904E-2"/>
    <n v="6189.6008408337484"/>
    <s v="C"/>
  </r>
  <r>
    <x v="5"/>
    <s v="MATERIAL HIDRÁULICO"/>
    <s v="CAP"/>
    <s v="C2000"/>
    <s v="CAIXA"/>
    <n v="9"/>
    <x v="272"/>
    <n v="110"/>
    <n v="90"/>
    <n v="100"/>
    <n v="1"/>
    <n v="0.99"/>
    <x v="568"/>
    <n v="5"/>
    <x v="1065"/>
    <n v="20"/>
    <n v="0.25"/>
    <n v="3.333333333333333"/>
    <n v="3.583333333333333"/>
    <n v="3.3307674088109904E-2"/>
    <n v="6189.6341485078365"/>
    <s v="C"/>
  </r>
  <r>
    <x v="5"/>
    <s v="MATERIAL HIDRÁULICO"/>
    <s v="ADAPTADOS"/>
    <s v="5140116"/>
    <s v="CAIXA"/>
    <n v="9"/>
    <x v="212"/>
    <n v="100"/>
    <n v="100"/>
    <n v="100"/>
    <n v="0.88"/>
    <n v="1"/>
    <x v="76"/>
    <n v="5"/>
    <x v="1065"/>
    <n v="20"/>
    <n v="0.25"/>
    <n v="3.333333333333333"/>
    <n v="3.583333333333333"/>
    <n v="3.3307674088109904E-2"/>
    <n v="6189.6674561819245"/>
    <s v="C"/>
  </r>
  <r>
    <x v="5"/>
    <s v="MATERIAL HIDRÁULICO"/>
    <s v="CAP"/>
    <s v="C2001"/>
    <s v="CAIXA"/>
    <n v="9"/>
    <x v="272"/>
    <n v="110"/>
    <n v="90"/>
    <n v="100"/>
    <n v="0.5"/>
    <n v="0.99"/>
    <x v="568"/>
    <n v="5"/>
    <x v="1065"/>
    <n v="20"/>
    <n v="0.25"/>
    <n v="3.333333333333333"/>
    <n v="3.583333333333333"/>
    <n v="3.3307674088109904E-2"/>
    <n v="6189.7007638560126"/>
    <s v="C"/>
  </r>
  <r>
    <x v="5"/>
    <s v="FERRAMENTAS"/>
    <s v="BALDE BALAIO DE LIMPEZA AZUL "/>
    <s v="BLS 776"/>
    <s v="PALETE "/>
    <n v="21.5"/>
    <x v="315"/>
    <n v="42.9"/>
    <n v="25.9"/>
    <n v="19.5"/>
    <n v="7.2"/>
    <n v="2.1666644999999998E-2"/>
    <x v="689"/>
    <n v="2"/>
    <x v="1066"/>
    <n v="20"/>
    <n v="0.1"/>
    <n v="1.3333333333333333"/>
    <n v="1.4333333333333333"/>
    <n v="3.1827333017527236E-2"/>
    <n v="6189.7325911890302"/>
    <s v="C"/>
  </r>
  <r>
    <x v="5"/>
    <s v="FERRAMENTAS"/>
    <s v="TESOURA BRANCA "/>
    <s v="TT 856"/>
    <s v="CAIXA "/>
    <n v="20.9"/>
    <x v="316"/>
    <n v="20"/>
    <n v="10"/>
    <n v="2.5"/>
    <n v="6"/>
    <n v="5.0000000000000001E-4"/>
    <x v="690"/>
    <n v="2"/>
    <x v="1067"/>
    <n v="20"/>
    <n v="0.1"/>
    <n v="1.3333333333333333"/>
    <n v="1.4333333333333333"/>
    <n v="3.0939128375177639E-2"/>
    <n v="6189.7635303174056"/>
    <s v="C"/>
  </r>
  <r>
    <x v="5"/>
    <s v="FERRAMENTAS"/>
    <s v="TESOURA PRETA"/>
    <s v="TT857"/>
    <s v="CAIXA "/>
    <n v="20.9"/>
    <x v="316"/>
    <n v="20"/>
    <n v="10"/>
    <n v="2.5"/>
    <n v="6"/>
    <n v="5.0000000000000001E-4"/>
    <x v="690"/>
    <n v="2"/>
    <x v="1067"/>
    <n v="20"/>
    <n v="0.1"/>
    <n v="1.3333333333333333"/>
    <n v="1.4333333333333333"/>
    <n v="3.0939128375177639E-2"/>
    <n v="6189.794469445781"/>
    <s v="C"/>
  </r>
  <r>
    <x v="5"/>
    <s v="FERRAMENTAS"/>
    <s v="DESEMPENADEIRA AÇO ZINCO "/>
    <s v="1058"/>
    <s v="CAIXA "/>
    <n v="20.9"/>
    <x v="18"/>
    <n v="2.2000000000000002"/>
    <n v="20"/>
    <n v="12"/>
    <n v="4"/>
    <n v="5.2800000000000004E-4"/>
    <x v="691"/>
    <n v="2"/>
    <x v="1067"/>
    <n v="20"/>
    <n v="0.1"/>
    <n v="1.3333333333333333"/>
    <n v="1.4333333333333333"/>
    <n v="3.0939128375177639E-2"/>
    <n v="6189.8254085741564"/>
    <s v="C"/>
  </r>
  <r>
    <x v="5"/>
    <s v="FERRAMENTAS"/>
    <s v="MACHADO DE BICO"/>
    <s v="2AC5A"/>
    <s v="CAIXA "/>
    <n v="20.8"/>
    <x v="195"/>
    <n v="140.5"/>
    <n v="8.5"/>
    <n v="8.5"/>
    <n v="12.005000000000001"/>
    <n v="1.0151125E-2"/>
    <x v="692"/>
    <n v="2"/>
    <x v="1068"/>
    <n v="20"/>
    <n v="0.1"/>
    <n v="1.3333333333333333"/>
    <n v="1.4333333333333333"/>
    <n v="3.0791094268119375E-2"/>
    <n v="6189.8561996684248"/>
    <s v="C"/>
  </r>
  <r>
    <x v="5"/>
    <s v="FERRAMENTAS"/>
    <s v="MACHADO DAN"/>
    <s v="A2DXA"/>
    <s v="CAIXA "/>
    <n v="20.36"/>
    <x v="317"/>
    <n v="40.5"/>
    <n v="21.5"/>
    <n v="4.5"/>
    <n v="8.5050000000000008"/>
    <n v="3.918375E-3"/>
    <x v="693"/>
    <n v="2"/>
    <x v="1069"/>
    <n v="20"/>
    <n v="0.1"/>
    <n v="1.3333333333333333"/>
    <n v="1.4333333333333333"/>
    <n v="3.0139744197063004E-2"/>
    <n v="6189.886339412622"/>
    <s v="C"/>
  </r>
  <r>
    <x v="5"/>
    <s v="MATERIAL ELÉTRICO"/>
    <s v="CONECTOR"/>
    <s v="1110241"/>
    <s v="SACO"/>
    <n v="1.66"/>
    <x v="302"/>
    <n v="4"/>
    <n v="2"/>
    <n v="5"/>
    <n v="0.5"/>
    <n v="4.0000000000000003E-5"/>
    <x v="653"/>
    <n v="24"/>
    <x v="1070"/>
    <n v="20"/>
    <n v="1.2"/>
    <n v="16"/>
    <n v="17.2"/>
    <n v="2.948839412600663E-2"/>
    <n v="6189.915827806748"/>
    <s v="C"/>
  </r>
  <r>
    <x v="5"/>
    <s v="FERRAMENTAS"/>
    <s v="TESOURA PARA CORTAR GRAMA "/>
    <s v="GT 02369"/>
    <s v="CAIXA "/>
    <n v="19.899999999999999"/>
    <x v="318"/>
    <n v="20"/>
    <n v="10"/>
    <n v="5"/>
    <n v="6"/>
    <n v="1E-3"/>
    <x v="694"/>
    <n v="2"/>
    <x v="1071"/>
    <n v="20"/>
    <n v="0.1"/>
    <n v="1.3333333333333333"/>
    <n v="1.4333333333333333"/>
    <n v="2.9458787304594978E-2"/>
    <n v="6189.945286594053"/>
    <s v="C"/>
  </r>
  <r>
    <x v="5"/>
    <s v="MATERIAL ELÉTRICO"/>
    <s v="CONECTOR"/>
    <s v="1110240"/>
    <s v="SACO"/>
    <n v="1.6"/>
    <x v="302"/>
    <n v="4"/>
    <n v="2"/>
    <n v="5"/>
    <n v="0.5"/>
    <n v="4.0000000000000003E-5"/>
    <x v="653"/>
    <n v="24"/>
    <x v="1072"/>
    <n v="20"/>
    <n v="1.2"/>
    <n v="16"/>
    <n v="17.2"/>
    <n v="2.8422548555187121E-2"/>
    <n v="6189.9737091426077"/>
    <s v="C"/>
  </r>
  <r>
    <x v="5"/>
    <s v="MATERIAL HIDRÁULICO"/>
    <s v="JUNÇÃO SIMPLES ESGOTO"/>
    <s v="DUPLO"/>
    <s v="CAIXA"/>
    <n v="9.5"/>
    <x v="212"/>
    <n v="25"/>
    <n v="50"/>
    <n v="25"/>
    <n v="5.55"/>
    <n v="3.125E-2"/>
    <x v="695"/>
    <n v="4"/>
    <x v="1073"/>
    <n v="20"/>
    <n v="0.2"/>
    <n v="2.6666666666666665"/>
    <n v="2.8666666666666667"/>
    <n v="2.8126480341070584E-2"/>
    <n v="6190.0018356229484"/>
    <s v="C"/>
  </r>
  <r>
    <x v="5"/>
    <s v="FERRAMENTAS"/>
    <s v="BALDE OBA 15 LT  "/>
    <s v="BO 605/78"/>
    <s v="PALETE "/>
    <n v="18"/>
    <x v="315"/>
    <n v="33.799999999999997"/>
    <n v="31.15"/>
    <n v="17.5"/>
    <n v="16"/>
    <n v="1.8425225E-2"/>
    <x v="696"/>
    <n v="2"/>
    <x v="1074"/>
    <n v="20"/>
    <n v="0.1"/>
    <n v="1.3333333333333333"/>
    <n v="1.4333333333333333"/>
    <n v="2.6646139270487919E-2"/>
    <n v="6190.0284817622187"/>
    <s v="C"/>
  </r>
  <r>
    <x v="5"/>
    <s v="FERRAMENTAS"/>
    <s v="BALDE OBA 15 LT "/>
    <s v="BO 606/79"/>
    <s v="PALETE "/>
    <n v="18"/>
    <x v="315"/>
    <n v="33.799999999999997"/>
    <n v="31.15"/>
    <n v="17.5"/>
    <n v="16"/>
    <n v="1.8425225E-2"/>
    <x v="696"/>
    <n v="2"/>
    <x v="1074"/>
    <n v="20"/>
    <n v="0.1"/>
    <n v="1.3333333333333333"/>
    <n v="1.4333333333333333"/>
    <n v="2.6646139270487919E-2"/>
    <n v="6190.055127901489"/>
    <s v="C"/>
  </r>
  <r>
    <x v="5"/>
    <s v="MATERIAL HIDRÁULICO"/>
    <s v="NÍPEL"/>
    <s v="N3998"/>
    <s v="CAIXA"/>
    <n v="7.2"/>
    <x v="272"/>
    <n v="110"/>
    <n v="90"/>
    <n v="100"/>
    <n v="0.88"/>
    <n v="0.99"/>
    <x v="568"/>
    <n v="5"/>
    <x v="1074"/>
    <n v="20"/>
    <n v="0.25"/>
    <n v="3.333333333333333"/>
    <n v="3.583333333333333"/>
    <n v="2.6646139270487919E-2"/>
    <n v="6190.0817740407592"/>
    <s v="C"/>
  </r>
  <r>
    <x v="5"/>
    <s v="FERRAMENTAS"/>
    <s v="PULVERIZADOR COM PRESSÃO AMARELO "/>
    <s v="SX - 579"/>
    <s v="CAIXA "/>
    <n v="15.9"/>
    <x v="319"/>
    <n v="40.200000000000003"/>
    <n v="10"/>
    <n v="6"/>
    <n v="12"/>
    <n v="2.4120000000000001E-3"/>
    <x v="697"/>
    <n v="2"/>
    <x v="1075"/>
    <n v="20"/>
    <n v="0.1"/>
    <n v="1.3333333333333333"/>
    <n v="1.4333333333333333"/>
    <n v="2.3537423022264331E-2"/>
    <n v="6190.1053114637816"/>
    <s v="C"/>
  </r>
  <r>
    <x v="5"/>
    <s v="FERRAMENTAS"/>
    <s v="PULVERIZADOR COM PRESSÃO VERDE "/>
    <s v="SX - 580"/>
    <s v="CAIXA "/>
    <n v="15.9"/>
    <x v="319"/>
    <n v="40.200000000000003"/>
    <n v="10"/>
    <n v="6"/>
    <n v="12"/>
    <n v="2.4120000000000001E-3"/>
    <x v="697"/>
    <n v="2"/>
    <x v="1075"/>
    <n v="20"/>
    <n v="0.1"/>
    <n v="1.3333333333333333"/>
    <n v="1.4333333333333333"/>
    <n v="2.3537423022264331E-2"/>
    <n v="6190.128848886804"/>
    <s v="C"/>
  </r>
  <r>
    <x v="5"/>
    <s v="FERRAMENTAS"/>
    <s v="PULVERIZADOR COM PRESSÃO AZUL "/>
    <s v="SX - 581"/>
    <s v="CAIXA "/>
    <n v="15.9"/>
    <x v="319"/>
    <n v="40.200000000000003"/>
    <n v="10"/>
    <n v="6"/>
    <n v="12"/>
    <n v="2.4120000000000001E-3"/>
    <x v="697"/>
    <n v="2"/>
    <x v="1075"/>
    <n v="20"/>
    <n v="0.1"/>
    <n v="1.3333333333333333"/>
    <n v="1.4333333333333333"/>
    <n v="2.3537423022264331E-2"/>
    <n v="6190.1523863098264"/>
    <s v="C"/>
  </r>
  <r>
    <x v="5"/>
    <s v="FERRAMENTAS"/>
    <s v="PULVERIZADOR COM PRESSÃO VERMELHO "/>
    <s v="SX - 582"/>
    <s v="CAIXA "/>
    <n v="15.9"/>
    <x v="319"/>
    <n v="40.200000000000003"/>
    <n v="10"/>
    <n v="6"/>
    <n v="12"/>
    <n v="2.4120000000000001E-3"/>
    <x v="697"/>
    <n v="2"/>
    <x v="1075"/>
    <n v="20"/>
    <n v="0.1"/>
    <n v="1.3333333333333333"/>
    <n v="1.4333333333333333"/>
    <n v="2.3537423022264331E-2"/>
    <n v="6190.1759237328488"/>
    <s v="C"/>
  </r>
  <r>
    <x v="5"/>
    <s v="FERRAMENTAS"/>
    <s v="BALDE ALUMINIO 15LT"/>
    <s v="BA 20001"/>
    <s v="PALETE "/>
    <n v="15.9"/>
    <x v="285"/>
    <n v="38.200000000000003"/>
    <n v="36"/>
    <n v="23"/>
    <n v="8.5"/>
    <n v="3.1629600000000001E-2"/>
    <x v="698"/>
    <n v="2"/>
    <x v="1075"/>
    <n v="20"/>
    <n v="0.1"/>
    <n v="1.3333333333333333"/>
    <n v="1.4333333333333333"/>
    <n v="2.3537423022264331E-2"/>
    <n v="6190.1994611558712"/>
    <s v="C"/>
  </r>
  <r>
    <x v="5"/>
    <s v="FERRAMENTAS"/>
    <s v="CAIXA DE FERRAMENTA C/ 55 PEÇAS"/>
    <s v="C2A2S"/>
    <s v="CAIXA "/>
    <n v="15.6"/>
    <x v="320"/>
    <n v="29.5"/>
    <n v="25.5"/>
    <n v="7.5"/>
    <n v="8.7050000000000001"/>
    <n v="5.6418750000000002E-3"/>
    <x v="699"/>
    <n v="2"/>
    <x v="1076"/>
    <n v="20"/>
    <n v="0.1"/>
    <n v="1.3333333333333333"/>
    <n v="1.4333333333333333"/>
    <n v="2.3093320701089531E-2"/>
    <n v="6190.2225544765724"/>
    <s v="C"/>
  </r>
  <r>
    <x v="5"/>
    <s v="MATERIAL ELÉTRICO"/>
    <s v="CONECTOR"/>
    <s v="1110200"/>
    <s v="SACO"/>
    <n v="1.21"/>
    <x v="302"/>
    <n v="4"/>
    <n v="2"/>
    <n v="5"/>
    <n v="0.5"/>
    <n v="4.0000000000000003E-5"/>
    <x v="653"/>
    <n v="24"/>
    <x v="1077"/>
    <n v="20"/>
    <n v="1.2"/>
    <n v="16"/>
    <n v="17.2"/>
    <n v="2.1494552344860255E-2"/>
    <n v="6190.2440490289173"/>
    <s v="C"/>
  </r>
  <r>
    <x v="5"/>
    <s v="FERRAMENTAS"/>
    <s v="VASSOURA NOVIÇA TIPO PALHA "/>
    <s v="BT 1722"/>
    <s v="CAIXA "/>
    <n v="14"/>
    <x v="321"/>
    <n v="29"/>
    <n v="29"/>
    <n v="5"/>
    <n v="1"/>
    <n v="4.2050000000000004E-3"/>
    <x v="700"/>
    <n v="2"/>
    <x v="1078"/>
    <n v="20"/>
    <n v="0.1"/>
    <n v="1.3333333333333333"/>
    <n v="1.4333333333333333"/>
    <n v="2.0724774988157273E-2"/>
    <n v="6190.2647738039059"/>
    <s v="C"/>
  </r>
  <r>
    <x v="5"/>
    <s v="FERRAMENTAS"/>
    <s v="BALDE METALICO P/ CONCRETO METAL 15 LT "/>
    <s v="VR 331501000"/>
    <s v="PALETE "/>
    <n v="14"/>
    <x v="322"/>
    <n v="40.1"/>
    <n v="34.299999999999997"/>
    <n v="25"/>
    <n v="9"/>
    <n v="3.438575E-2"/>
    <x v="701"/>
    <n v="2"/>
    <x v="1078"/>
    <n v="20"/>
    <n v="0.1"/>
    <n v="1.3333333333333333"/>
    <n v="1.4333333333333333"/>
    <n v="2.0724774988157273E-2"/>
    <n v="6190.2854985788945"/>
    <s v="C"/>
  </r>
  <r>
    <x v="5"/>
    <s v="FERRAMENTAS"/>
    <s v="VASSOURA PALHA ESPECIAL "/>
    <s v="1810"/>
    <s v="CAIXA "/>
    <n v="12.9"/>
    <x v="285"/>
    <n v="50"/>
    <n v="42"/>
    <n v="5"/>
    <n v="5"/>
    <n v="1.0500000000000001E-2"/>
    <x v="702"/>
    <n v="2"/>
    <x v="1079"/>
    <n v="20"/>
    <n v="0.1"/>
    <n v="1.3333333333333333"/>
    <n v="1.4333333333333333"/>
    <n v="1.9096399810516345E-2"/>
    <n v="6190.3045949787047"/>
    <s v="C"/>
  </r>
  <r>
    <x v="5"/>
    <s v="FERRAMENTAS"/>
    <s v="DESEMPENADEIRA PARA MADEIRA "/>
    <s v="8703"/>
    <s v="CAIXA "/>
    <n v="12.09"/>
    <x v="18"/>
    <n v="2.6"/>
    <n v="26"/>
    <n v="14"/>
    <n v="4.5"/>
    <n v="9.4640000000000002E-4"/>
    <x v="703"/>
    <n v="2"/>
    <x v="1080"/>
    <n v="20"/>
    <n v="0.1"/>
    <n v="1.3333333333333333"/>
    <n v="1.4333333333333333"/>
    <n v="1.7897323543344387E-2"/>
    <n v="6190.3224923022481"/>
    <s v="C"/>
  </r>
  <r>
    <x v="5"/>
    <s v="FERRAMENTAS"/>
    <s v="BALDE CONCRETO METAL 10 LT PRETO "/>
    <s v="10L. PINT. S/EM"/>
    <s v="PALETE "/>
    <n v="11.5"/>
    <x v="323"/>
    <n v="34.6"/>
    <n v="32.200000000000003"/>
    <n v="20.5"/>
    <n v="18"/>
    <n v="2.2839460000000002E-2"/>
    <x v="704"/>
    <n v="2"/>
    <x v="1081"/>
    <n v="20"/>
    <n v="0.1"/>
    <n v="1.3333333333333333"/>
    <n v="1.4333333333333333"/>
    <n v="1.7023922311700617E-2"/>
    <n v="6190.3395162245597"/>
    <s v="C"/>
  </r>
  <r>
    <x v="5"/>
    <s v="FERRAMENTAS"/>
    <s v="DESEMPENADEIRA MADEIRA LISA "/>
    <s v="7620"/>
    <s v="CAIXA "/>
    <n v="11.49"/>
    <x v="18"/>
    <n v="3"/>
    <n v="20"/>
    <n v="14"/>
    <n v="3.5"/>
    <n v="8.4000000000000003E-4"/>
    <x v="705"/>
    <n v="2"/>
    <x v="1082"/>
    <n v="20"/>
    <n v="0.1"/>
    <n v="1.3333333333333333"/>
    <n v="1.4333333333333333"/>
    <n v="1.7009118900994789E-2"/>
    <n v="6190.3565253434608"/>
    <s v="C"/>
  </r>
  <r>
    <x v="5"/>
    <s v="MATERIAL ELÉTRICO"/>
    <s v="CONECTOR"/>
    <s v="638784"/>
    <s v="SACO"/>
    <n v="0.95"/>
    <x v="302"/>
    <n v="4"/>
    <n v="2"/>
    <n v="5"/>
    <n v="0.5"/>
    <n v="4.0000000000000003E-5"/>
    <x v="653"/>
    <n v="24"/>
    <x v="1083"/>
    <n v="20"/>
    <n v="1.2"/>
    <n v="16"/>
    <n v="17.2"/>
    <n v="1.6875888204642347E-2"/>
    <n v="6190.3734012316654"/>
    <s v="C"/>
  </r>
  <r>
    <x v="5"/>
    <s v="FERRAMENTAS"/>
    <s v="VASSOURA DE GRAMA FOLHITA ROXA "/>
    <s v="1662"/>
    <s v="CAIXA "/>
    <n v="10.9"/>
    <x v="285"/>
    <n v="49.5"/>
    <n v="55.8"/>
    <n v="2"/>
    <n v="4.5"/>
    <n v="5.5241999999999999E-3"/>
    <x v="706"/>
    <n v="2"/>
    <x v="1084"/>
    <n v="20"/>
    <n v="0.1"/>
    <n v="1.3333333333333333"/>
    <n v="1.4333333333333333"/>
    <n v="1.613571766935102E-2"/>
    <n v="6190.3895369493348"/>
    <s v="C"/>
  </r>
  <r>
    <x v="5"/>
    <s v="FERRAMENTAS"/>
    <s v="VASSOURA DE GRAMA FOLHITA VERDE"/>
    <s v="1662"/>
    <s v="CAIXA "/>
    <n v="10.9"/>
    <x v="285"/>
    <n v="49.5"/>
    <n v="55.8"/>
    <n v="2"/>
    <n v="4.5"/>
    <n v="5.5241999999999999E-3"/>
    <x v="706"/>
    <n v="2"/>
    <x v="1084"/>
    <n v="20"/>
    <n v="0.1"/>
    <n v="1.3333333333333333"/>
    <n v="1.4333333333333333"/>
    <n v="1.613571766935102E-2"/>
    <n v="6190.4056726670042"/>
    <s v="C"/>
  </r>
  <r>
    <x v="5"/>
    <s v="FERRAMENTAS"/>
    <s v="VASSOURA DE GRAMA FOLHITA AMARAELA "/>
    <s v="1662"/>
    <s v="CAIXA "/>
    <n v="10.9"/>
    <x v="285"/>
    <n v="49.5"/>
    <n v="55.8"/>
    <n v="2"/>
    <n v="4.5"/>
    <n v="5.5241999999999999E-3"/>
    <x v="706"/>
    <n v="2"/>
    <x v="1084"/>
    <n v="20"/>
    <n v="0.1"/>
    <n v="1.3333333333333333"/>
    <n v="1.4333333333333333"/>
    <n v="1.613571766935102E-2"/>
    <n v="6190.4218083846736"/>
    <s v="C"/>
  </r>
  <r>
    <x v="5"/>
    <s v="FERRAMENTAS"/>
    <s v="BALDE PARA MASSA"/>
    <s v="MB 0236"/>
    <s v="PALETE "/>
    <n v="10"/>
    <x v="18"/>
    <n v="48.9"/>
    <n v="39.6"/>
    <n v="16.5"/>
    <n v="12.3"/>
    <n v="3.1951259999999995E-2"/>
    <x v="707"/>
    <n v="2"/>
    <x v="1085"/>
    <n v="20"/>
    <n v="0.1"/>
    <n v="1.3333333333333333"/>
    <n v="1.4333333333333333"/>
    <n v="1.4803410705826622E-2"/>
    <n v="6190.4366117953796"/>
    <s v="C"/>
  </r>
  <r>
    <x v="5"/>
    <s v="FERRAMENTAS"/>
    <s v="BALDE PARA MASSA"/>
    <s v="MB 0237"/>
    <s v="PALETE "/>
    <n v="10"/>
    <x v="18"/>
    <n v="48.9"/>
    <n v="39.6"/>
    <n v="16.5"/>
    <n v="12.3"/>
    <n v="3.1951259999999995E-2"/>
    <x v="707"/>
    <n v="2"/>
    <x v="1085"/>
    <n v="20"/>
    <n v="0.1"/>
    <n v="1.3333333333333333"/>
    <n v="1.4333333333333333"/>
    <n v="1.4803410705826622E-2"/>
    <n v="6190.4514152060856"/>
    <s v="C"/>
  </r>
  <r>
    <x v="5"/>
    <s v="MATERIAL HIDRÁULICO"/>
    <s v="JUNÇÃO SIMPLES ESGOTO"/>
    <s v="DUPLO"/>
    <s v="CAIXA"/>
    <n v="3.9"/>
    <x v="212"/>
    <n v="12.5"/>
    <n v="80"/>
    <n v="20"/>
    <n v="25"/>
    <n v="0.02"/>
    <x v="708"/>
    <n v="5"/>
    <x v="1086"/>
    <n v="20"/>
    <n v="0.25"/>
    <n v="3.333333333333333"/>
    <n v="3.583333333333333"/>
    <n v="1.4433325438180957E-2"/>
    <n v="6190.465848531524"/>
    <s v="C"/>
  </r>
  <r>
    <x v="5"/>
    <s v="FERRAMENTAS"/>
    <s v="VASSOURA DE NYLON PRETA"/>
    <s v="7650"/>
    <s v="CAIXA "/>
    <n v="7.9"/>
    <x v="285"/>
    <n v="25.1"/>
    <n v="30.3"/>
    <n v="6"/>
    <n v="6.2"/>
    <n v="4.56318E-3"/>
    <x v="709"/>
    <n v="2"/>
    <x v="1087"/>
    <n v="20"/>
    <n v="0.1"/>
    <n v="1.3333333333333333"/>
    <n v="1.4333333333333333"/>
    <n v="1.1694694457603032E-2"/>
    <n v="6190.4775432259812"/>
    <s v="C"/>
  </r>
  <r>
    <x v="5"/>
    <s v="FERRAMENTAS"/>
    <s v="VASSOURA DE NYLON BEGE"/>
    <s v="7650"/>
    <s v="CAIXA "/>
    <n v="7.9"/>
    <x v="285"/>
    <n v="25.1"/>
    <n v="30.3"/>
    <n v="6"/>
    <n v="6.2"/>
    <n v="4.56318E-3"/>
    <x v="709"/>
    <n v="2"/>
    <x v="1087"/>
    <n v="20"/>
    <n v="0.1"/>
    <n v="1.3333333333333333"/>
    <n v="1.4333333333333333"/>
    <n v="1.1694694457603032E-2"/>
    <n v="6190.4892379204384"/>
    <s v="C"/>
  </r>
  <r>
    <x v="5"/>
    <s v="FERRAMENTAS"/>
    <s v="BALDE P/ JARDIM PRETO"/>
    <s v="1267"/>
    <s v="PALETE "/>
    <n v="6.9"/>
    <x v="18"/>
    <n v="40.5"/>
    <n v="35.700000000000003"/>
    <n v="12"/>
    <n v="15"/>
    <n v="1.73502E-2"/>
    <x v="710"/>
    <n v="2"/>
    <x v="1088"/>
    <n v="20"/>
    <n v="0.1"/>
    <n v="1.3333333333333333"/>
    <n v="1.4333333333333333"/>
    <n v="1.021435338702037E-2"/>
    <n v="6190.4994522738252"/>
    <s v="C"/>
  </r>
  <r>
    <x v="5"/>
    <s v="FERRAMENTAS"/>
    <s v="BALDE P/ JARDIM BRANCO"/>
    <s v="1267"/>
    <s v="PALETE "/>
    <n v="6.9"/>
    <x v="18"/>
    <n v="40.5"/>
    <n v="35.700000000000003"/>
    <n v="12"/>
    <n v="15"/>
    <n v="1.73502E-2"/>
    <x v="710"/>
    <n v="2"/>
    <x v="1088"/>
    <n v="20"/>
    <n v="0.1"/>
    <n v="1.3333333333333333"/>
    <n v="1.4333333333333333"/>
    <n v="1.021435338702037E-2"/>
    <n v="6190.509666627212"/>
    <s v="C"/>
  </r>
  <r>
    <x v="5"/>
    <s v="FERRAMENTAS"/>
    <s v="PULVERIZADOR BRUDDEN "/>
    <s v="BV 2036"/>
    <s v="CAIXA "/>
    <n v="4.95"/>
    <x v="319"/>
    <n v="39"/>
    <n v="16"/>
    <n v="3.6"/>
    <n v="12"/>
    <n v="2.2464E-3"/>
    <x v="711"/>
    <n v="2"/>
    <x v="1089"/>
    <n v="20"/>
    <n v="0.1"/>
    <n v="1.3333333333333333"/>
    <n v="1.4333333333333333"/>
    <n v="7.3276882993841786E-3"/>
    <n v="6190.5169943155115"/>
    <s v="C"/>
  </r>
  <r>
    <x v="5"/>
    <s v="FERRAMENTAS"/>
    <s v="PULVERIZADOR TRAK AZUL"/>
    <s v="SX - 523"/>
    <s v="CAIXA "/>
    <n v="3.9"/>
    <x v="319"/>
    <n v="30"/>
    <n v="12"/>
    <n v="4.5"/>
    <n v="8.1999999999999993"/>
    <n v="1.6199999999999999E-3"/>
    <x v="331"/>
    <n v="2"/>
    <x v="1090"/>
    <n v="20"/>
    <n v="0.1"/>
    <n v="1.3333333333333333"/>
    <n v="1.4333333333333333"/>
    <n v="5.7733301752723827E-3"/>
    <n v="6190.5227676456871"/>
    <s v="C"/>
  </r>
  <r>
    <x v="5"/>
    <s v="FERRAMENTAS"/>
    <s v="PULVERIZADOR TRAK ROXO"/>
    <s v="SX - 524"/>
    <s v="CAIXA "/>
    <n v="3.9"/>
    <x v="319"/>
    <n v="30"/>
    <n v="12"/>
    <n v="4.5"/>
    <n v="8.1999999999999993"/>
    <n v="1.6199999999999999E-3"/>
    <x v="331"/>
    <n v="2"/>
    <x v="1090"/>
    <n v="20"/>
    <n v="0.1"/>
    <n v="1.3333333333333333"/>
    <n v="1.4333333333333333"/>
    <n v="5.7733301752723827E-3"/>
    <n v="6190.5285409758626"/>
    <s v="C"/>
  </r>
  <r>
    <x v="5"/>
    <s v="FERRAMENTAS"/>
    <s v="PULVERIZADOR TRAK BRANCO "/>
    <s v="SX - 525"/>
    <s v="CAIXA "/>
    <n v="3.9"/>
    <x v="319"/>
    <n v="30"/>
    <n v="12"/>
    <n v="4.5"/>
    <n v="8.1999999999999993"/>
    <n v="1.6199999999999999E-3"/>
    <x v="331"/>
    <n v="2"/>
    <x v="1090"/>
    <n v="20"/>
    <n v="0.1"/>
    <n v="1.3333333333333333"/>
    <n v="1.4333333333333333"/>
    <n v="5.7733301752723827E-3"/>
    <n v="6190.5343143060381"/>
    <s v="C"/>
  </r>
  <r>
    <x v="6"/>
    <s v="EQUIPAMENTO"/>
    <s v="PISCINA PREMIUM 7600L"/>
    <s v="1026"/>
    <s v="PEÇA"/>
    <n v="699"/>
    <x v="324"/>
    <n v="84"/>
    <n v="442"/>
    <n v="206"/>
    <n v="38.200000000000003"/>
    <n v="7.6483679999999996"/>
    <x v="712"/>
    <n v="4"/>
    <x v="1091"/>
    <n v="60"/>
    <n v="6.6666666666666666E-2"/>
    <n v="8"/>
    <n v="8.0666666666666664"/>
    <n v="2.0695168166745619"/>
    <n v="6192.603831122713"/>
    <s v="A"/>
  </r>
  <r>
    <x v="6"/>
    <s v="EQUIPAMENTO"/>
    <s v="PISCINA PREMIUM 10000L"/>
    <s v="1027"/>
    <s v="PEÇA"/>
    <n v="900"/>
    <x v="324"/>
    <n v="84"/>
    <n v="442"/>
    <n v="270"/>
    <n v="41.1"/>
    <n v="10.024559999999999"/>
    <x v="713"/>
    <n v="3"/>
    <x v="1092"/>
    <n v="60"/>
    <n v="0.05"/>
    <n v="6"/>
    <n v="6.05"/>
    <n v="1.9984604452865942"/>
    <n v="1.9984604452865942"/>
    <s v="A"/>
  </r>
  <r>
    <x v="6"/>
    <s v="EQUIPAMENTO"/>
    <s v="CHURRASQUEIRA STYLE "/>
    <s v="98818"/>
    <s v="PEÇA"/>
    <n v="599"/>
    <x v="325"/>
    <n v="80"/>
    <n v="41"/>
    <n v="59"/>
    <n v="22"/>
    <n v="0.19352"/>
    <x v="714"/>
    <n v="3"/>
    <x v="1093"/>
    <n v="60"/>
    <n v="0.05"/>
    <n v="6"/>
    <n v="6.05"/>
    <n v="1.330086451918522"/>
    <n v="3.3285468972051162"/>
    <s v="A"/>
  </r>
  <r>
    <x v="6"/>
    <s v="EQUIPAMENTO"/>
    <s v="CHURRASQUEIRA AGR-05"/>
    <s v="59184"/>
    <s v="PEÇA"/>
    <n v="589"/>
    <x v="326"/>
    <n v="67"/>
    <n v="36"/>
    <n v="55"/>
    <n v="24"/>
    <n v="0.13266"/>
    <x v="715"/>
    <n v="3"/>
    <x v="1094"/>
    <n v="60"/>
    <n v="0.05"/>
    <n v="6"/>
    <n v="6.05"/>
    <n v="1.3078813358597821"/>
    <n v="4.6364282330648985"/>
    <s v="A"/>
  </r>
  <r>
    <x v="6"/>
    <s v="EQUIPAMENTO"/>
    <s v="BICICLETA MOUNTAIN"/>
    <s v="98088"/>
    <s v="PEÇA"/>
    <n v="391"/>
    <x v="327"/>
    <n v="60"/>
    <n v="139"/>
    <n v="89"/>
    <n v="13.2"/>
    <n v="0.74226000000000003"/>
    <x v="716"/>
    <n v="3"/>
    <x v="1095"/>
    <n v="60"/>
    <n v="0.05"/>
    <n v="6"/>
    <n v="6.05"/>
    <n v="0.86822003789673141"/>
    <n v="5.5046482709616296"/>
    <s v="A"/>
  </r>
  <r>
    <x v="6"/>
    <s v="EQUIPAMENTO"/>
    <s v="BICICLETA  FOXER HAMMER"/>
    <s v=" 095623"/>
    <s v="PEÇA"/>
    <n v="361.9"/>
    <x v="328"/>
    <n v="68"/>
    <n v="200"/>
    <n v="131"/>
    <n v="16.2"/>
    <n v="1.7816000000000001"/>
    <x v="717"/>
    <n v="3"/>
    <x v="1096"/>
    <n v="60"/>
    <n v="0.05"/>
    <n v="6"/>
    <n v="6.05"/>
    <n v="0.80360315016579809"/>
    <n v="6.3082514211274274"/>
    <s v="A"/>
  </r>
  <r>
    <x v="6"/>
    <s v="EQUIPAMENTO"/>
    <s v="PISCINA STANDART 3000L"/>
    <s v="1005"/>
    <s v="PEÇA"/>
    <n v="341"/>
    <x v="324"/>
    <n v="58"/>
    <n v="320"/>
    <n v="164"/>
    <n v="16.7"/>
    <n v="3.0438399999999999"/>
    <x v="718"/>
    <n v="3"/>
    <x v="1097"/>
    <n v="60"/>
    <n v="0.05"/>
    <n v="6"/>
    <n v="6.05"/>
    <n v="0.75719445760303172"/>
    <n v="7.0654458787304595"/>
    <s v="A"/>
  </r>
  <r>
    <x v="6"/>
    <s v="EQUIPAMENTO"/>
    <s v="BARRACA SPIDER"/>
    <s v="9052"/>
    <s v="PEÇA"/>
    <n v="439"/>
    <x v="324"/>
    <n v="159"/>
    <n v="309"/>
    <n v="280"/>
    <n v="5.7"/>
    <n v="13.756679999999999"/>
    <x v="719"/>
    <n v="2"/>
    <x v="1098"/>
    <n v="60"/>
    <n v="3.3333333333333333E-2"/>
    <n v="4"/>
    <n v="4.0333333333333332"/>
    <n v="0.64986972998578874"/>
    <n v="7.7153156087162484"/>
    <s v="B"/>
  </r>
  <r>
    <x v="6"/>
    <s v="EQUIPAMENTO"/>
    <s v="BICICLETA NINA"/>
    <s v="93318"/>
    <s v="PEÇA"/>
    <n v="415.9"/>
    <x v="328"/>
    <n v="81"/>
    <n v="138"/>
    <n v="55"/>
    <n v="10.199999999999999"/>
    <n v="0.61478999999999995"/>
    <x v="720"/>
    <n v="2"/>
    <x v="1099"/>
    <n v="60"/>
    <n v="3.3333333333333333E-2"/>
    <n v="4"/>
    <n v="4.0333333333333332"/>
    <n v="0.61567385125532925"/>
    <n v="8.3309894599715779"/>
    <s v="A"/>
  </r>
  <r>
    <x v="6"/>
    <s v="EQUIPAMENTO"/>
    <s v="COLCHÃO DE AR RELAX"/>
    <s v="9079"/>
    <s v="PEÇA"/>
    <n v="255.9"/>
    <x v="324"/>
    <n v="22"/>
    <n v="140"/>
    <n v="190"/>
    <n v="5.3"/>
    <n v="0.58520000000000005"/>
    <x v="721"/>
    <n v="3"/>
    <x v="1100"/>
    <n v="60"/>
    <n v="0.05"/>
    <n v="6"/>
    <n v="6.05"/>
    <n v="0.56822891994315494"/>
    <n v="8.899218379914732"/>
    <s v="B"/>
  </r>
  <r>
    <x v="6"/>
    <s v="EQUIPAMENTO"/>
    <s v="COLCHÃOC/ INFLADOR"/>
    <s v="3569"/>
    <s v="PEÇA"/>
    <n v="219"/>
    <x v="324"/>
    <n v="23"/>
    <n v="190"/>
    <n v="137"/>
    <n v="8.1999999999999993"/>
    <n v="0.59869000000000006"/>
    <x v="722"/>
    <n v="3"/>
    <x v="1101"/>
    <n v="60"/>
    <n v="0.05"/>
    <n v="6"/>
    <n v="6.05"/>
    <n v="0.48629204168640455"/>
    <n v="9.3855104216011362"/>
    <s v="A"/>
  </r>
  <r>
    <x v="6"/>
    <s v="EQUIPAMENTO"/>
    <s v="CHURRASQUEIRO C/ BACIA"/>
    <s v="95801"/>
    <s v="PEÇA"/>
    <n v="208.13"/>
    <x v="324"/>
    <n v="134"/>
    <n v="44"/>
    <n v="95"/>
    <n v="9.1999999999999993"/>
    <n v="0.56011999999999995"/>
    <x v="723"/>
    <n v="3"/>
    <x v="1102"/>
    <n v="60"/>
    <n v="0.05"/>
    <n v="6"/>
    <n v="6.05"/>
    <n v="0.46215508053055426"/>
    <n v="9.8476655021316901"/>
    <s v="A"/>
  </r>
  <r>
    <x v="6"/>
    <s v="EQUIPAMENTO"/>
    <s v="GUARDA-SOL ITAPUÃ"/>
    <s v="9004"/>
    <s v="PEÇA"/>
    <n v="299"/>
    <x v="324"/>
    <n v="260"/>
    <n v="300"/>
    <n v="300"/>
    <n v="7.5"/>
    <n v="23.4"/>
    <x v="724"/>
    <n v="2"/>
    <x v="1103"/>
    <n v="60"/>
    <n v="3.3333333333333333E-2"/>
    <n v="4"/>
    <n v="4.0333333333333332"/>
    <n v="0.44262198010421605"/>
    <n v="10.290287482235906"/>
    <s v="A"/>
  </r>
  <r>
    <x v="6"/>
    <s v="EQUIPAMENTO"/>
    <s v="BICICLETA INF. TINA"/>
    <s v="92347"/>
    <s v="PEÇA"/>
    <n v="179.9"/>
    <x v="328"/>
    <n v="55"/>
    <n v="82"/>
    <n v="47"/>
    <n v="4"/>
    <n v="0.21196999999999999"/>
    <x v="725"/>
    <n v="3"/>
    <x v="1104"/>
    <n v="60"/>
    <n v="0.05"/>
    <n v="6"/>
    <n v="6.05"/>
    <n v="0.39947003789673147"/>
    <n v="10.689757520132638"/>
    <s v="B"/>
  </r>
  <r>
    <x v="6"/>
    <s v="EQUIPAMENTO"/>
    <s v="BICICLETA INF. BOY"/>
    <s v="95121"/>
    <s v="PEÇA"/>
    <n v="179.9"/>
    <x v="328"/>
    <n v="55"/>
    <n v="82"/>
    <n v="47"/>
    <n v="4"/>
    <n v="0.21196999999999999"/>
    <x v="725"/>
    <n v="3"/>
    <x v="1104"/>
    <n v="60"/>
    <n v="0.05"/>
    <n v="6"/>
    <n v="6.05"/>
    <n v="0.39947003789673147"/>
    <n v="11.08922755802937"/>
    <s v="B"/>
  </r>
  <r>
    <x v="6"/>
    <s v="EQUIPAMENTO"/>
    <s v="CADEIRA ESPREGUIÇADERIA"/>
    <s v="2415"/>
    <s v="PEÇA"/>
    <n v="177.9"/>
    <x v="324"/>
    <n v="72.5"/>
    <n v="100"/>
    <n v="60"/>
    <n v="3.9"/>
    <n v="0.435"/>
    <x v="726"/>
    <n v="3"/>
    <x v="1105"/>
    <n v="60"/>
    <n v="0.05"/>
    <n v="6"/>
    <n v="6.05"/>
    <n v="0.39502901468498347"/>
    <n v="11.484256572714353"/>
    <s v="B"/>
  </r>
  <r>
    <x v="6"/>
    <s v="EQUIPAMENTO"/>
    <s v="GUARDA-SOL ORIENTAL"/>
    <s v="3747"/>
    <s v="PEÇA"/>
    <n v="251.9"/>
    <x v="324"/>
    <n v="245"/>
    <n v="270"/>
    <n v="270"/>
    <n v="7.8"/>
    <n v="17.860499999999998"/>
    <x v="727"/>
    <n v="2"/>
    <x v="1106"/>
    <n v="60"/>
    <n v="3.3333333333333333E-2"/>
    <n v="4"/>
    <n v="4.0333333333333332"/>
    <n v="0.37289791567977265"/>
    <n v="11.857154488394125"/>
    <s v="A"/>
  </r>
  <r>
    <x v="6"/>
    <s v="EQUIPAMENTO"/>
    <s v="BARRACA FOX FIT"/>
    <s v="5698"/>
    <s v="PEÇA"/>
    <n v="159.9"/>
    <x v="329"/>
    <n v="130"/>
    <n v="200"/>
    <n v="200"/>
    <n v="2.7"/>
    <n v="5.2"/>
    <x v="728"/>
    <n v="3"/>
    <x v="1107"/>
    <n v="60"/>
    <n v="0.05"/>
    <n v="6"/>
    <n v="6.05"/>
    <n v="0.35505980577925156"/>
    <n v="12.212214294173377"/>
    <s v="C"/>
  </r>
  <r>
    <x v="6"/>
    <s v="EQUIPAMENTO"/>
    <s v="PISCINA 400L"/>
    <s v="1000"/>
    <s v="PEÇA"/>
    <n v="88.4"/>
    <x v="330"/>
    <n v="33"/>
    <n v="115"/>
    <n v="33"/>
    <n v="2.7"/>
    <n v="0.12523500000000001"/>
    <x v="729"/>
    <n v="5"/>
    <x v="1108"/>
    <n v="60"/>
    <n v="8.3333333333333329E-2"/>
    <n v="10"/>
    <n v="10.083333333333334"/>
    <n v="0.32715537659876837"/>
    <n v="12.539369670772144"/>
    <s v="B"/>
  </r>
  <r>
    <x v="6"/>
    <s v="EQUIPAMENTO"/>
    <s v="BARRACA MONTANA"/>
    <s v="55085"/>
    <s v="PEÇA"/>
    <n v="133.9"/>
    <x v="331"/>
    <n v="140"/>
    <n v="240"/>
    <n v="210"/>
    <n v="2.8"/>
    <n v="7.056"/>
    <x v="730"/>
    <n v="3"/>
    <x v="1109"/>
    <n v="60"/>
    <n v="0.05"/>
    <n v="6"/>
    <n v="6.05"/>
    <n v="0.29732650402652777"/>
    <n v="12.836696174798671"/>
    <s v="B"/>
  </r>
  <r>
    <x v="6"/>
    <s v="EQUIPAMENTO"/>
    <s v="GUARDA- SOL OMBROLONE"/>
    <s v="593027"/>
    <s v="PEÇA"/>
    <n v="199"/>
    <x v="332"/>
    <n v="260"/>
    <n v="300"/>
    <n v="300"/>
    <n v="2"/>
    <n v="23.4"/>
    <x v="724"/>
    <n v="2"/>
    <x v="1110"/>
    <n v="60"/>
    <n v="3.3333333333333333E-2"/>
    <n v="4"/>
    <n v="4.0333333333333332"/>
    <n v="0.2945878730459498"/>
    <n v="13.131284047844622"/>
    <s v="C"/>
  </r>
  <r>
    <x v="6"/>
    <s v="EQUIPAMENTO"/>
    <s v="PISCINA 100L"/>
    <s v="1002"/>
    <s v="PEÇA"/>
    <n v="107.9"/>
    <x v="324"/>
    <n v="42"/>
    <n v="189"/>
    <n v="126"/>
    <n v="5.2"/>
    <n v="1.0001880000000001"/>
    <x v="731"/>
    <n v="3"/>
    <x v="1111"/>
    <n v="60"/>
    <n v="0.05"/>
    <n v="6"/>
    <n v="6.05"/>
    <n v="0.23959320227380393"/>
    <n v="13.370877250118426"/>
    <s v="B"/>
  </r>
  <r>
    <x v="6"/>
    <s v="EQUIPAMENTO"/>
    <s v="CADEIRA ESPREGUIÇADERIA"/>
    <s v="2411"/>
    <s v="PEÇA"/>
    <n v="107.9"/>
    <x v="324"/>
    <n v="70"/>
    <n v="56"/>
    <n v="182"/>
    <n v="4.7"/>
    <n v="0.71343999999999996"/>
    <x v="732"/>
    <n v="3"/>
    <x v="1111"/>
    <n v="60"/>
    <n v="0.05"/>
    <n v="6"/>
    <n v="6.05"/>
    <n v="0.23959320227380393"/>
    <n v="13.61047045239223"/>
    <s v="B"/>
  </r>
  <r>
    <x v="6"/>
    <s v="EQUIPAMENTO"/>
    <s v="BARRACA IGLU"/>
    <s v="3502"/>
    <s v="PEÇA"/>
    <n v="107.9"/>
    <x v="324"/>
    <n v="130"/>
    <n v="210"/>
    <n v="210"/>
    <n v="2.2999999999999998"/>
    <n v="5.7329999999999997"/>
    <x v="733"/>
    <n v="3"/>
    <x v="1111"/>
    <n v="60"/>
    <n v="0.05"/>
    <n v="6"/>
    <n v="6.05"/>
    <n v="0.23959320227380393"/>
    <n v="13.850063654666034"/>
    <s v="C"/>
  </r>
  <r>
    <x v="6"/>
    <s v="EQUIPAMENTO"/>
    <s v="GUARDA-SOL BANGUM"/>
    <s v="3724"/>
    <s v="PEÇA"/>
    <n v="107.9"/>
    <x v="324"/>
    <n v="200"/>
    <n v="180"/>
    <n v="180"/>
    <n v="2.2000000000000002"/>
    <n v="6.48"/>
    <x v="734"/>
    <n v="3"/>
    <x v="1111"/>
    <n v="60"/>
    <n v="0.05"/>
    <n v="6"/>
    <n v="6.05"/>
    <n v="0.23959320227380393"/>
    <n v="14.089656856939838"/>
    <s v="C"/>
  </r>
  <r>
    <x v="6"/>
    <s v="EQUIPAMENTO"/>
    <s v="COLCHÃO DE AR ELÉTRICO"/>
    <s v="8569"/>
    <s v="PEÇA"/>
    <n v="75"/>
    <x v="332"/>
    <n v="23"/>
    <n v="188"/>
    <n v="132"/>
    <n v="4"/>
    <n v="0.57076800000000005"/>
    <x v="735"/>
    <n v="3"/>
    <x v="1112"/>
    <n v="60"/>
    <n v="0.05"/>
    <n v="6"/>
    <n v="6.05"/>
    <n v="0.1665383704405495"/>
    <n v="14.256195227380388"/>
    <s v="B"/>
  </r>
  <r>
    <x v="6"/>
    <s v="EQUIPAMENTO"/>
    <s v="COLCHÃO INLÁVEL COM FOLE"/>
    <s v="11201"/>
    <s v="PEÇA"/>
    <n v="54.9"/>
    <x v="153"/>
    <n v="20"/>
    <n v="75"/>
    <n v="180"/>
    <n v="2.2000000000000002"/>
    <n v="0.27"/>
    <x v="560"/>
    <n v="4"/>
    <x v="1113"/>
    <n v="60"/>
    <n v="6.6666666666666666E-2"/>
    <n v="8"/>
    <n v="8.0666666666666664"/>
    <n v="0.16254144954997632"/>
    <n v="14.418736676930365"/>
    <s v="C"/>
  </r>
  <r>
    <x v="6"/>
    <s v="EQUIPAMENTO"/>
    <s v="CADEIRA ALTA"/>
    <s v="2101"/>
    <s v="PEÇA"/>
    <n v="48.2"/>
    <x v="330"/>
    <n v="53"/>
    <n v="72"/>
    <n v="54"/>
    <n v="1.3"/>
    <n v="0.206064"/>
    <x v="736"/>
    <n v="4"/>
    <x v="1114"/>
    <n v="60"/>
    <n v="6.6666666666666666E-2"/>
    <n v="8"/>
    <n v="8.0666666666666664"/>
    <n v="0.14270487920416866"/>
    <n v="14.561441556134534"/>
    <s v="C"/>
  </r>
  <r>
    <x v="6"/>
    <s v="EQUIPAMENTO"/>
    <s v="CADEIRA ALTA AÇO"/>
    <s v="2002"/>
    <s v="PEÇA"/>
    <n v="38.9"/>
    <x v="324"/>
    <n v="53"/>
    <n v="72"/>
    <n v="54"/>
    <n v="1.3"/>
    <n v="0.206064"/>
    <x v="737"/>
    <n v="3.2"/>
    <x v="1115"/>
    <n v="60"/>
    <n v="5.3333333333333337E-2"/>
    <n v="6.4"/>
    <n v="6.453333333333334"/>
    <n v="9.2136428233064907E-2"/>
    <n v="14.653577984367599"/>
    <s v="C"/>
  </r>
  <r>
    <x v="6"/>
    <s v="EQUIPAMENTO"/>
    <s v="CHURRASQUEIRA DESMONTÁVEL"/>
    <s v="96351"/>
    <s v="PEÇA"/>
    <n v="52.4"/>
    <x v="333"/>
    <n v="60"/>
    <n v="20"/>
    <n v="40"/>
    <n v="5.3"/>
    <n v="4.8000000000000001E-2"/>
    <x v="738"/>
    <n v="2"/>
    <x v="1116"/>
    <n v="60"/>
    <n v="3.3333333333333333E-2"/>
    <n v="4"/>
    <n v="4.0333333333333332"/>
    <n v="7.75698720985315E-2"/>
    <n v="14.73114785646613"/>
    <s v="B"/>
  </r>
  <r>
    <x v="7"/>
    <s v="FORRO"/>
    <s v="JUNÇÃO DUPLA"/>
    <s v="85228143"/>
    <s v="CAIXA"/>
    <n v="1095"/>
    <x v="258"/>
    <n v="3.25"/>
    <n v="42"/>
    <n v="7"/>
    <n v="37.5"/>
    <n v="9.5549999999999997E-4"/>
    <x v="739"/>
    <n v="1500"/>
    <x v="1117"/>
    <n v="30"/>
    <n v="50"/>
    <n v="1500"/>
    <n v="1550"/>
    <n v="1215.7301042160113"/>
    <n v="1215.7301042160113"/>
    <s v="A"/>
  </r>
  <r>
    <x v="7"/>
    <s v="FORRO"/>
    <s v="JUNÇÃO DUPLA"/>
    <s v="85228143"/>
    <s v="CAIXA"/>
    <n v="1095"/>
    <x v="258"/>
    <n v="3.25"/>
    <n v="42"/>
    <n v="7"/>
    <n v="37.5"/>
    <n v="9.5549999999999997E-4"/>
    <x v="739"/>
    <n v="1500"/>
    <x v="1117"/>
    <n v="30"/>
    <n v="50"/>
    <n v="1500"/>
    <n v="1550"/>
    <n v="1215.7301042160113"/>
    <n v="2431.4602084320227"/>
    <s v="A"/>
  </r>
  <r>
    <x v="7"/>
    <s v="CALHAS"/>
    <s v="CALHA BOCAL NORMAL"/>
    <s v="32 029582"/>
    <s v="CAIXA"/>
    <n v="2295"/>
    <x v="212"/>
    <n v="840"/>
    <n v="500"/>
    <n v="260"/>
    <n v="15"/>
    <n v="109.2"/>
    <x v="38"/>
    <n v="709.80000000000007"/>
    <x v="1118"/>
    <n v="25"/>
    <n v="28.392000000000003"/>
    <n v="591.50000000000011"/>
    <n v="619.89200000000017"/>
    <n v="1205.7311404547611"/>
    <n v="3637.191348886784"/>
    <s v="A"/>
  </r>
  <r>
    <x v="7"/>
    <s v="CALHAS"/>
    <s v="CALHA BOCAL NORMAL"/>
    <s v="32 029582"/>
    <s v="CAIXA"/>
    <n v="2295"/>
    <x v="212"/>
    <n v="840"/>
    <n v="500"/>
    <n v="260"/>
    <n v="15"/>
    <n v="109.2"/>
    <x v="38"/>
    <n v="709.80000000000007"/>
    <x v="1118"/>
    <n v="25"/>
    <n v="28.392000000000003"/>
    <n v="591.50000000000011"/>
    <n v="619.89200000000017"/>
    <n v="1205.7311404547611"/>
    <n v="4842.9224893415449"/>
    <s v="A"/>
  </r>
  <r>
    <x v="7"/>
    <s v="FORRO"/>
    <s v="JUNÇÃO SIMPLES"/>
    <s v="85228073"/>
    <s v="CAIXA"/>
    <n v="854.5"/>
    <x v="334"/>
    <n v="200"/>
    <n v="42"/>
    <n v="5.2"/>
    <n v="8.8000000000000007"/>
    <n v="4.3679999999999997E-2"/>
    <x v="740"/>
    <n v="1250"/>
    <x v="1119"/>
    <n v="30"/>
    <n v="41.666666666666664"/>
    <n v="1250"/>
    <n v="1291.6666666666667"/>
    <n v="790.59465300805311"/>
    <n v="5633.5171423495976"/>
    <s v="A"/>
  </r>
  <r>
    <x v="7"/>
    <s v="FORRO"/>
    <s v="JUNÇÃO SIMPLES"/>
    <s v="85228073"/>
    <s v="CAIXA"/>
    <n v="854.5"/>
    <x v="334"/>
    <n v="200"/>
    <n v="42"/>
    <n v="5.2"/>
    <n v="8.8000000000000007"/>
    <n v="4.3679999999999997E-2"/>
    <x v="740"/>
    <n v="1250"/>
    <x v="1119"/>
    <n v="30"/>
    <n v="41.666666666666664"/>
    <n v="1250"/>
    <n v="1291.6666666666667"/>
    <n v="790.59465300805311"/>
    <n v="6424.1117953576504"/>
    <s v="A"/>
  </r>
  <r>
    <x v="7"/>
    <s v="ARGAMASSAS"/>
    <s v="CAL DE PINTURA"/>
    <s v="85981966"/>
    <s v="SACO"/>
    <n v="4.6100000000000003"/>
    <x v="335"/>
    <n v="10"/>
    <n v="7"/>
    <n v="5"/>
    <n v="8"/>
    <n v="3.5E-4"/>
    <x v="741"/>
    <n v="222857.14285714287"/>
    <x v="1120"/>
    <n v="8"/>
    <n v="27857.142857142859"/>
    <n v="59428.571428571435"/>
    <n v="87285.71428571429"/>
    <n v="760.43006022873396"/>
    <n v="7184.5418555863844"/>
    <s v="A"/>
  </r>
  <r>
    <x v="7"/>
    <s v="FORRO"/>
    <s v="JUNÇÃO  VENTICAL"/>
    <s v="87464853"/>
    <s v="CAIXA"/>
    <n v="994.5"/>
    <x v="334"/>
    <n v="300"/>
    <n v="42"/>
    <n v="5.2"/>
    <n v="58.8"/>
    <n v="6.5519999999999995E-2"/>
    <x v="742"/>
    <n v="1000"/>
    <x v="1121"/>
    <n v="30"/>
    <n v="33.333333333333336"/>
    <n v="1000.0000000000001"/>
    <n v="1033.3333333333335"/>
    <n v="736.09959734722884"/>
    <n v="7920.6414529336134"/>
    <s v="A"/>
  </r>
  <r>
    <x v="7"/>
    <s v="RESERVATÓRIOS"/>
    <s v="FOSSA SÉPTICA POLIETILENO 5000L FUNDO CÔNICO"/>
    <s v="FOS-SEP-5000"/>
    <s v="UNIDADE"/>
    <n v="4659"/>
    <x v="336"/>
    <n v="184"/>
    <n v="200"/>
    <n v="224"/>
    <n v="132"/>
    <n v="8.2431999999999999"/>
    <x v="743"/>
    <n v="200"/>
    <x v="1122"/>
    <n v="30"/>
    <n v="6.666666666666667"/>
    <n v="200"/>
    <n v="206.66666666666666"/>
    <n v="689.6909047844623"/>
    <n v="8610.3323577180763"/>
    <s v="A"/>
  </r>
  <r>
    <x v="7"/>
    <s v="CALHAS"/>
    <s v="CALHA CABECEIRA REFORÇADA"/>
    <s v="87290021"/>
    <s v="CAIXA"/>
    <n v="1345"/>
    <x v="212"/>
    <n v="700"/>
    <n v="500"/>
    <n v="260"/>
    <n v="5"/>
    <n v="91"/>
    <x v="38"/>
    <n v="591.5"/>
    <x v="1123"/>
    <n v="25"/>
    <n v="23.66"/>
    <n v="492.91666666666663"/>
    <n v="516.5766666666666"/>
    <n v="588.8556223353861"/>
    <n v="9199.1879800534625"/>
    <s v="A"/>
  </r>
  <r>
    <x v="7"/>
    <s v="CALHAS"/>
    <s v="CALHA CABECEIRA REFORÇADA"/>
    <s v="87290021"/>
    <s v="CAIXA"/>
    <n v="1345"/>
    <x v="212"/>
    <n v="700"/>
    <n v="500"/>
    <n v="260"/>
    <n v="5"/>
    <n v="91"/>
    <x v="38"/>
    <n v="591.5"/>
    <x v="1123"/>
    <n v="25"/>
    <n v="23.66"/>
    <n v="492.91666666666663"/>
    <n v="516.5766666666666"/>
    <n v="588.8556223353861"/>
    <n v="9788.0436023888487"/>
    <s v="A"/>
  </r>
  <r>
    <x v="7"/>
    <s v="FORRO"/>
    <s v="JUNÇÃO  VENTICAL"/>
    <s v="87464853"/>
    <s v="CAIXA"/>
    <n v="994.5"/>
    <x v="334"/>
    <n v="300"/>
    <n v="42"/>
    <n v="5.2"/>
    <n v="58.8"/>
    <n v="6.5519999999999995E-2"/>
    <x v="744"/>
    <n v="750"/>
    <x v="1124"/>
    <n v="30"/>
    <n v="25"/>
    <n v="750"/>
    <n v="775"/>
    <n v="552.07469801042157"/>
    <n v="10340.11830039927"/>
    <s v="A"/>
  </r>
  <r>
    <x v="7"/>
    <s v="TELAS E ARAMES"/>
    <s v="ARAME LISO"/>
    <s v="23365"/>
    <s v="METRO"/>
    <n v="534.4"/>
    <x v="337"/>
    <n v="0.5"/>
    <n v="100000"/>
    <n v="0.5"/>
    <n v="45"/>
    <n v="2.5000000000000001E-2"/>
    <x v="745"/>
    <n v="1060"/>
    <x v="1125"/>
    <n v="40"/>
    <n v="26.5"/>
    <n v="1413.3333333333335"/>
    <n v="1439.8333333333335"/>
    <n v="419.27996210326859"/>
    <n v="10759.398262502538"/>
    <s v="A"/>
  </r>
  <r>
    <x v="7"/>
    <s v="TELAS E ARAMES"/>
    <s v="ARAME LISO"/>
    <s v="23365"/>
    <s v="METRO"/>
    <n v="534.4"/>
    <x v="337"/>
    <n v="0.5"/>
    <n v="100000"/>
    <n v="0.5"/>
    <n v="45"/>
    <n v="2.5000000000000001E-2"/>
    <x v="745"/>
    <n v="1060"/>
    <x v="1125"/>
    <n v="40"/>
    <n v="26.5"/>
    <n v="1413.3333333333335"/>
    <n v="1439.8333333333335"/>
    <n v="419.27996210326859"/>
    <n v="11178.678224605806"/>
    <s v="A"/>
  </r>
  <r>
    <x v="7"/>
    <s v="CALHAS"/>
    <s v="CALHA BOCAL CIRCULAR"/>
    <s v="32029523"/>
    <s v="CAIXA"/>
    <n v="1670"/>
    <x v="212"/>
    <n v="660"/>
    <n v="445"/>
    <n v="176"/>
    <n v="14"/>
    <n v="51.691200000000002"/>
    <x v="38"/>
    <n v="335.99279999999999"/>
    <x v="1126"/>
    <n v="25"/>
    <n v="13.439712"/>
    <n v="279.99399999999997"/>
    <n v="293.43371199999996"/>
    <n v="415.31559095215539"/>
    <n v="11593.993815557962"/>
    <s v="A"/>
  </r>
  <r>
    <x v="7"/>
    <s v="CALHAS"/>
    <s v="CALHA BOCAL CIRCULAR"/>
    <s v="32029523"/>
    <s v="CAIXA"/>
    <n v="1670"/>
    <x v="212"/>
    <n v="660"/>
    <n v="445"/>
    <n v="176"/>
    <n v="14"/>
    <n v="51.691200000000002"/>
    <x v="38"/>
    <n v="335.99279999999999"/>
    <x v="1126"/>
    <n v="25"/>
    <n v="13.439712"/>
    <n v="279.99399999999997"/>
    <n v="293.43371199999996"/>
    <n v="415.31559095215539"/>
    <n v="12009.309406510118"/>
    <s v="A"/>
  </r>
  <r>
    <x v="7"/>
    <s v="RESERVATÓRIOS"/>
    <s v="FOSSA SÉPTICA POLIETILENO 1300L FUNDO CÔNICO"/>
    <s v="FOS-SEP-1300"/>
    <s v="UNIDADE"/>
    <n v="2090.9"/>
    <x v="336"/>
    <n v="200"/>
    <n v="200"/>
    <n v="118"/>
    <n v="97"/>
    <n v="4.72"/>
    <x v="746"/>
    <n v="250"/>
    <x v="1127"/>
    <n v="30"/>
    <n v="8.3333333333333339"/>
    <n v="250.00000000000003"/>
    <n v="258.33333333333337"/>
    <n v="386.90564306016108"/>
    <n v="12396.215049570279"/>
    <s v="A"/>
  </r>
  <r>
    <x v="7"/>
    <s v="ARGAMASSAS"/>
    <s v="REJUNTE CERÂMICO PRETO"/>
    <s v="REJ PR FORT"/>
    <s v="SACO"/>
    <n v="3.9"/>
    <x v="338"/>
    <n v="1.5"/>
    <n v="16"/>
    <n v="25"/>
    <n v="1"/>
    <n v="5.9999999999999995E-4"/>
    <x v="741"/>
    <n v="130000.00000000001"/>
    <x v="1128"/>
    <n v="8"/>
    <n v="16250.000000000002"/>
    <n v="34666.666666666672"/>
    <n v="50916.666666666672"/>
    <n v="375.26646139270491"/>
    <n v="12771.481510962984"/>
    <s v="B"/>
  </r>
  <r>
    <x v="7"/>
    <s v="FERRO"/>
    <s v="BARRA 25MM"/>
    <s v="6608"/>
    <s v="PEÇA"/>
    <n v="194.21"/>
    <x v="241"/>
    <n v="2.5"/>
    <n v="1200"/>
    <n v="2.5"/>
    <n v="46.24"/>
    <n v="7.4999999999999997E-3"/>
    <x v="747"/>
    <n v="2000"/>
    <x v="1129"/>
    <n v="40"/>
    <n v="50"/>
    <n v="2666.666666666667"/>
    <n v="2716.666666666667"/>
    <n v="287.49703931785882"/>
    <n v="13058.978550280843"/>
    <s v="B"/>
  </r>
  <r>
    <x v="7"/>
    <s v="ARGAMASSAS"/>
    <s v="REJUNTE CERÂMICO VERDE"/>
    <s v="REJ VD FORT"/>
    <s v="SACO"/>
    <n v="2.9"/>
    <x v="338"/>
    <n v="1.5"/>
    <n v="16"/>
    <n v="25"/>
    <n v="1"/>
    <n v="5.9999999999999995E-4"/>
    <x v="741"/>
    <n v="130000.00000000001"/>
    <x v="1130"/>
    <n v="8"/>
    <n v="16250.000000000002"/>
    <n v="34666.666666666672"/>
    <n v="50916.666666666672"/>
    <n v="279.04429180483186"/>
    <n v="13338.022842085675"/>
    <s v="B"/>
  </r>
  <r>
    <x v="7"/>
    <s v="TELAS E ARAMES"/>
    <s v="ARAME FARPADO"/>
    <s v="40523"/>
    <s v="METRO"/>
    <n v="331.9"/>
    <x v="337"/>
    <n v="1"/>
    <n v="5000"/>
    <n v="1"/>
    <n v="25"/>
    <n v="5.0000000000000001E-3"/>
    <x v="748"/>
    <n v="1060"/>
    <x v="1131"/>
    <n v="40"/>
    <n v="26.5"/>
    <n v="1413.3333333333335"/>
    <n v="1439.8333333333335"/>
    <n v="260.40235670298438"/>
    <n v="13598.425198788658"/>
    <s v="B"/>
  </r>
  <r>
    <x v="7"/>
    <s v="TELAS E ARAMES"/>
    <s v="ARAME FARPADO"/>
    <s v="40523"/>
    <s v="METRO"/>
    <n v="331.9"/>
    <x v="337"/>
    <n v="1"/>
    <n v="5000"/>
    <n v="1"/>
    <n v="25"/>
    <n v="5.0000000000000001E-3"/>
    <x v="748"/>
    <n v="1060"/>
    <x v="1131"/>
    <n v="40"/>
    <n v="26.5"/>
    <n v="1413.3333333333335"/>
    <n v="1439.8333333333335"/>
    <n v="260.40235670298438"/>
    <n v="13858.827555491642"/>
    <s v="B"/>
  </r>
  <r>
    <x v="7"/>
    <s v="TELAS E ARAMES"/>
    <s v="TELA  ALAMBRADO"/>
    <s v="22346"/>
    <s v="METRO"/>
    <n v="235.9"/>
    <x v="339"/>
    <n v="150"/>
    <n v="1000"/>
    <n v="0.17"/>
    <n v="15"/>
    <n v="2.5499999999999998E-2"/>
    <x v="749"/>
    <n v="1060"/>
    <x v="1132"/>
    <n v="40"/>
    <n v="26.5"/>
    <n v="1413.3333333333335"/>
    <n v="1439.8333333333335"/>
    <n v="185.08260303173853"/>
    <n v="14043.91015852338"/>
    <s v="B"/>
  </r>
  <r>
    <x v="7"/>
    <s v="TELAS E ARAMES"/>
    <s v="TELA  ALAMBRADO"/>
    <s v="22346"/>
    <s v="METRO"/>
    <n v="235.9"/>
    <x v="339"/>
    <n v="150"/>
    <n v="1000"/>
    <n v="0.17"/>
    <n v="15"/>
    <n v="2.5499999999999998E-2"/>
    <x v="749"/>
    <n v="1060"/>
    <x v="1132"/>
    <n v="40"/>
    <n v="26.5"/>
    <n v="1413.3333333333335"/>
    <n v="1439.8333333333335"/>
    <n v="185.08260303173853"/>
    <n v="14228.992761555119"/>
    <s v="B"/>
  </r>
  <r>
    <x v="7"/>
    <s v="FORRO"/>
    <s v="CEMALHA SIMPLES"/>
    <s v="5223651"/>
    <s v="CAIXA"/>
    <n v="154.80000000000001"/>
    <x v="340"/>
    <n v="3.6"/>
    <n v="600"/>
    <n v="9.6"/>
    <n v="7.2"/>
    <n v="2.0736000000000001E-2"/>
    <x v="750"/>
    <n v="1500"/>
    <x v="1133"/>
    <n v="30"/>
    <n v="50"/>
    <n v="1500"/>
    <n v="1550"/>
    <n v="171.86759829464711"/>
    <n v="14400.860359849767"/>
    <s v="B"/>
  </r>
  <r>
    <x v="7"/>
    <s v="ARGAMASSAS"/>
    <s v="CIMENTO COLA INTERIOR"/>
    <s v="CIMENCOLA INT"/>
    <s v="SACO"/>
    <n v="17.899999999999999"/>
    <x v="338"/>
    <n v="30"/>
    <n v="20"/>
    <n v="12"/>
    <n v="20"/>
    <n v="7.1999999999999998E-3"/>
    <x v="741"/>
    <n v="10833.333333333334"/>
    <x v="1134"/>
    <n v="8"/>
    <n v="1354.1666666666667"/>
    <n v="2888.8888888888891"/>
    <n v="4243.0555555555557"/>
    <n v="143.53140296857728"/>
    <n v="14544.391762818344"/>
    <s v="B"/>
  </r>
  <r>
    <x v="7"/>
    <s v="FORRO"/>
    <s v="FORRO MADEIRA PINUS"/>
    <s v="87590503"/>
    <s v="CAIXA"/>
    <n v="118.49"/>
    <x v="341"/>
    <n v="150"/>
    <n v="302"/>
    <n v="0.23"/>
    <n v="17.28"/>
    <n v="1.0419000000000001E-2"/>
    <x v="751"/>
    <n v="1500"/>
    <x v="1135"/>
    <n v="30"/>
    <n v="50"/>
    <n v="1500"/>
    <n v="1550"/>
    <n v="131.55421009000474"/>
    <n v="14675.94597290835"/>
    <s v="B"/>
  </r>
  <r>
    <x v="7"/>
    <s v="FORRO"/>
    <s v="FORRO MADEIRA PINUS"/>
    <s v="87590503"/>
    <s v="CAIXA"/>
    <n v="118.49"/>
    <x v="341"/>
    <n v="150"/>
    <n v="302"/>
    <n v="0.23"/>
    <n v="17.28"/>
    <n v="1.0419000000000001E-2"/>
    <x v="751"/>
    <n v="1500"/>
    <x v="1135"/>
    <n v="30"/>
    <n v="50"/>
    <n v="1500"/>
    <n v="1550"/>
    <n v="131.55421009000474"/>
    <n v="14807.500182998356"/>
    <s v="B"/>
  </r>
  <r>
    <x v="7"/>
    <s v="ARGAMASSAS"/>
    <s v="CIMENTO COLA FLEXÍVEL"/>
    <s v="CIMENCOLA SC"/>
    <s v="SACO"/>
    <n v="15.32"/>
    <x v="342"/>
    <n v="30"/>
    <n v="20"/>
    <n v="12"/>
    <n v="20"/>
    <n v="7.1999999999999998E-3"/>
    <x v="741"/>
    <n v="10833.333333333334"/>
    <x v="1136"/>
    <n v="8"/>
    <n v="1354.1666666666667"/>
    <n v="2888.8888888888891"/>
    <n v="4243.0555555555557"/>
    <n v="122.84363650718461"/>
    <n v="14930.343819505541"/>
    <s v="B"/>
  </r>
  <r>
    <x v="7"/>
    <s v="ESQUADRIAS"/>
    <s v="PORTÕES MADEIRA"/>
    <s v="109080"/>
    <s v="PEÇA"/>
    <n v="1519"/>
    <x v="343"/>
    <n v="240"/>
    <n v="220"/>
    <n v="10"/>
    <n v="76"/>
    <n v="0.52800000000000002"/>
    <x v="752"/>
    <n v="80"/>
    <x v="1137"/>
    <n v="20"/>
    <n v="4"/>
    <n v="53.333333333333329"/>
    <n v="57.333333333333329"/>
    <n v="89.945523448602557"/>
    <n v="15020.289342954144"/>
    <s v="B"/>
  </r>
  <r>
    <x v="7"/>
    <s v="ESQUADRIAS"/>
    <s v="PORTÕES MADEIRA"/>
    <s v="109080"/>
    <s v="PEÇA"/>
    <n v="1519"/>
    <x v="343"/>
    <n v="240"/>
    <n v="220"/>
    <n v="10"/>
    <n v="76"/>
    <n v="0.52800000000000002"/>
    <x v="752"/>
    <n v="80"/>
    <x v="1137"/>
    <n v="20"/>
    <n v="4"/>
    <n v="53.333333333333329"/>
    <n v="57.333333333333329"/>
    <n v="89.945523448602557"/>
    <n v="15110.234866402747"/>
    <s v="B"/>
  </r>
  <r>
    <x v="7"/>
    <s v="ARGAMASSAS"/>
    <s v="CIMENTO CP II-F32 PORTLAND COMPOSTO"/>
    <s v="CP II-F32 COMP IT"/>
    <s v="SACO"/>
    <n v="54"/>
    <x v="344"/>
    <n v="60"/>
    <n v="42"/>
    <n v="16"/>
    <n v="50"/>
    <n v="4.0320000000000002E-2"/>
    <x v="741"/>
    <n v="1934.5238095238094"/>
    <x v="1138"/>
    <n v="8"/>
    <n v="241.81547619047618"/>
    <n v="515.87301587301579"/>
    <n v="757.68849206349194"/>
    <n v="77.321386275969417"/>
    <n v="15187.556252678716"/>
    <s v="B"/>
  </r>
  <r>
    <x v="7"/>
    <s v="ARGAMASSAS"/>
    <s v="CIMENTO CP II-F32 PORTLAND COMPOSTO"/>
    <s v="CP II-F32 COMP TP"/>
    <s v="SACO"/>
    <n v="50"/>
    <x v="345"/>
    <n v="60"/>
    <n v="43"/>
    <n v="15"/>
    <n v="50"/>
    <n v="3.8699999999999998E-2"/>
    <x v="741"/>
    <n v="2015.5038759689924"/>
    <x v="1139"/>
    <n v="8"/>
    <n v="251.93798449612405"/>
    <n v="537.46770025839794"/>
    <n v="789.40568475452199"/>
    <n v="74.590829137886089"/>
    <n v="15262.147081816602"/>
    <s v="B"/>
  </r>
  <r>
    <x v="7"/>
    <s v="ESQUADRIAS"/>
    <s v="PORTÕES MOLOSSI"/>
    <s v="109657"/>
    <s v="PEÇA"/>
    <n v="2489.9"/>
    <x v="346"/>
    <n v="270"/>
    <n v="220"/>
    <n v="10"/>
    <n v="81"/>
    <n v="0.59399999999999997"/>
    <x v="753"/>
    <n v="40"/>
    <x v="1140"/>
    <n v="20"/>
    <n v="2"/>
    <n v="26.666666666666664"/>
    <n v="28.666666666666664"/>
    <n v="73.718024632875412"/>
    <n v="15335.865106449477"/>
    <s v="B"/>
  </r>
  <r>
    <x v="7"/>
    <s v="ESQUADRIAS"/>
    <s v="PORTÕES MOLOSSI"/>
    <s v="109657"/>
    <s v="PEÇA"/>
    <n v="2489.9"/>
    <x v="346"/>
    <n v="270"/>
    <n v="220"/>
    <n v="10"/>
    <n v="81"/>
    <n v="0.59399999999999997"/>
    <x v="753"/>
    <n v="40"/>
    <x v="1140"/>
    <n v="20"/>
    <n v="2"/>
    <n v="26.666666666666664"/>
    <n v="28.666666666666664"/>
    <n v="73.718024632875412"/>
    <n v="15409.583131082352"/>
    <s v="B"/>
  </r>
  <r>
    <x v="7"/>
    <s v="ARGAMASSAS"/>
    <s v="CAL HIDRATADA"/>
    <s v="34053"/>
    <s v="SACO"/>
    <n v="9.7899999999999991"/>
    <x v="335"/>
    <n v="30"/>
    <n v="20"/>
    <n v="13"/>
    <n v="20"/>
    <n v="7.7999999999999996E-3"/>
    <x v="741"/>
    <n v="10000"/>
    <x v="1141"/>
    <n v="8"/>
    <n v="1250"/>
    <n v="2666.6666666666665"/>
    <n v="3916.6666666666665"/>
    <n v="72.462695405021307"/>
    <n v="15482.045826487374"/>
    <s v="B"/>
  </r>
  <r>
    <x v="7"/>
    <s v="FERRO"/>
    <s v="COLUNA 1/4"/>
    <s v="3506489"/>
    <s v="PEÇA"/>
    <n v="32.380000000000003"/>
    <x v="347"/>
    <n v="600"/>
    <n v="700"/>
    <n v="2000"/>
    <n v="10"/>
    <n v="840"/>
    <x v="754"/>
    <n v="3000"/>
    <x v="1142"/>
    <n v="40"/>
    <n v="75"/>
    <n v="4000"/>
    <n v="4075"/>
    <n v="71.900165798199922"/>
    <n v="15553.945992285575"/>
    <s v="B"/>
  </r>
  <r>
    <x v="7"/>
    <s v="ESQUADRIAS"/>
    <s v="PORTA REAL"/>
    <s v="82359"/>
    <s v="PEÇA"/>
    <n v="2379.9"/>
    <x v="348"/>
    <n v="216"/>
    <n v="200"/>
    <n v="13.5"/>
    <n v="83"/>
    <n v="0.58320000000000005"/>
    <x v="755"/>
    <n v="40"/>
    <x v="1143"/>
    <n v="20"/>
    <n v="2"/>
    <n v="26.666666666666664"/>
    <n v="28.666666666666664"/>
    <n v="70.46127427759356"/>
    <n v="15624.407266563168"/>
    <s v="B"/>
  </r>
  <r>
    <x v="7"/>
    <s v="ESQUADRIAS"/>
    <s v="PORTA REAL"/>
    <s v="82359"/>
    <s v="PEÇA"/>
    <n v="2379.9"/>
    <x v="348"/>
    <n v="216"/>
    <n v="200"/>
    <n v="13.5"/>
    <n v="83"/>
    <n v="0.58320000000000005"/>
    <x v="755"/>
    <n v="40"/>
    <x v="1143"/>
    <n v="20"/>
    <n v="2"/>
    <n v="26.666666666666664"/>
    <n v="28.666666666666664"/>
    <n v="70.46127427759356"/>
    <n v="15694.868540840762"/>
    <s v="B"/>
  </r>
  <r>
    <x v="7"/>
    <s v="ESQUADRIAS"/>
    <s v="PORTÕES CPNTRAPESO"/>
    <s v="81816"/>
    <s v="PEÇA"/>
    <n v="1189.9000000000001"/>
    <x v="343"/>
    <n v="240"/>
    <n v="220"/>
    <n v="6"/>
    <n v="73"/>
    <n v="0.31680000000000003"/>
    <x v="663"/>
    <n v="80"/>
    <x v="1144"/>
    <n v="20"/>
    <n v="4"/>
    <n v="53.333333333333329"/>
    <n v="57.333333333333329"/>
    <n v="70.458313595452395"/>
    <n v="15765.326854436214"/>
    <s v="C"/>
  </r>
  <r>
    <x v="7"/>
    <s v="ESQUADRIAS"/>
    <s v="PORTÕES CPNTRAPESO"/>
    <s v="81816"/>
    <s v="PEÇA"/>
    <n v="1189.9000000000001"/>
    <x v="343"/>
    <n v="240"/>
    <n v="220"/>
    <n v="6"/>
    <n v="73"/>
    <n v="0.31680000000000003"/>
    <x v="663"/>
    <n v="80"/>
    <x v="1144"/>
    <n v="20"/>
    <n v="4"/>
    <n v="53.333333333333329"/>
    <n v="57.333333333333329"/>
    <n v="70.458313595452395"/>
    <n v="15835.785168031667"/>
    <s v="C"/>
  </r>
  <r>
    <x v="7"/>
    <s v="FORRO"/>
    <s v="FORRO MADEIRA"/>
    <s v="87590510"/>
    <s v="CAIXA"/>
    <n v="63.3"/>
    <x v="341"/>
    <n v="150"/>
    <n v="302"/>
    <n v="0.23"/>
    <n v="17.28"/>
    <n v="1.0419000000000001E-2"/>
    <x v="751"/>
    <n v="1500"/>
    <x v="1145"/>
    <n v="30"/>
    <n v="50"/>
    <n v="1500"/>
    <n v="1550"/>
    <n v="70.279192325911893"/>
    <n v="15906.064360357579"/>
    <s v="C"/>
  </r>
  <r>
    <x v="7"/>
    <s v="FORRO"/>
    <s v="FORRO MADEIRA"/>
    <s v="87590510"/>
    <s v="CAIXA"/>
    <n v="63.3"/>
    <x v="341"/>
    <n v="150"/>
    <n v="302"/>
    <n v="0.23"/>
    <n v="17.28"/>
    <n v="1.0419000000000001E-2"/>
    <x v="751"/>
    <n v="1500"/>
    <x v="1145"/>
    <n v="30"/>
    <n v="50"/>
    <n v="1500"/>
    <n v="1550"/>
    <n v="70.279192325911893"/>
    <n v="15976.343552683491"/>
    <s v="C"/>
  </r>
  <r>
    <x v="7"/>
    <s v="TELHAS"/>
    <s v="TERMINAL CERÂMICA ESPIGÃO MARFIM"/>
    <s v="TER-CER-MARFIM"/>
    <s v="PACOTE"/>
    <n v="23"/>
    <x v="349"/>
    <n v="2.6"/>
    <n v="40.5"/>
    <n v="25"/>
    <n v="3"/>
    <n v="2.6324999999999999E-3"/>
    <x v="756"/>
    <n v="3960"/>
    <x v="1146"/>
    <n v="15"/>
    <n v="264"/>
    <n v="1980"/>
    <n v="2244"/>
    <n v="67.414732354334447"/>
    <n v="16043.758285037826"/>
    <s v="C"/>
  </r>
  <r>
    <x v="7"/>
    <s v="FORRO"/>
    <s v="CEMALHA SIMPLES"/>
    <s v="5223651"/>
    <s v="CAIXA"/>
    <n v="154.80000000000001"/>
    <x v="340"/>
    <n v="3.6"/>
    <n v="600"/>
    <n v="9.6"/>
    <n v="7.2"/>
    <n v="2.0736000000000001E-2"/>
    <x v="757"/>
    <n v="500"/>
    <x v="1147"/>
    <n v="30"/>
    <n v="16.666666666666668"/>
    <n v="500.00000000000006"/>
    <n v="516.66666666666674"/>
    <n v="57.289199431549029"/>
    <n v="16101.047484469374"/>
    <s v="C"/>
  </r>
  <r>
    <x v="7"/>
    <s v="ARGAMASSAS"/>
    <s v="ARGAMASSA CIMENTCOLA"/>
    <s v="101072001"/>
    <s v="SACO"/>
    <n v="8.69"/>
    <x v="350"/>
    <n v="10"/>
    <n v="46"/>
    <n v="25"/>
    <n v="20"/>
    <n v="1.15E-2"/>
    <x v="741"/>
    <n v="6782.608695652174"/>
    <x v="1148"/>
    <n v="8"/>
    <n v="847.82608695652175"/>
    <n v="1808.695652173913"/>
    <n v="2656.521739130435"/>
    <n v="43.626294976623484"/>
    <n v="16144.673779445999"/>
    <s v="C"/>
  </r>
  <r>
    <x v="7"/>
    <s v="ESQUADRIAS"/>
    <s v="PORTÕES FERRO"/>
    <s v="84694"/>
    <s v="PEÇA"/>
    <n v="694.9"/>
    <x v="351"/>
    <n v="240"/>
    <n v="210"/>
    <n v="5"/>
    <n v="39.799999999999997"/>
    <n v="0.252"/>
    <x v="758"/>
    <n v="80"/>
    <x v="1149"/>
    <n v="20"/>
    <n v="4"/>
    <n v="53.333333333333329"/>
    <n v="57.333333333333329"/>
    <n v="41.147560397915683"/>
    <n v="16185.821339843915"/>
    <s v="C"/>
  </r>
  <r>
    <x v="7"/>
    <s v="ESQUADRIAS"/>
    <s v="PORTÕES FERRO COM BASCULANTE"/>
    <s v="84257"/>
    <s v="PEÇA"/>
    <n v="694.9"/>
    <x v="351"/>
    <n v="240"/>
    <n v="210"/>
    <n v="5"/>
    <n v="39.799999999999997"/>
    <n v="0.252"/>
    <x v="758"/>
    <n v="80"/>
    <x v="1149"/>
    <n v="20"/>
    <n v="4"/>
    <n v="53.333333333333329"/>
    <n v="57.333333333333329"/>
    <n v="41.147560397915683"/>
    <n v="16226.968900241831"/>
    <s v="C"/>
  </r>
  <r>
    <x v="7"/>
    <s v="ESQUADRIAS"/>
    <s v="PORTÕES FERRO"/>
    <s v="84694"/>
    <s v="PEÇA"/>
    <n v="694.9"/>
    <x v="351"/>
    <n v="240"/>
    <n v="210"/>
    <n v="5"/>
    <n v="39.799999999999997"/>
    <n v="0.252"/>
    <x v="758"/>
    <n v="80"/>
    <x v="1149"/>
    <n v="20"/>
    <n v="4"/>
    <n v="53.333333333333329"/>
    <n v="57.333333333333329"/>
    <n v="41.147560397915683"/>
    <n v="16268.116460639747"/>
    <s v="C"/>
  </r>
  <r>
    <x v="7"/>
    <s v="ESQUADRIAS"/>
    <s v="PORTÕES FERRO COM BASCULANTE"/>
    <s v="84257"/>
    <s v="PEÇA"/>
    <n v="694.9"/>
    <x v="351"/>
    <n v="240"/>
    <n v="210"/>
    <n v="5"/>
    <n v="39.799999999999997"/>
    <n v="0.252"/>
    <x v="758"/>
    <n v="80"/>
    <x v="1149"/>
    <n v="20"/>
    <n v="4"/>
    <n v="53.333333333333329"/>
    <n v="57.333333333333329"/>
    <n v="41.147560397915683"/>
    <n v="16309.264021037663"/>
    <s v="C"/>
  </r>
  <r>
    <x v="7"/>
    <s v="ARGAMASSAS"/>
    <s v="ARGAMASSA ASSENTAMENTO INTERNO"/>
    <s v="204609"/>
    <s v="SACO"/>
    <n v="7.99"/>
    <x v="338"/>
    <n v="10"/>
    <n v="46"/>
    <n v="25"/>
    <n v="20"/>
    <n v="1.15E-2"/>
    <x v="741"/>
    <n v="6782.608695652174"/>
    <x v="1150"/>
    <n v="8"/>
    <n v="847.82608695652175"/>
    <n v="1808.695652173913"/>
    <n v="2656.521739130435"/>
    <n v="40.112094000370732"/>
    <n v="16349.376115038034"/>
    <s v="C"/>
  </r>
  <r>
    <x v="7"/>
    <s v="ESQUADRIAS"/>
    <s v="JANELA MADEIRA"/>
    <s v="25634"/>
    <s v="PEÇA"/>
    <n v="760.9"/>
    <x v="352"/>
    <n v="100"/>
    <n v="160"/>
    <n v="9"/>
    <n v="21"/>
    <n v="0.14399999999999999"/>
    <x v="759"/>
    <n v="68"/>
    <x v="1151"/>
    <n v="20"/>
    <n v="3.4"/>
    <n v="45.333333333333329"/>
    <n v="48.733333333333327"/>
    <n v="38.297311700615822"/>
    <n v="16387.673426738649"/>
    <s v="C"/>
  </r>
  <r>
    <x v="7"/>
    <s v="FERRO"/>
    <s v="BARRA 20MM"/>
    <s v="6543"/>
    <s v="PEÇA"/>
    <n v="124.32"/>
    <x v="241"/>
    <n v="2"/>
    <n v="1200"/>
    <n v="2"/>
    <n v="29.6"/>
    <n v="4.7999999999999996E-3"/>
    <x v="760"/>
    <n v="400"/>
    <x v="1152"/>
    <n v="40"/>
    <n v="10"/>
    <n v="533.33333333333337"/>
    <n v="543.33333333333337"/>
    <n v="36.807200378967316"/>
    <n v="16424.480627117617"/>
    <s v="C"/>
  </r>
  <r>
    <x v="7"/>
    <s v="ESQUADRIAS"/>
    <s v="PORTA MADEIRA"/>
    <s v="12356987"/>
    <s v="PEÇA"/>
    <n v="750.9"/>
    <x v="353"/>
    <n v="210"/>
    <n v="72"/>
    <n v="4"/>
    <n v="16"/>
    <n v="6.0479999999999999E-2"/>
    <x v="761"/>
    <n v="64"/>
    <x v="1153"/>
    <n v="20"/>
    <n v="3.2"/>
    <n v="42.666666666666664"/>
    <n v="45.866666666666667"/>
    <n v="35.570819516816677"/>
    <n v="16460.051446634432"/>
    <s v="C"/>
  </r>
  <r>
    <x v="7"/>
    <s v="ESQUADRIAS"/>
    <s v="JANELA MADEIRA"/>
    <s v="25634"/>
    <s v="PEÇA"/>
    <n v="760.9"/>
    <x v="352"/>
    <n v="100"/>
    <n v="160"/>
    <n v="9"/>
    <n v="21"/>
    <n v="0.14399999999999999"/>
    <x v="762"/>
    <n v="60"/>
    <x v="1154"/>
    <n v="20"/>
    <n v="3"/>
    <n v="40"/>
    <n v="43"/>
    <n v="33.791745618190433"/>
    <n v="16493.843192252622"/>
    <s v="C"/>
  </r>
  <r>
    <x v="7"/>
    <s v="FORRO"/>
    <s v="FORRO PVC LISO"/>
    <s v="87821223"/>
    <s v="CAIXA"/>
    <n v="27.9"/>
    <x v="340"/>
    <n v="150"/>
    <n v="302"/>
    <n v="0.23"/>
    <n v="18"/>
    <n v="1.0419000000000001E-2"/>
    <x v="751"/>
    <n v="1500"/>
    <x v="1155"/>
    <n v="30"/>
    <n v="50"/>
    <n v="1500"/>
    <n v="1550"/>
    <n v="30.976136901942208"/>
    <n v="16524.819329154565"/>
    <s v="C"/>
  </r>
  <r>
    <x v="7"/>
    <s v="FORRO"/>
    <s v="FORRO PVC LISO"/>
    <s v="87821223"/>
    <s v="CAIXA"/>
    <n v="27.9"/>
    <x v="340"/>
    <n v="150"/>
    <n v="302"/>
    <n v="0.23"/>
    <n v="18"/>
    <n v="1.0419000000000001E-2"/>
    <x v="751"/>
    <n v="1500"/>
    <x v="1155"/>
    <n v="30"/>
    <n v="50"/>
    <n v="1500"/>
    <n v="1550"/>
    <n v="30.976136901942208"/>
    <n v="16555.795466056508"/>
    <s v="C"/>
  </r>
  <r>
    <x v="7"/>
    <s v="FERRO"/>
    <s v="BARRA 12MM"/>
    <s v="6543"/>
    <s v="PEÇA"/>
    <n v="79.55"/>
    <x v="241"/>
    <n v="1.2"/>
    <n v="1200"/>
    <n v="1.2"/>
    <n v="18.940000000000001"/>
    <n v="1.7279999999999999E-3"/>
    <x v="763"/>
    <n v="500"/>
    <x v="1156"/>
    <n v="40"/>
    <n v="12.5"/>
    <n v="666.66666666666674"/>
    <n v="679.16666666666674"/>
    <n v="29.440283041212695"/>
    <n v="16585.235749097719"/>
    <s v="C"/>
  </r>
  <r>
    <x v="7"/>
    <s v="TELAS E ARAMES"/>
    <s v="TELA ALAMBRADO"/>
    <s v="563365"/>
    <s v="METRO"/>
    <n v="39.4"/>
    <x v="339"/>
    <n v="100"/>
    <n v="500"/>
    <n v="0.17"/>
    <n v="2.4"/>
    <n v="8.5000000000000006E-3"/>
    <x v="764"/>
    <n v="940"/>
    <x v="1157"/>
    <n v="40"/>
    <n v="23.5"/>
    <n v="1253.3333333333333"/>
    <n v="1276.8333333333333"/>
    <n v="27.412955945049742"/>
    <n v="16612.648705042768"/>
    <s v="C"/>
  </r>
  <r>
    <x v="7"/>
    <s v="TELAS E ARAMES"/>
    <s v="TELA ALAMBRADO"/>
    <s v="563365"/>
    <s v="METRO"/>
    <n v="39.4"/>
    <x v="339"/>
    <n v="100"/>
    <n v="500"/>
    <n v="0.17"/>
    <n v="2.4"/>
    <n v="8.5000000000000006E-3"/>
    <x v="764"/>
    <n v="940"/>
    <x v="1157"/>
    <n v="40"/>
    <n v="23.5"/>
    <n v="1253.3333333333333"/>
    <n v="1276.8333333333333"/>
    <n v="27.412955945049742"/>
    <n v="16640.061660987816"/>
    <s v="C"/>
  </r>
  <r>
    <x v="7"/>
    <s v="TIJOLOS"/>
    <s v="TIJOLO VIDRO INCOLOR"/>
    <s v="TIJ-VIDRO-SOL"/>
    <s v="PACOTE"/>
    <n v="13.9"/>
    <x v="354"/>
    <n v="19"/>
    <n v="8"/>
    <n v="19"/>
    <n v="3"/>
    <n v="2.8879999999999999E-3"/>
    <x v="765"/>
    <n v="2600"/>
    <x v="1158"/>
    <n v="15"/>
    <n v="173.33333333333334"/>
    <n v="1300"/>
    <n v="1473.3333333333333"/>
    <n v="26.749763145428709"/>
    <n v="16666.811424133244"/>
    <s v="C"/>
  </r>
  <r>
    <x v="7"/>
    <s v="TELHAS"/>
    <s v="CUMEEIRA CERÂMICA PLAN ESMALTADA PERKUS BORDEAU"/>
    <s v="CU-ES-BORDEAU"/>
    <s v="PACOTE"/>
    <n v="8.39"/>
    <x v="355"/>
    <n v="3"/>
    <n v="55"/>
    <n v="120"/>
    <n v="5.9"/>
    <n v="1.9800000000000002E-2"/>
    <x v="766"/>
    <n v="3960"/>
    <x v="1159"/>
    <n v="15"/>
    <n v="264"/>
    <n v="1980"/>
    <n v="2244"/>
    <n v="24.591721932733304"/>
    <n v="16691.403146065979"/>
    <s v="C"/>
  </r>
  <r>
    <x v="7"/>
    <s v="RESERVATÓRIOS"/>
    <s v="CAIXA D'ÁGUA 500 L"/>
    <s v="CX-500L"/>
    <s v="UNIDADE"/>
    <n v="159.9"/>
    <x v="356"/>
    <n v="0.76"/>
    <n v="200"/>
    <n v="120"/>
    <n v="14"/>
    <n v="1.8239999999999999E-2"/>
    <x v="767"/>
    <n v="200"/>
    <x v="1160"/>
    <n v="30"/>
    <n v="6.666666666666667"/>
    <n v="200"/>
    <n v="206.66666666666666"/>
    <n v="23.670653718616769"/>
    <n v="16715.073799784597"/>
    <s v="C"/>
  </r>
  <r>
    <x v="7"/>
    <s v="FORRO"/>
    <s v="FORRO PVC LISO"/>
    <s v="88035836"/>
    <s v="CAIXA"/>
    <n v="20.9"/>
    <x v="340"/>
    <n v="150"/>
    <n v="302"/>
    <n v="0.23"/>
    <n v="18"/>
    <n v="1.0419000000000001E-2"/>
    <x v="751"/>
    <n v="1500"/>
    <x v="1161"/>
    <n v="30"/>
    <n v="50"/>
    <n v="1500"/>
    <n v="1550"/>
    <n v="23.204346281383227"/>
    <n v="16738.278146065979"/>
    <s v="C"/>
  </r>
  <r>
    <x v="7"/>
    <s v="FORRO"/>
    <s v="FORRO PVC LISO"/>
    <s v="88035836"/>
    <s v="CAIXA"/>
    <n v="20.9"/>
    <x v="340"/>
    <n v="150"/>
    <n v="302"/>
    <n v="0.23"/>
    <n v="18"/>
    <n v="1.0419000000000001E-2"/>
    <x v="751"/>
    <n v="1500"/>
    <x v="1161"/>
    <n v="30"/>
    <n v="50"/>
    <n v="1500"/>
    <n v="1550"/>
    <n v="23.204346281383227"/>
    <n v="16761.482492347361"/>
    <s v="C"/>
  </r>
  <r>
    <x v="7"/>
    <s v="ESQUADRIAS"/>
    <s v="PORTA MADEIRA"/>
    <s v="12356987"/>
    <s v="PEÇA"/>
    <n v="750.9"/>
    <x v="353"/>
    <n v="210"/>
    <n v="72"/>
    <n v="4"/>
    <n v="16"/>
    <n v="6.0479999999999999E-2"/>
    <x v="768"/>
    <n v="40"/>
    <x v="1162"/>
    <n v="20"/>
    <n v="2"/>
    <n v="26.666666666666664"/>
    <n v="28.666666666666664"/>
    <n v="22.231762198010422"/>
    <n v="16783.714254545372"/>
    <s v="C"/>
  </r>
  <r>
    <x v="7"/>
    <s v="TELHAS"/>
    <s v="CUMEEIRA CERÂMICA ESMALTADA PERKUS COFFEE"/>
    <s v="CU-ES-COFFEE"/>
    <s v="PACOTE"/>
    <n v="7.39"/>
    <x v="355"/>
    <n v="3"/>
    <n v="55"/>
    <n v="120"/>
    <n v="5.9"/>
    <n v="1.9800000000000002E-2"/>
    <x v="766"/>
    <n v="3960"/>
    <x v="1163"/>
    <n v="15"/>
    <n v="264"/>
    <n v="1980"/>
    <n v="2244"/>
    <n v="21.66064661297963"/>
    <n v="16805.37490115835"/>
    <s v="C"/>
  </r>
  <r>
    <x v="7"/>
    <s v="TELHAS"/>
    <s v="CUMEEIRA CERÂMICA ESMALTADA PERKUS SFUMATO"/>
    <s v="CU-ES-SFUMATO"/>
    <s v="PACOTE"/>
    <n v="7.39"/>
    <x v="355"/>
    <n v="3"/>
    <n v="55"/>
    <n v="120"/>
    <n v="5.9"/>
    <n v="1.9800000000000002E-2"/>
    <x v="766"/>
    <n v="3960"/>
    <x v="1163"/>
    <n v="15"/>
    <n v="264"/>
    <n v="1980"/>
    <n v="2244"/>
    <n v="21.66064661297963"/>
    <n v="16827.035547771327"/>
    <s v="C"/>
  </r>
  <r>
    <x v="7"/>
    <s v="TELHAS"/>
    <s v="CUMEEIRA CERÂMICA ESPIGÃO MARFIM"/>
    <s v="CU-MARFIM"/>
    <s v="PACOTE"/>
    <n v="7.32"/>
    <x v="349"/>
    <n v="2"/>
    <n v="42"/>
    <n v="25.3"/>
    <n v="2.9"/>
    <n v="2.1252000000000003E-3"/>
    <x v="769"/>
    <n v="3960"/>
    <x v="1164"/>
    <n v="15"/>
    <n v="264"/>
    <n v="1980"/>
    <n v="2244"/>
    <n v="21.455471340596876"/>
    <n v="16848.491019111923"/>
    <s v="C"/>
  </r>
  <r>
    <x v="7"/>
    <s v="TELHAS"/>
    <s v="CUMEEIRA CERÂMICA TOP TELHA CAFÉ"/>
    <s v="CU-TOP-CAFÉ"/>
    <s v="PACOTE"/>
    <n v="7.17"/>
    <x v="349"/>
    <n v="2"/>
    <n v="42.5"/>
    <n v="26"/>
    <n v="2.9"/>
    <n v="2.2100000000000002E-3"/>
    <x v="770"/>
    <n v="3960"/>
    <x v="1165"/>
    <n v="15"/>
    <n v="264"/>
    <n v="1980"/>
    <n v="2244"/>
    <n v="21.015810042633824"/>
    <n v="16869.506829154558"/>
    <s v="C"/>
  </r>
  <r>
    <x v="7"/>
    <s v="FORRO"/>
    <s v="FORRO PVC MADEIRA"/>
    <s v="87820131"/>
    <s v="CAIXA"/>
    <n v="16.899999999999999"/>
    <x v="340"/>
    <n v="150"/>
    <n v="302"/>
    <n v="0.23"/>
    <n v="19.2"/>
    <n v="1.0419000000000001E-2"/>
    <x v="751"/>
    <n v="1500"/>
    <x v="1166"/>
    <n v="30"/>
    <n v="50"/>
    <n v="1500"/>
    <n v="1550"/>
    <n v="18.763323069635241"/>
    <n v="16888.270152224191"/>
    <s v="C"/>
  </r>
  <r>
    <x v="7"/>
    <s v="FORRO"/>
    <s v="FORRO PVC MADEIRA"/>
    <s v="87820131"/>
    <s v="CAIXA"/>
    <n v="16.899999999999999"/>
    <x v="340"/>
    <n v="150"/>
    <n v="302"/>
    <n v="0.23"/>
    <n v="19.2"/>
    <n v="1.0419000000000001E-2"/>
    <x v="751"/>
    <n v="1500"/>
    <x v="1166"/>
    <n v="30"/>
    <n v="50"/>
    <n v="1500"/>
    <n v="1550"/>
    <n v="18.763323069635241"/>
    <n v="16907.033475293825"/>
    <s v="C"/>
  </r>
  <r>
    <x v="7"/>
    <s v="FORRO"/>
    <s v="FORRO PVC MADEIRA"/>
    <s v="87820145"/>
    <s v="CAIXA"/>
    <n v="16.899999999999999"/>
    <x v="340"/>
    <n v="150"/>
    <n v="302"/>
    <n v="0.23"/>
    <n v="18"/>
    <n v="1.0419000000000001E-2"/>
    <x v="751"/>
    <n v="1500"/>
    <x v="1166"/>
    <n v="30"/>
    <n v="50"/>
    <n v="1500"/>
    <n v="1550"/>
    <n v="18.763323069635241"/>
    <n v="16925.796798363459"/>
    <s v="C"/>
  </r>
  <r>
    <x v="7"/>
    <s v="FORRO"/>
    <s v="FORRO PVC MADEIRA"/>
    <s v="87820145"/>
    <s v="CAIXA"/>
    <n v="16.899999999999999"/>
    <x v="340"/>
    <n v="150"/>
    <n v="302"/>
    <n v="0.23"/>
    <n v="18"/>
    <n v="1.0419000000000001E-2"/>
    <x v="751"/>
    <n v="1500"/>
    <x v="1166"/>
    <n v="30"/>
    <n v="50"/>
    <n v="1500"/>
    <n v="1550"/>
    <n v="18.763323069635241"/>
    <n v="16944.560121433093"/>
    <s v="C"/>
  </r>
  <r>
    <x v="7"/>
    <s v="CALHAS"/>
    <s v="CALHA CABECEIRA TERMINAL DIREITO"/>
    <s v="32068928"/>
    <s v="CAIXA"/>
    <n v="645"/>
    <x v="212"/>
    <n v="660"/>
    <n v="445"/>
    <n v="20"/>
    <n v="4.5"/>
    <n v="5.8739999999999997"/>
    <x v="38"/>
    <n v="38.180999999999997"/>
    <x v="1167"/>
    <n v="25"/>
    <n v="1.5272399999999999"/>
    <n v="31.817499999999999"/>
    <n v="33.344740000000002"/>
    <n v="18.227991029133111"/>
    <n v="16962.788112462225"/>
    <s v="C"/>
  </r>
  <r>
    <x v="7"/>
    <s v="CALHAS"/>
    <s v="CALHA CABECEIRA TERMINAL DIREITO"/>
    <s v="32068928"/>
    <s v="CAIXA"/>
    <n v="645"/>
    <x v="212"/>
    <n v="660"/>
    <n v="445"/>
    <n v="20"/>
    <n v="4.5"/>
    <n v="5.8739999999999997"/>
    <x v="38"/>
    <n v="38.180999999999997"/>
    <x v="1167"/>
    <n v="25"/>
    <n v="1.5272399999999999"/>
    <n v="31.817499999999999"/>
    <n v="33.344740000000002"/>
    <n v="18.227991029133111"/>
    <n v="16981.016103491358"/>
    <s v="C"/>
  </r>
  <r>
    <x v="7"/>
    <s v="TELHAS"/>
    <s v="TERMINAL CERÂMICA PLAN ESMALTADA PERKUS BORDEAU"/>
    <s v="TER-CER-ES-BORD"/>
    <s v="PACOTE"/>
    <n v="6.12"/>
    <x v="355"/>
    <n v="2.5"/>
    <n v="41"/>
    <n v="23.5"/>
    <n v="3"/>
    <n v="2.4087499999999999E-3"/>
    <x v="771"/>
    <n v="3960"/>
    <x v="1168"/>
    <n v="15"/>
    <n v="264"/>
    <n v="1980"/>
    <n v="2244"/>
    <n v="17.93818095689247"/>
    <n v="16998.954284448249"/>
    <s v="C"/>
  </r>
  <r>
    <x v="7"/>
    <s v="ESQUADRIAS"/>
    <s v="JANELA VITRO"/>
    <s v="87677"/>
    <s v="PEÇA"/>
    <n v="299.89999999999998"/>
    <x v="357"/>
    <n v="100"/>
    <n v="100"/>
    <n v="8.4"/>
    <n v="18"/>
    <n v="8.4000000000000005E-2"/>
    <x v="772"/>
    <n v="68"/>
    <x v="1169"/>
    <n v="20"/>
    <n v="3.4"/>
    <n v="45.333333333333329"/>
    <n v="48.733333333333327"/>
    <n v="15.094445760303172"/>
    <n v="17014.048730208553"/>
    <s v="C"/>
  </r>
  <r>
    <x v="7"/>
    <s v="ESQUADRIAS"/>
    <s v="JANELA VITRO"/>
    <s v="87677"/>
    <s v="PEÇA"/>
    <n v="299.89999999999998"/>
    <x v="357"/>
    <n v="100"/>
    <n v="100"/>
    <n v="8.4"/>
    <n v="18"/>
    <n v="8.4000000000000005E-2"/>
    <x v="772"/>
    <n v="68"/>
    <x v="1169"/>
    <n v="20"/>
    <n v="3.4"/>
    <n v="45.333333333333329"/>
    <n v="48.733333333333327"/>
    <n v="15.094445760303172"/>
    <n v="17029.143175968857"/>
    <s v="C"/>
  </r>
  <r>
    <x v="7"/>
    <s v="TELHAS"/>
    <s v="TERMINAL CERÂMICA ESMALTADA PERKUS SFUMATO"/>
    <s v="TER-CER-TOP-SFUMATO"/>
    <s v="PACOTE"/>
    <n v="5.12"/>
    <x v="355"/>
    <n v="2.5"/>
    <n v="41"/>
    <n v="23.5"/>
    <n v="3"/>
    <n v="2.4087499999999999E-3"/>
    <x v="771"/>
    <n v="3960"/>
    <x v="1170"/>
    <n v="15"/>
    <n v="264"/>
    <n v="1980"/>
    <n v="2244"/>
    <n v="15.007105637138798"/>
    <n v="17044.150281605995"/>
    <s v="C"/>
  </r>
  <r>
    <x v="7"/>
    <s v="ESQUADRIAS"/>
    <s v="JANELA MADEIRA QUADRICULADA"/>
    <s v="50223"/>
    <s v="PEÇA"/>
    <n v="307.89999999999998"/>
    <x v="352"/>
    <n v="60"/>
    <n v="80"/>
    <n v="9"/>
    <n v="24"/>
    <n v="4.3200000000000002E-2"/>
    <x v="773"/>
    <n v="65"/>
    <x v="1171"/>
    <n v="20"/>
    <n v="3.25"/>
    <n v="43.333333333333329"/>
    <n v="46.583333333333329"/>
    <n v="14.813403008053056"/>
    <n v="17058.963684614049"/>
    <s v="C"/>
  </r>
  <r>
    <x v="7"/>
    <s v="ESQUADRIAS"/>
    <s v="JANELA MADEIRA QUADRICULADA"/>
    <s v="50223"/>
    <s v="PEÇA"/>
    <n v="307.89999999999998"/>
    <x v="352"/>
    <n v="60"/>
    <n v="80"/>
    <n v="9"/>
    <n v="24"/>
    <n v="4.3200000000000002E-2"/>
    <x v="773"/>
    <n v="65"/>
    <x v="1171"/>
    <n v="20"/>
    <n v="3.25"/>
    <n v="43.333333333333329"/>
    <n v="46.583333333333329"/>
    <n v="14.813403008053056"/>
    <n v="17073.777087622104"/>
    <s v="C"/>
  </r>
  <r>
    <x v="7"/>
    <s v="TIJOLOS"/>
    <s v="TIJOLO VIDRO  VETRO JANUS ICY"/>
    <s v="TIJ-VIDRO-ELECTRO"/>
    <s v="PACOTE"/>
    <n v="23.5"/>
    <x v="358"/>
    <n v="19"/>
    <n v="8"/>
    <n v="19"/>
    <n v="2.31"/>
    <n v="2.8879999999999999E-3"/>
    <x v="774"/>
    <n v="800"/>
    <x v="1172"/>
    <n v="15"/>
    <n v="53.333333333333336"/>
    <n v="400"/>
    <n v="453.33333333333331"/>
    <n v="13.915206063477026"/>
    <n v="17087.692293685581"/>
    <s v="C"/>
  </r>
  <r>
    <x v="7"/>
    <s v="TELHAS"/>
    <s v="CUMEEIRA CERÂMICA TOP TELHA MEDITERRÂNEA"/>
    <s v="CU-TOP-MED"/>
    <s v="PACOTE"/>
    <n v="7.25"/>
    <x v="349"/>
    <n v="2"/>
    <n v="42.2"/>
    <n v="25"/>
    <n v="3.8"/>
    <n v="2.1099999999999999E-3"/>
    <x v="775"/>
    <n v="2500"/>
    <x v="1173"/>
    <n v="15"/>
    <n v="166.66666666666666"/>
    <n v="1250"/>
    <n v="1416.6666666666667"/>
    <n v="13.415590952155377"/>
    <n v="17101.107884637735"/>
    <s v="C"/>
  </r>
  <r>
    <x v="7"/>
    <s v="TELAS E ARAMES"/>
    <s v="ARAME LISO"/>
    <s v="78922"/>
    <s v="METRO"/>
    <n v="17.899999999999999"/>
    <x v="337"/>
    <n v="0.4"/>
    <n v="1000"/>
    <n v="0.4"/>
    <n v="2.2000000000000002"/>
    <n v="1.6000000000000001E-4"/>
    <x v="776"/>
    <n v="940"/>
    <x v="1174"/>
    <n v="40"/>
    <n v="23.5"/>
    <n v="1253.3333333333333"/>
    <n v="1276.8333333333333"/>
    <n v="12.454109426811938"/>
    <n v="17113.561994064548"/>
    <s v="C"/>
  </r>
  <r>
    <x v="7"/>
    <s v="TELAS E ARAMES"/>
    <s v="ARAME LISO"/>
    <s v="78922"/>
    <s v="METRO"/>
    <n v="17.899999999999999"/>
    <x v="337"/>
    <n v="0.4"/>
    <n v="1000"/>
    <n v="0.4"/>
    <n v="2.2000000000000002"/>
    <n v="1.6000000000000001E-4"/>
    <x v="776"/>
    <n v="940"/>
    <x v="1174"/>
    <n v="40"/>
    <n v="23.5"/>
    <n v="1253.3333333333333"/>
    <n v="1276.8333333333333"/>
    <n v="12.454109426811938"/>
    <n v="17126.016103491362"/>
    <s v="C"/>
  </r>
  <r>
    <x v="7"/>
    <s v="TELHAS"/>
    <s v="TELHA CERÂMICA ESPIGÃO MARFIM"/>
    <s v="TC-MARFIM"/>
    <s v="PACOTE"/>
    <n v="4.1900000000000004"/>
    <x v="349"/>
    <n v="2"/>
    <n v="41.5"/>
    <n v="22"/>
    <n v="3.3"/>
    <n v="1.8259999999999999E-3"/>
    <x v="777"/>
    <n v="3960"/>
    <x v="1175"/>
    <n v="15"/>
    <n v="264"/>
    <n v="1980"/>
    <n v="2244"/>
    <n v="12.281205589767884"/>
    <n v="17138.297309081128"/>
    <s v="C"/>
  </r>
  <r>
    <x v="7"/>
    <s v="TELHAS"/>
    <s v="TERMINAL CERÂMICA TOP TELHA IMPERMEABILIZADA"/>
    <s v="TER-CER-TOP-IMP"/>
    <s v="PACOTE"/>
    <n v="4.13"/>
    <x v="349"/>
    <n v="2.6"/>
    <n v="40.5"/>
    <n v="25"/>
    <n v="3"/>
    <n v="2.6324999999999999E-3"/>
    <x v="756"/>
    <n v="3960"/>
    <x v="1176"/>
    <n v="15"/>
    <n v="264"/>
    <n v="1980"/>
    <n v="2244"/>
    <n v="12.105341070582663"/>
    <n v="17150.402650151711"/>
    <s v="C"/>
  </r>
  <r>
    <x v="7"/>
    <s v="TELHAS"/>
    <s v="TERMINAL CERÂMICA ESMALTADA PERKUS COFFEE"/>
    <s v="TER-CER-ES-COFFEE"/>
    <s v="PACOTE"/>
    <n v="4.12"/>
    <x v="355"/>
    <n v="2.5"/>
    <n v="41"/>
    <n v="23.5"/>
    <n v="3"/>
    <n v="2.4087499999999999E-3"/>
    <x v="771"/>
    <n v="3960"/>
    <x v="1177"/>
    <n v="15"/>
    <n v="264"/>
    <n v="1980"/>
    <n v="2244"/>
    <n v="12.076030317385126"/>
    <n v="17162.478680469096"/>
    <s v="C"/>
  </r>
  <r>
    <x v="7"/>
    <s v="TELHAS"/>
    <s v="TELHA CERÂMICA MEDITERRÂNEA "/>
    <s v="TC-MED-MAR"/>
    <s v="PACOTE"/>
    <n v="3.34"/>
    <x v="349"/>
    <n v="2"/>
    <n v="41.8"/>
    <n v="24.9"/>
    <n v="3.3"/>
    <n v="2.0816400000000001E-3"/>
    <x v="778"/>
    <n v="3960"/>
    <x v="1178"/>
    <n v="15"/>
    <n v="264"/>
    <n v="1980"/>
    <n v="2244"/>
    <n v="9.7897915679772627"/>
    <n v="17172.268472037074"/>
    <s v="C"/>
  </r>
  <r>
    <x v="7"/>
    <s v="RESERVATÓRIOS"/>
    <s v="CAIXA D'ÁGUA 1000L"/>
    <s v="CX-1000L"/>
    <s v="UNIDADE"/>
    <n v="219.9"/>
    <x v="359"/>
    <n v="0.94"/>
    <n v="200"/>
    <n v="152"/>
    <n v="18"/>
    <n v="2.8576000000000001E-2"/>
    <x v="779"/>
    <n v="60"/>
    <x v="1179"/>
    <n v="30"/>
    <n v="2"/>
    <n v="60"/>
    <n v="62"/>
    <n v="9.7658100426338237"/>
    <n v="17182.034282079709"/>
    <s v="C"/>
  </r>
  <r>
    <x v="7"/>
    <s v="TELHAS"/>
    <s v="CUMEEIRA CERÂMICA TOP TELHA IMPERMEABILIZADA"/>
    <s v="CU-TOP-IMP"/>
    <s v="PACOTE"/>
    <n v="5.12"/>
    <x v="349"/>
    <n v="2"/>
    <n v="42.5"/>
    <n v="26"/>
    <n v="3.8"/>
    <n v="2.2100000000000002E-3"/>
    <x v="780"/>
    <n v="2500"/>
    <x v="1180"/>
    <n v="15"/>
    <n v="166.66666666666666"/>
    <n v="1250"/>
    <n v="1416.6666666666667"/>
    <n v="9.4741828517290383"/>
    <n v="17191.508464931438"/>
    <s v="C"/>
  </r>
  <r>
    <x v="7"/>
    <s v="TELHAS"/>
    <s v="TELHA CERÂMICA ESMALTADA PERKUS SFUMATO"/>
    <s v="TC-ES-SFU"/>
    <s v="PACOTE"/>
    <n v="4.97"/>
    <x v="355"/>
    <n v="2"/>
    <n v="42"/>
    <n v="23"/>
    <n v="3.7"/>
    <n v="1.9319999999999999E-3"/>
    <x v="781"/>
    <n v="2500"/>
    <x v="1181"/>
    <n v="15"/>
    <n v="166.66666666666666"/>
    <n v="1250"/>
    <n v="1416.6666666666667"/>
    <n v="9.196618900994789"/>
    <n v="17200.705083832432"/>
    <s v="C"/>
  </r>
  <r>
    <x v="7"/>
    <s v="TELHAS"/>
    <s v="TELHA CERÂMICA ESMALTADA VERDE MSUSGO"/>
    <s v="TC-ES-VD "/>
    <s v="PACOTE"/>
    <n v="3.12"/>
    <x v="360"/>
    <n v="2"/>
    <n v="40.5"/>
    <n v="20"/>
    <n v="3"/>
    <n v="1.6199999999999999E-3"/>
    <x v="782"/>
    <n v="3960"/>
    <x v="1182"/>
    <n v="15"/>
    <n v="264"/>
    <n v="1980"/>
    <n v="2244"/>
    <n v="9.144954997631455"/>
    <n v="17209.850038830064"/>
    <s v="C"/>
  </r>
  <r>
    <x v="7"/>
    <s v="ESQUADRIAS"/>
    <s v="PORTA DECORADA"/>
    <s v="2355"/>
    <s v="PEÇA"/>
    <n v="305.89999999999998"/>
    <x v="361"/>
    <n v="210"/>
    <n v="72"/>
    <n v="3.5"/>
    <n v="13"/>
    <n v="5.2920000000000002E-2"/>
    <x v="783"/>
    <n v="40"/>
    <x v="1183"/>
    <n v="20"/>
    <n v="2"/>
    <n v="26.666666666666664"/>
    <n v="28.666666666666664"/>
    <n v="9.0567266698247284"/>
    <n v="17218.906765499887"/>
    <s v="C"/>
  </r>
  <r>
    <x v="7"/>
    <s v="ESQUADRIAS"/>
    <s v="PORTA DECORADA"/>
    <s v="2355"/>
    <s v="PEÇA"/>
    <n v="305.89999999999998"/>
    <x v="361"/>
    <n v="210"/>
    <n v="72"/>
    <n v="3.5"/>
    <n v="13"/>
    <n v="5.2920000000000002E-2"/>
    <x v="783"/>
    <n v="40"/>
    <x v="1183"/>
    <n v="20"/>
    <n v="2"/>
    <n v="26.666666666666664"/>
    <n v="28.666666666666664"/>
    <n v="9.0567266698247284"/>
    <n v="17227.963492169711"/>
    <s v="C"/>
  </r>
  <r>
    <x v="7"/>
    <s v="TELHAS"/>
    <s v="CUMEEIRA CERÂMICA COR RÚBIA"/>
    <s v="CC-RUBIA"/>
    <s v="PACOTE"/>
    <n v="4.87"/>
    <x v="349"/>
    <n v="2"/>
    <n v="42.2"/>
    <n v="25"/>
    <n v="3.8"/>
    <n v="2.1099999999999999E-3"/>
    <x v="775"/>
    <n v="2500"/>
    <x v="1184"/>
    <n v="15"/>
    <n v="166.66666666666666"/>
    <n v="1250"/>
    <n v="1416.6666666666667"/>
    <n v="9.0115762671719573"/>
    <n v="17236.975068436881"/>
    <s v="C"/>
  </r>
  <r>
    <x v="7"/>
    <s v="TELHAS"/>
    <s v="TELHA CERÂMICA COR RÚBIA"/>
    <s v=" TC-RUB-MAR"/>
    <s v="PACOTE"/>
    <n v="2.98"/>
    <x v="349"/>
    <n v="2"/>
    <n v="41.4"/>
    <n v="24.7"/>
    <n v="3.2"/>
    <n v="2.0451599999999999E-3"/>
    <x v="784"/>
    <n v="3960"/>
    <x v="1185"/>
    <n v="15"/>
    <n v="264"/>
    <n v="1980"/>
    <n v="2244"/>
    <n v="8.7346044528659395"/>
    <n v="17245.709672889749"/>
    <s v="C"/>
  </r>
  <r>
    <x v="7"/>
    <s v="FERRO"/>
    <s v="MALHA 15X15 CM"/>
    <s v="479291"/>
    <s v="PEÇA"/>
    <n v="50"/>
    <x v="241"/>
    <n v="0.42"/>
    <n v="300"/>
    <n v="200"/>
    <n v="9"/>
    <n v="2.52E-2"/>
    <x v="785"/>
    <n v="230"/>
    <x v="1186"/>
    <n v="40"/>
    <n v="5.75"/>
    <n v="306.66666666666669"/>
    <n v="312.41666666666669"/>
    <n v="8.5119611558503081"/>
    <n v="17254.2216340456"/>
    <s v="C"/>
  </r>
  <r>
    <x v="7"/>
    <s v="FERRO"/>
    <s v="COLUNA 3/8"/>
    <s v="2945439"/>
    <s v="PEÇA"/>
    <n v="70.2"/>
    <x v="347"/>
    <n v="600"/>
    <n v="700"/>
    <n v="2000"/>
    <n v="16"/>
    <n v="840"/>
    <x v="786"/>
    <n v="160"/>
    <x v="1187"/>
    <n v="40"/>
    <n v="4"/>
    <n v="213.33333333333331"/>
    <n v="217.33333333333331"/>
    <n v="8.3135954523922315"/>
    <n v="17262.535229497993"/>
    <s v="C"/>
  </r>
  <r>
    <x v="7"/>
    <s v="ESQUADRIAS"/>
    <s v="PORTA EXTERNA"/>
    <s v="856965"/>
    <s v="PEÇA"/>
    <n v="133.9"/>
    <x v="362"/>
    <n v="210"/>
    <n v="80"/>
    <n v="6"/>
    <n v="25.8"/>
    <n v="0.1008"/>
    <x v="787"/>
    <n v="80"/>
    <x v="1188"/>
    <n v="20"/>
    <n v="4"/>
    <n v="53.333333333333329"/>
    <n v="57.333333333333329"/>
    <n v="7.9287067740407391"/>
    <n v="17270.463936272034"/>
    <s v="C"/>
  </r>
  <r>
    <x v="7"/>
    <s v="ESQUADRIAS"/>
    <s v="PORTA EXTERNA"/>
    <s v="856965"/>
    <s v="PEÇA"/>
    <n v="133.9"/>
    <x v="362"/>
    <n v="210"/>
    <n v="80"/>
    <n v="6"/>
    <n v="25.8"/>
    <n v="0.1008"/>
    <x v="787"/>
    <n v="80"/>
    <x v="1188"/>
    <n v="20"/>
    <n v="4"/>
    <n v="53.333333333333329"/>
    <n v="57.333333333333329"/>
    <n v="7.9287067740407391"/>
    <n v="17278.392643046074"/>
    <s v="C"/>
  </r>
  <r>
    <x v="7"/>
    <s v="TELHAS"/>
    <s v="CUMEEIRA CERÂMICA AMERICANA VERMELHA"/>
    <s v="CU-AM-VR"/>
    <s v="PACOTE"/>
    <n v="2.59"/>
    <x v="363"/>
    <n v="2"/>
    <n v="43"/>
    <n v="27.1"/>
    <n v="3.1"/>
    <n v="2.3305999999999999E-3"/>
    <x v="788"/>
    <n v="3960"/>
    <x v="1189"/>
    <n v="15"/>
    <n v="264"/>
    <n v="1980"/>
    <n v="2244"/>
    <n v="7.5914850781620089"/>
    <n v="17285.984128124237"/>
    <s v="C"/>
  </r>
  <r>
    <x v="7"/>
    <s v="TELHAS"/>
    <s v="TERMINAL CERÂMICA AMERICANA VERMELHA"/>
    <s v="TER-CER-AM-VR"/>
    <s v="PACOTE"/>
    <n v="2.59"/>
    <x v="363"/>
    <n v="2"/>
    <n v="41"/>
    <n v="22"/>
    <n v="3"/>
    <n v="1.804E-3"/>
    <x v="789"/>
    <n v="3960"/>
    <x v="1189"/>
    <n v="15"/>
    <n v="264"/>
    <n v="1980"/>
    <n v="2244"/>
    <n v="7.5914850781620089"/>
    <n v="17293.5756132024"/>
    <s v="C"/>
  </r>
  <r>
    <x v="7"/>
    <s v="TELHAS"/>
    <s v="TELHA CERÂMICA ESMALTADA PERKUS COFFEE"/>
    <s v="TC-ES-COFFEE"/>
    <s v="PACOTE"/>
    <n v="3.97"/>
    <x v="355"/>
    <n v="2"/>
    <n v="42"/>
    <n v="23"/>
    <n v="3.7"/>
    <n v="1.9319999999999999E-3"/>
    <x v="781"/>
    <n v="2500"/>
    <x v="1190"/>
    <n v="15"/>
    <n v="166.66666666666666"/>
    <n v="1250"/>
    <n v="1416.6666666666667"/>
    <n v="7.3461925627664613"/>
    <n v="17300.921805765167"/>
    <s v="C"/>
  </r>
  <r>
    <x v="7"/>
    <s v="TELHAS"/>
    <s v="TERMINAL CERÂMICA TOP TELHA CAFÉ"/>
    <s v="TER-CER-TOP-CAFÉ"/>
    <s v="PACOTE"/>
    <n v="3.95"/>
    <x v="349"/>
    <n v="2.2999999999999998"/>
    <n v="42.2"/>
    <n v="25"/>
    <n v="3.5"/>
    <n v="2.4264999999999998E-3"/>
    <x v="790"/>
    <n v="2500"/>
    <x v="1191"/>
    <n v="15"/>
    <n v="166.66666666666666"/>
    <n v="1250"/>
    <n v="1416.6666666666667"/>
    <n v="7.3091840360018949"/>
    <n v="17308.23098980117"/>
    <s v="C"/>
  </r>
  <r>
    <x v="7"/>
    <s v="TELHAS"/>
    <s v="TERMINAL CERÂMICA COR RÚBIA"/>
    <s v="TER-CER-RUBIA"/>
    <s v="PACOTE"/>
    <n v="3.86"/>
    <x v="349"/>
    <n v="3"/>
    <n v="41"/>
    <n v="13"/>
    <n v="3.5"/>
    <n v="1.5989999999999999E-3"/>
    <x v="791"/>
    <n v="2500"/>
    <x v="1192"/>
    <n v="15"/>
    <n v="166.66666666666666"/>
    <n v="1250"/>
    <n v="1416.6666666666667"/>
    <n v="7.1426456655613455"/>
    <n v="17315.373635466731"/>
    <s v="C"/>
  </r>
  <r>
    <x v="7"/>
    <s v="TELHAS"/>
    <s v="TERMINAL CERÂMICA MEDITERRÂNEA"/>
    <s v="TER-CER-MED"/>
    <s v="PACOTE"/>
    <n v="3.86"/>
    <x v="349"/>
    <n v="3"/>
    <n v="41"/>
    <n v="13"/>
    <n v="3.5"/>
    <n v="1.5989999999999999E-3"/>
    <x v="791"/>
    <n v="2500"/>
    <x v="1192"/>
    <n v="15"/>
    <n v="166.66666666666666"/>
    <n v="1250"/>
    <n v="1416.6666666666667"/>
    <n v="7.1426456655613455"/>
    <n v="17322.516281132292"/>
    <s v="C"/>
  </r>
  <r>
    <x v="7"/>
    <s v="TELHAS"/>
    <s v="CUMEEIRA CERÂMICA ESMALTADA VERDE MUSGO"/>
    <s v="CU-ES-VD"/>
    <s v="PACOTE"/>
    <n v="3.74"/>
    <x v="360"/>
    <n v="2"/>
    <n v="42.2"/>
    <n v="25"/>
    <n v="3.8"/>
    <n v="2.1099999999999999E-3"/>
    <x v="775"/>
    <n v="2500"/>
    <x v="1193"/>
    <n v="15"/>
    <n v="166.66666666666666"/>
    <n v="1250"/>
    <n v="1416.6666666666667"/>
    <n v="6.9205945049739466"/>
    <n v="17329.436875637264"/>
    <s v="C"/>
  </r>
  <r>
    <x v="7"/>
    <s v="TELHAS"/>
    <s v="TELHA CERÂMICA PLAN ESMALTADA PERKUS BORDEAU"/>
    <s v="TC-ES-BORDEAU"/>
    <s v="PACOTE"/>
    <n v="3.69"/>
    <x v="355"/>
    <n v="2"/>
    <n v="42"/>
    <n v="23"/>
    <n v="3.7"/>
    <n v="1.9319999999999999E-3"/>
    <x v="781"/>
    <n v="2500"/>
    <x v="1194"/>
    <n v="15"/>
    <n v="166.66666666666666"/>
    <n v="1250"/>
    <n v="1416.6666666666667"/>
    <n v="6.8280731880625298"/>
    <n v="17336.264948825326"/>
    <s v="C"/>
  </r>
  <r>
    <x v="7"/>
    <s v="FERRO"/>
    <s v="COLUNA 5/16"/>
    <s v="2871624"/>
    <s v="PEÇA"/>
    <n v="49.8"/>
    <x v="347"/>
    <n v="600"/>
    <n v="700"/>
    <n v="2000"/>
    <n v="13"/>
    <n v="840"/>
    <x v="792"/>
    <n v="170"/>
    <x v="1195"/>
    <n v="40"/>
    <n v="4.25"/>
    <n v="226.66666666666669"/>
    <n v="230.91666666666669"/>
    <n v="6.2662837517764096"/>
    <n v="17342.531232577101"/>
    <s v="C"/>
  </r>
  <r>
    <x v="7"/>
    <s v="TELHAS"/>
    <s v="TELHA CERÂMICA TOP TELHA CAFÉ"/>
    <s v="TC-TOP-CAFÉ"/>
    <s v="PACOTE"/>
    <n v="3.17"/>
    <x v="349"/>
    <n v="2"/>
    <n v="42"/>
    <n v="23"/>
    <n v="3.7"/>
    <n v="1.9319999999999999E-3"/>
    <x v="781"/>
    <n v="2500"/>
    <x v="1196"/>
    <n v="15"/>
    <n v="166.66666666666666"/>
    <n v="1250"/>
    <n v="1416.6666666666667"/>
    <n v="5.8658514921837996"/>
    <n v="17348.397084069285"/>
    <s v="C"/>
  </r>
  <r>
    <x v="7"/>
    <s v="CALHAS"/>
    <s v="CALHA ESQUADRO"/>
    <s v="87012044"/>
    <s v="CAIXA"/>
    <n v="3995"/>
    <x v="212"/>
    <n v="175"/>
    <n v="60"/>
    <n v="28"/>
    <n v="27.5"/>
    <n v="0.29399999999999998"/>
    <x v="38"/>
    <n v="1.9109999999999998"/>
    <x v="1197"/>
    <n v="25"/>
    <n v="7.6439999999999994E-2"/>
    <n v="1.5924999999999998"/>
    <n v="1.6689399999999999"/>
    <n v="5.6507912423022253"/>
    <n v="17354.047875311589"/>
    <s v="C"/>
  </r>
  <r>
    <x v="7"/>
    <s v="CALHAS"/>
    <s v="CALHA ESQUADRO"/>
    <s v="87012044"/>
    <s v="CAIXA"/>
    <n v="3995"/>
    <x v="212"/>
    <n v="175"/>
    <n v="60"/>
    <n v="28"/>
    <n v="27.5"/>
    <n v="0.29399999999999998"/>
    <x v="38"/>
    <n v="1.9109999999999998"/>
    <x v="1197"/>
    <n v="25"/>
    <n v="7.6439999999999994E-2"/>
    <n v="1.5924999999999998"/>
    <n v="1.6689399999999999"/>
    <n v="5.6507912423022253"/>
    <n v="17359.698666553893"/>
    <s v="C"/>
  </r>
  <r>
    <x v="7"/>
    <s v="ESQUADRIAS"/>
    <s v="JANELA VENEZIANA"/>
    <s v="523659"/>
    <s v="PEÇA"/>
    <n v="189.9"/>
    <x v="351"/>
    <n v="120"/>
    <n v="120"/>
    <n v="6"/>
    <n v="12.1"/>
    <n v="8.6400000000000005E-2"/>
    <x v="81"/>
    <n v="40"/>
    <x v="1198"/>
    <n v="20"/>
    <n v="2"/>
    <n v="26.666666666666664"/>
    <n v="28.666666666666664"/>
    <n v="5.622335386072951"/>
    <n v="17365.321001939967"/>
    <s v="C"/>
  </r>
  <r>
    <x v="7"/>
    <s v="ESQUADRIAS"/>
    <s v="JANELA VENEZIANA"/>
    <s v="523659"/>
    <s v="PEÇA"/>
    <n v="189.9"/>
    <x v="351"/>
    <n v="120"/>
    <n v="120"/>
    <n v="6"/>
    <n v="12.1"/>
    <n v="8.6400000000000005E-2"/>
    <x v="81"/>
    <n v="40"/>
    <x v="1198"/>
    <n v="20"/>
    <n v="2"/>
    <n v="26.666666666666664"/>
    <n v="28.666666666666664"/>
    <n v="5.622335386072951"/>
    <n v="17370.94333732604"/>
    <s v="C"/>
  </r>
  <r>
    <x v="7"/>
    <s v="RESERVATÓRIOS"/>
    <s v="FILTRO CAIXA D'ÁGUA"/>
    <s v="FIL-CXDAGUA"/>
    <s v="UNIDADE"/>
    <n v="129"/>
    <x v="41"/>
    <n v="33.5"/>
    <n v="11.8"/>
    <n v="15.8"/>
    <n v="17"/>
    <n v="6.2457400000000005E-3"/>
    <x v="793"/>
    <n v="58"/>
    <x v="1199"/>
    <n v="30"/>
    <n v="1.9333333333333333"/>
    <n v="58"/>
    <n v="59.93333333333333"/>
    <n v="5.53795594504974"/>
    <n v="17376.481293271088"/>
    <s v="C"/>
  </r>
  <r>
    <x v="7"/>
    <s v="TELHAS"/>
    <s v="TERMINAL CERÂMICA ESTAMPADA VERDE MUSGO"/>
    <s v="TER-CER-VD"/>
    <s v="PACOTE"/>
    <n v="2.75"/>
    <x v="360"/>
    <n v="3"/>
    <n v="39.799999999999997"/>
    <n v="13.5"/>
    <n v="3.3"/>
    <n v="1.6118999999999999E-3"/>
    <x v="794"/>
    <n v="2500"/>
    <x v="1200"/>
    <n v="15"/>
    <n v="166.66666666666666"/>
    <n v="1250"/>
    <n v="1416.6666666666667"/>
    <n v="5.088672430127902"/>
    <n v="17381.569965701216"/>
    <s v="C"/>
  </r>
  <r>
    <x v="7"/>
    <s v="TELHAS"/>
    <s v="TELHA CERÂMICA TOP TELHA IMPERMEABILIZADA"/>
    <s v="TC-TOP-IMP"/>
    <s v="PACOTE"/>
    <n v="2.4900000000000002"/>
    <x v="349"/>
    <n v="2"/>
    <n v="41.4"/>
    <n v="24.7"/>
    <n v="3.5"/>
    <n v="2.0451599999999999E-3"/>
    <x v="795"/>
    <n v="2500"/>
    <x v="1201"/>
    <n v="15"/>
    <n v="166.66666666666666"/>
    <n v="1250"/>
    <n v="1416.6666666666667"/>
    <n v="4.607561582188537"/>
    <n v="17386.177527283406"/>
    <s v="C"/>
  </r>
  <r>
    <x v="7"/>
    <s v="ESQUADRIAS"/>
    <s v="JANELA AÇO"/>
    <s v="96569"/>
    <s v="PEÇA"/>
    <n v="147.9"/>
    <x v="352"/>
    <n v="60"/>
    <n v="60"/>
    <n v="14"/>
    <n v="14"/>
    <n v="5.04E-2"/>
    <x v="115"/>
    <n v="40"/>
    <x v="1202"/>
    <n v="20"/>
    <n v="2"/>
    <n v="26.666666666666664"/>
    <n v="28.666666666666664"/>
    <n v="4.3788488867835147"/>
    <n v="17390.556376170189"/>
    <s v="C"/>
  </r>
  <r>
    <x v="7"/>
    <s v="ESQUADRIAS"/>
    <s v="JANELA AÇO"/>
    <s v="96569"/>
    <s v="PEÇA"/>
    <n v="147.9"/>
    <x v="352"/>
    <n v="60"/>
    <n v="60"/>
    <n v="14"/>
    <n v="14"/>
    <n v="5.04E-2"/>
    <x v="115"/>
    <n v="40"/>
    <x v="1202"/>
    <n v="20"/>
    <n v="2"/>
    <n v="26.666666666666664"/>
    <n v="28.666666666666664"/>
    <n v="4.3788488867835147"/>
    <n v="17394.935225056972"/>
    <s v="C"/>
  </r>
  <r>
    <x v="7"/>
    <s v="TELHAS"/>
    <s v="TELHA CERÂMICA AMERICANA VERMELHA"/>
    <s v="TC-AM-VER"/>
    <s v="PACOTE"/>
    <n v="2.19"/>
    <x v="363"/>
    <n v="2"/>
    <n v="43"/>
    <n v="22"/>
    <n v="3.9"/>
    <n v="1.892E-3"/>
    <x v="796"/>
    <n v="2500"/>
    <x v="1203"/>
    <n v="15"/>
    <n v="166.66666666666666"/>
    <n v="1250"/>
    <n v="1416.6666666666667"/>
    <n v="4.0524336807200383"/>
    <n v="17398.987658737693"/>
    <s v="C"/>
  </r>
  <r>
    <x v="7"/>
    <s v="TIJOLOS"/>
    <s v="LAJOTA REFRATÁRIA PA BENTO"/>
    <s v="LAJ-REF-PB"/>
    <s v="PACOTE"/>
    <n v="17.989999999999998"/>
    <x v="364"/>
    <n v="23"/>
    <n v="11.5"/>
    <n v="11.5"/>
    <n v="2.2999999999999998"/>
    <n v="3.0417500000000002E-3"/>
    <x v="797"/>
    <n v="300"/>
    <x v="1204"/>
    <n v="15"/>
    <n v="20"/>
    <n v="150"/>
    <n v="170"/>
    <n v="3.9947003789673134"/>
    <n v="17402.982359116661"/>
    <s v="C"/>
  </r>
  <r>
    <x v="7"/>
    <s v="TIJOLOS"/>
    <s v="TIJOLO REFRATÁRIO PA BENTO"/>
    <s v="TIJ-REF-PB"/>
    <s v="PACOTE"/>
    <n v="14.99"/>
    <x v="364"/>
    <n v="23"/>
    <n v="11.5"/>
    <n v="11.5"/>
    <n v="2.2999999999999998"/>
    <n v="3.0417500000000002E-3"/>
    <x v="797"/>
    <n v="300"/>
    <x v="1205"/>
    <n v="15"/>
    <n v="20"/>
    <n v="150"/>
    <n v="170"/>
    <n v="3.3285468972051162"/>
    <n v="17406.310906013867"/>
    <s v="C"/>
  </r>
  <r>
    <x v="7"/>
    <s v="ESQUADRIAS"/>
    <s v="PORTA INTERNA"/>
    <s v="84942"/>
    <s v="PEÇA"/>
    <n v="61.4"/>
    <x v="365"/>
    <n v="210"/>
    <n v="80"/>
    <n v="5"/>
    <n v="14.7"/>
    <n v="8.4000000000000005E-2"/>
    <x v="798"/>
    <n v="40"/>
    <x v="1206"/>
    <n v="20"/>
    <n v="2"/>
    <n v="26.666666666666664"/>
    <n v="28.666666666666664"/>
    <n v="1.8178588346755093"/>
    <n v="17408.128764848541"/>
    <s v="C"/>
  </r>
  <r>
    <x v="7"/>
    <s v="ESQUADRIAS"/>
    <s v="PORTA INTERNA"/>
    <s v="84942"/>
    <s v="PEÇA"/>
    <n v="61.4"/>
    <x v="365"/>
    <n v="210"/>
    <n v="80"/>
    <n v="5"/>
    <n v="14.7"/>
    <n v="8.4000000000000005E-2"/>
    <x v="798"/>
    <n v="40"/>
    <x v="1206"/>
    <n v="20"/>
    <n v="2"/>
    <n v="26.666666666666664"/>
    <n v="28.666666666666664"/>
    <n v="1.8178588346755093"/>
    <n v="17409.946623683216"/>
    <s v="C"/>
  </r>
  <r>
    <x v="7"/>
    <s v="CALHAS"/>
    <s v="CALHA EMENDA"/>
    <s v="87012023"/>
    <s v="CAIXA"/>
    <n v="962.5"/>
    <x v="366"/>
    <n v="100"/>
    <n v="125"/>
    <n v="26"/>
    <n v="5"/>
    <n v="0.32500000000000001"/>
    <x v="38"/>
    <n v="2.1125000000000003"/>
    <x v="1207"/>
    <n v="25"/>
    <n v="8.4500000000000006E-2"/>
    <n v="1.7604166666666667"/>
    <n v="1.8449166666666668"/>
    <n v="1.504974871210327"/>
    <n v="17411.451598554428"/>
    <s v="C"/>
  </r>
  <r>
    <x v="7"/>
    <s v="CALHAS"/>
    <s v="CALHA EMENDA"/>
    <s v="87012023"/>
    <s v="CAIXA"/>
    <n v="962.5"/>
    <x v="366"/>
    <n v="100"/>
    <n v="125"/>
    <n v="26"/>
    <n v="5"/>
    <n v="0.32500000000000001"/>
    <x v="38"/>
    <n v="2.1125000000000003"/>
    <x v="1207"/>
    <n v="25"/>
    <n v="8.4500000000000006E-2"/>
    <n v="1.7604166666666667"/>
    <n v="1.8449166666666668"/>
    <n v="1.504974871210327"/>
    <n v="17412.956573425639"/>
    <s v="C"/>
  </r>
  <r>
    <x v="7"/>
    <s v="TIJOLOS"/>
    <s v="TIJOLO REFRATÁRIO MARTINS"/>
    <s v="TIJ-REF-MART"/>
    <s v="PACOTE"/>
    <n v="5.49"/>
    <x v="367"/>
    <n v="23"/>
    <n v="11.4"/>
    <n v="11.4"/>
    <n v="2.2999999999999998"/>
    <n v="2.9890800000000003E-3"/>
    <x v="799"/>
    <n v="300"/>
    <x v="1208"/>
    <n v="15"/>
    <n v="20"/>
    <n v="150"/>
    <n v="170"/>
    <n v="1.2190608716248224"/>
    <n v="17414.175634297266"/>
    <s v="C"/>
  </r>
  <r>
    <x v="7"/>
    <s v="CALHAS"/>
    <s v="CALHA EMENDA"/>
    <s v="87295551"/>
    <s v="CAIXA"/>
    <n v="595"/>
    <x v="368"/>
    <n v="100"/>
    <n v="125"/>
    <n v="26"/>
    <n v="22.5"/>
    <n v="0.32500000000000001"/>
    <x v="38"/>
    <n v="2.1125000000000003"/>
    <x v="1209"/>
    <n v="25"/>
    <n v="8.4500000000000006E-2"/>
    <n v="1.7604166666666667"/>
    <n v="1.8449166666666668"/>
    <n v="0.93034810220274766"/>
    <n v="17415.105982399469"/>
    <s v="C"/>
  </r>
  <r>
    <x v="7"/>
    <s v="CALHAS"/>
    <s v="CALHA EMENDA"/>
    <s v="87295551"/>
    <s v="CAIXA"/>
    <n v="595"/>
    <x v="368"/>
    <n v="100"/>
    <n v="125"/>
    <n v="26"/>
    <n v="22.5"/>
    <n v="0.32500000000000001"/>
    <x v="38"/>
    <n v="2.1125000000000003"/>
    <x v="1209"/>
    <n v="25"/>
    <n v="8.4500000000000006E-2"/>
    <n v="1.7604166666666667"/>
    <n v="1.8449166666666668"/>
    <n v="0.93034810220274766"/>
    <n v="17416.036330501673"/>
    <s v="C"/>
  </r>
  <r>
    <x v="7"/>
    <s v="FERRO"/>
    <s v="MALHA 15X15 CM"/>
    <s v="Q61 (CA-60)"/>
    <s v="PEÇA"/>
    <n v="42"/>
    <x v="369"/>
    <n v="0.42"/>
    <n v="300"/>
    <n v="200"/>
    <n v="9"/>
    <n v="2.52E-2"/>
    <x v="112"/>
    <n v="20"/>
    <x v="1210"/>
    <n v="40"/>
    <n v="0.5"/>
    <n v="26.666666666666664"/>
    <n v="27.166666666666664"/>
    <n v="0.62174324964471817"/>
    <n v="17416.658073751318"/>
    <s v="C"/>
  </r>
  <r>
    <x v="7"/>
    <s v="FERRO"/>
    <s v="TRELIÇA 12 M"/>
    <s v="TR 12646"/>
    <s v="10 UNID"/>
    <n v="19.52"/>
    <x v="241"/>
    <n v="1600"/>
    <n v="1200"/>
    <n v="13"/>
    <n v="12.192"/>
    <n v="24.96"/>
    <x v="800"/>
    <n v="20"/>
    <x v="1211"/>
    <n v="40"/>
    <n v="0.5"/>
    <n v="26.666666666666664"/>
    <n v="27.166666666666664"/>
    <n v="0.28896257697773564"/>
    <n v="17416.947036328296"/>
    <s v="C"/>
  </r>
  <r>
    <x v="7"/>
    <s v="CALHAS"/>
    <s v="CALHA ESQUADRO"/>
    <s v="85256593"/>
    <s v="CAIXA"/>
    <n v="1270"/>
    <x v="212"/>
    <n v="62"/>
    <n v="45"/>
    <n v="15"/>
    <n v="20.5"/>
    <n v="4.1849999999999998E-2"/>
    <x v="38"/>
    <n v="0.27202499999999996"/>
    <x v="1212"/>
    <n v="25"/>
    <n v="1.0880999999999998E-2"/>
    <n v="0.22668749999999999"/>
    <n v="0.23756849999999999"/>
    <n v="0.2557080101255329"/>
    <n v="17417.202744338421"/>
    <s v="C"/>
  </r>
  <r>
    <x v="7"/>
    <s v="CALHAS"/>
    <s v="CALHA ESQUADRO"/>
    <s v="85256593"/>
    <s v="CAIXA"/>
    <n v="1270"/>
    <x v="212"/>
    <n v="62"/>
    <n v="45"/>
    <n v="15"/>
    <n v="20.5"/>
    <n v="4.1849999999999998E-2"/>
    <x v="38"/>
    <n v="0.27202499999999996"/>
    <x v="1212"/>
    <n v="25"/>
    <n v="1.0880999999999998E-2"/>
    <n v="0.22668749999999999"/>
    <n v="0.23756849999999999"/>
    <n v="0.2557080101255329"/>
    <n v="17417.458452348546"/>
    <s v="C"/>
  </r>
  <r>
    <x v="7"/>
    <s v="FERRO"/>
    <s v="BARRA 8 MM"/>
    <s v="6462"/>
    <s v="PEÇA"/>
    <n v="21.95"/>
    <x v="241"/>
    <n v="0.8"/>
    <n v="1200"/>
    <n v="0.8"/>
    <n v="4.74"/>
    <n v="7.6800000000000002E-4"/>
    <x v="801"/>
    <n v="1.5"/>
    <x v="1213"/>
    <n v="40"/>
    <n v="3.7499999999999999E-2"/>
    <n v="2"/>
    <n v="2.0375000000000001"/>
    <n v="2.4370114874467077E-2"/>
    <n v="17417.482822463422"/>
    <s v="C"/>
  </r>
  <r>
    <x v="7"/>
    <s v="FERRO"/>
    <s v="BARRA 5 MM"/>
    <s v="0652"/>
    <s v="PEÇA"/>
    <n v="7.92"/>
    <x v="241"/>
    <n v="0.5"/>
    <n v="1200"/>
    <n v="0.5"/>
    <n v="1.85"/>
    <n v="2.9999999999999997E-4"/>
    <x v="802"/>
    <n v="2"/>
    <x v="1214"/>
    <n v="40"/>
    <n v="0.05"/>
    <n v="2.6666666666666665"/>
    <n v="2.7166666666666663"/>
    <n v="1.1724301279014686E-2"/>
    <n v="17417.494546764701"/>
    <s v="C"/>
  </r>
  <r>
    <x v="7"/>
    <s v="CALHAS"/>
    <s v="CALHA SUPORTE"/>
    <s v="87012288"/>
    <s v="CAIXA"/>
    <n v="255"/>
    <x v="212"/>
    <n v="40"/>
    <n v="40"/>
    <n v="4"/>
    <n v="4.5"/>
    <n v="6.4000000000000003E-3"/>
    <x v="38"/>
    <n v="4.1600000000000005E-2"/>
    <x v="1215"/>
    <n v="25"/>
    <n v="1.6640000000000001E-3"/>
    <n v="3.4666666666666672E-2"/>
    <n v="3.6330666666666671E-2"/>
    <n v="7.8517290383704405E-3"/>
    <n v="17417.50239849374"/>
    <s v="C"/>
  </r>
  <r>
    <x v="7"/>
    <s v="CALHAS"/>
    <s v="CALHA SUPORTE"/>
    <s v="87012288"/>
    <s v="CAIXA"/>
    <n v="255"/>
    <x v="212"/>
    <n v="40"/>
    <n v="40"/>
    <n v="4"/>
    <n v="4.5"/>
    <n v="6.4000000000000003E-3"/>
    <x v="38"/>
    <n v="4.1600000000000005E-2"/>
    <x v="1215"/>
    <n v="25"/>
    <n v="1.6640000000000001E-3"/>
    <n v="3.4666666666666672E-2"/>
    <n v="3.6330666666666671E-2"/>
    <n v="7.8517290383704405E-3"/>
    <n v="17417.510250222778"/>
    <s v="C"/>
  </r>
  <r>
    <x v="7"/>
    <s v="CALHAS"/>
    <s v="CALHA JOELHO"/>
    <s v="87012226"/>
    <s v="CAIXA"/>
    <n v="445"/>
    <x v="370"/>
    <n v="42"/>
    <n v="44"/>
    <n v="0.4"/>
    <n v="5.5"/>
    <n v="7.3920000000000008E-4"/>
    <x v="38"/>
    <n v="4.8048000000000006E-3"/>
    <x v="1216"/>
    <n v="25"/>
    <n v="1.9219200000000002E-4"/>
    <n v="4.0040000000000006E-3"/>
    <n v="4.1961920000000005E-3"/>
    <n v="1.5825852676456659E-3"/>
    <n v="17417.511832808046"/>
    <s v="C"/>
  </r>
  <r>
    <x v="7"/>
    <s v="CALHAS"/>
    <s v="CALHA JOELHO"/>
    <s v="87012226"/>
    <s v="CAIXA"/>
    <n v="445"/>
    <x v="370"/>
    <n v="42"/>
    <n v="44"/>
    <n v="0.4"/>
    <n v="5.5"/>
    <n v="7.3920000000000008E-4"/>
    <x v="38"/>
    <n v="4.8048000000000006E-3"/>
    <x v="1216"/>
    <n v="25"/>
    <n v="1.9219200000000002E-4"/>
    <n v="4.0040000000000006E-3"/>
    <n v="4.1961920000000005E-3"/>
    <n v="1.5825852676456659E-3"/>
    <n v="17417.513415393314"/>
    <s v="C"/>
  </r>
  <r>
    <x v="7"/>
    <s v="FERRO"/>
    <s v="BARRA 10MM"/>
    <s v="6496"/>
    <s v="PEÇA"/>
    <n v="32.630000000000003"/>
    <x v="241"/>
    <n v="1"/>
    <n v="1200"/>
    <n v="1"/>
    <n v="7.4"/>
    <n v="1.1999999999999999E-3"/>
    <x v="803"/>
    <n v="2E-3"/>
    <x v="1217"/>
    <n v="40"/>
    <n v="5.0000000000000002E-5"/>
    <n v="2.666666666666667E-3"/>
    <n v="2.7166666666666671E-3"/>
    <n v="4.830352913311228E-5"/>
    <n v="17417.513463696843"/>
    <s v="C"/>
  </r>
  <r>
    <x v="7"/>
    <s v="FERRO"/>
    <s v="TRELIÇA 10 M"/>
    <s v="TR 12645"/>
    <s v="10 UNID"/>
    <n v="21.96"/>
    <x v="241"/>
    <n v="1200"/>
    <n v="1000"/>
    <n v="12"/>
    <n v="7.0880000000000001"/>
    <n v="14.4"/>
    <x v="804"/>
    <n v="2E-3"/>
    <x v="1218"/>
    <n v="40"/>
    <n v="5.0000000000000002E-5"/>
    <n v="2.666666666666667E-3"/>
    <n v="2.7166666666666671E-3"/>
    <n v="3.2508289909995263E-5"/>
    <n v="17417.513496205134"/>
    <s v="C"/>
  </r>
  <r>
    <x v="7"/>
    <s v="FERRO"/>
    <s v="TRELIÇA 8M"/>
    <s v="TR 08645"/>
    <s v="10 UNID"/>
    <n v="14.64"/>
    <x v="241"/>
    <n v="800"/>
    <n v="800"/>
    <n v="12"/>
    <n v="5.88"/>
    <n v="7.68"/>
    <x v="805"/>
    <n v="2.5000000000000001E-3"/>
    <x v="1219"/>
    <n v="40"/>
    <n v="6.2500000000000001E-5"/>
    <n v="3.3333333333333331E-3"/>
    <n v="3.3958333333333332E-3"/>
    <n v="2.7090241591662721E-5"/>
    <n v="17417.513523295376"/>
    <s v="C"/>
  </r>
  <r>
    <x v="7"/>
    <s v="FERRO"/>
    <s v="ESTRIBO 7X17 CM"/>
    <s v="215841"/>
    <s v="PEÇA"/>
    <n v="0.34"/>
    <x v="241"/>
    <n v="0.42"/>
    <n v="7"/>
    <n v="17"/>
    <n v="5.8999999999999997E-2"/>
    <n v="4.9979999999999999E-5"/>
    <x v="806"/>
    <n v="0.02"/>
    <x v="1220"/>
    <n v="40"/>
    <n v="5.0000000000000001E-4"/>
    <n v="2.6666666666666665E-2"/>
    <n v="2.7166666666666665E-2"/>
    <n v="5.0331596399810524E-6"/>
    <n v="17417.513528328534"/>
    <s v="C"/>
  </r>
  <r>
    <x v="8"/>
    <s v="COLCHÕES"/>
    <s v="COLCHÃO ORTOBOM CASAL ESPUMA HR"/>
    <s v="85P45"/>
    <s v="PLÁSTICO"/>
    <n v="2199"/>
    <x v="371"/>
    <n v="30"/>
    <n v="138"/>
    <n v="188"/>
    <n v="39.4"/>
    <n v="0.77832000000000001"/>
    <x v="807"/>
    <n v="70"/>
    <x v="1221"/>
    <n v="25"/>
    <n v="2.8"/>
    <n v="58.333333333333336"/>
    <n v="61.133333333333333"/>
    <n v="113.93445049739461"/>
    <n v="113.93445049739461"/>
    <s v="A"/>
  </r>
  <r>
    <x v="8"/>
    <s v="COZINHA"/>
    <s v="PANELEIRO"/>
    <s v="IPLDA-70"/>
    <s v="CAIXA"/>
    <n v="764.9"/>
    <x v="107"/>
    <n v="221"/>
    <n v="47"/>
    <n v="70"/>
    <n v="55.6"/>
    <n v="0.72709000000000001"/>
    <x v="808"/>
    <n v="150"/>
    <x v="1222"/>
    <n v="40"/>
    <n v="3.75"/>
    <n v="200"/>
    <n v="203.75"/>
    <n v="84.923466366650885"/>
    <n v="198.85791686404548"/>
    <s v="A"/>
  </r>
  <r>
    <x v="8"/>
    <s v="COLCHÕES"/>
    <s v="COLCHÃO CASAL MOLA BONNEL SYSTEM"/>
    <s v="25M41"/>
    <s v="PLÁSTICO"/>
    <n v="1599"/>
    <x v="372"/>
    <n v="28"/>
    <n v="138"/>
    <n v="188"/>
    <n v="120"/>
    <n v="0.72643199999999997"/>
    <x v="809"/>
    <n v="70"/>
    <x v="1223"/>
    <n v="25"/>
    <n v="2.8"/>
    <n v="58.333333333333336"/>
    <n v="61.133333333333333"/>
    <n v="82.847288015158696"/>
    <n v="281.70520487920419"/>
    <s v="A"/>
  </r>
  <r>
    <x v="8"/>
    <s v="COLCHÕES"/>
    <s v="COLCHÃO ORTOBOM CASAL MOLA"/>
    <s v="21DF85"/>
    <s v="PLÁSTICO"/>
    <n v="1099"/>
    <x v="371"/>
    <n v="26"/>
    <n v="138"/>
    <n v="188"/>
    <n v="26.7"/>
    <n v="0.67454400000000003"/>
    <x v="810"/>
    <n v="90"/>
    <x v="1224"/>
    <n v="25"/>
    <n v="3.6"/>
    <n v="75"/>
    <n v="78.599999999999994"/>
    <n v="73.210267645665567"/>
    <n v="354.91547252486976"/>
    <s v="A"/>
  </r>
  <r>
    <x v="8"/>
    <s v="COLCHÕES"/>
    <s v="COLCHÃO CASAL ESPUMA D-46"/>
    <s v="325O4"/>
    <s v="PLÁSTICO"/>
    <n v="1099"/>
    <x v="372"/>
    <n v="25"/>
    <n v="138"/>
    <n v="188"/>
    <n v="25"/>
    <n v="0.64859999999999995"/>
    <x v="811"/>
    <n v="90"/>
    <x v="1224"/>
    <n v="25"/>
    <n v="3.6"/>
    <n v="75"/>
    <n v="78.599999999999994"/>
    <n v="73.210267645665567"/>
    <n v="428.12574017053532"/>
    <s v="A"/>
  </r>
  <r>
    <x v="8"/>
    <s v="COZINHA"/>
    <s v="PANELEIRO"/>
    <s v="322BA"/>
    <s v="CAIXA"/>
    <n v="634.9"/>
    <x v="107"/>
    <n v="221"/>
    <n v="47"/>
    <n v="70"/>
    <n v="52.65"/>
    <n v="0.72709000000000001"/>
    <x v="808"/>
    <n v="150"/>
    <x v="1225"/>
    <n v="40"/>
    <n v="3.75"/>
    <n v="200"/>
    <n v="203.75"/>
    <n v="70.490140928469927"/>
    <n v="498.61588109900526"/>
    <s v="A"/>
  </r>
  <r>
    <x v="8"/>
    <s v="ESTOFADOS"/>
    <s v="POLTRONA"/>
    <s v="RECLINÁVEL DETROIT ZERO WALL CORINO PRETO"/>
    <s v="UNIDADE"/>
    <n v="2300"/>
    <x v="373"/>
    <n v="1.05"/>
    <n v="1.71"/>
    <n v="0.84"/>
    <n v="51.22"/>
    <n v="1.5082199999999999E-6"/>
    <x v="812"/>
    <n v="40"/>
    <x v="1226"/>
    <n v="40"/>
    <n v="1"/>
    <n v="53.333333333333329"/>
    <n v="54.333333333333329"/>
    <n v="68.095689246802465"/>
    <n v="566.71157034580779"/>
    <s v="A"/>
  </r>
  <r>
    <x v="8"/>
    <s v="COLCHÕES"/>
    <s v="COLCHÃO ORTOBOM CASAL ESPUMA D-28"/>
    <s v="236Ç5"/>
    <s v="PLÁSTICO"/>
    <n v="599"/>
    <x v="371"/>
    <n v="17"/>
    <n v="138"/>
    <n v="188"/>
    <n v="15.8"/>
    <n v="0.441048"/>
    <x v="813"/>
    <n v="150"/>
    <x v="1227"/>
    <n v="25"/>
    <n v="6"/>
    <n v="125"/>
    <n v="131"/>
    <n v="66.504322595926098"/>
    <n v="633.21589294173384"/>
    <s v="A"/>
  </r>
  <r>
    <x v="8"/>
    <s v="COLCHÕES"/>
    <s v="COLCHÃO CASAL MOLA COM ORTOPILLOW "/>
    <s v="23CV1"/>
    <s v="PLÁSTICO"/>
    <n v="549"/>
    <x v="371"/>
    <n v="23"/>
    <n v="138"/>
    <n v="188"/>
    <n v="15.5"/>
    <n v="0.59671200000000002"/>
    <x v="814"/>
    <n v="150"/>
    <x v="1228"/>
    <n v="25"/>
    <n v="6"/>
    <n v="125"/>
    <n v="131"/>
    <n v="60.953043581241118"/>
    <n v="694.16893652297495"/>
    <s v="A"/>
  </r>
  <r>
    <x v="8"/>
    <s v="COZINHA"/>
    <s v="PANELEIRO"/>
    <s v="PA30"/>
    <s v="CAIXA"/>
    <n v="525.9"/>
    <x v="107"/>
    <n v="221"/>
    <n v="47"/>
    <n v="70"/>
    <n v="57.25"/>
    <n v="0.72709000000000001"/>
    <x v="808"/>
    <n v="150"/>
    <x v="1229"/>
    <n v="40"/>
    <n v="3.75"/>
    <n v="200"/>
    <n v="203.75"/>
    <n v="58.388352676456655"/>
    <n v="752.55728919943158"/>
    <s v="A"/>
  </r>
  <r>
    <x v="8"/>
    <s v="COZINHA"/>
    <s v="PANELEIRO"/>
    <s v="PF-100"/>
    <s v="CAIXA"/>
    <n v="489"/>
    <x v="107"/>
    <n v="221"/>
    <n v="52"/>
    <n v="70"/>
    <n v="50.8"/>
    <n v="0.80444000000000004"/>
    <x v="815"/>
    <n v="150"/>
    <x v="1230"/>
    <n v="40"/>
    <n v="3.75"/>
    <n v="200"/>
    <n v="203.75"/>
    <n v="54.291508763619142"/>
    <n v="806.84879796305074"/>
    <s v="A"/>
  </r>
  <r>
    <x v="8"/>
    <s v="COLCHÕES"/>
    <s v="COLCHÃO MANNES CASAL MOLA"/>
    <s v="9L523"/>
    <s v="PLÁSTICO"/>
    <n v="790"/>
    <x v="374"/>
    <n v="26"/>
    <n v="138"/>
    <n v="188"/>
    <n v="26.49"/>
    <n v="0.67454400000000003"/>
    <x v="810"/>
    <n v="90"/>
    <x v="1231"/>
    <n v="25"/>
    <n v="3.6"/>
    <n v="75"/>
    <n v="78.599999999999994"/>
    <n v="52.626125059213642"/>
    <n v="859.47492302226442"/>
    <s v="A"/>
  </r>
  <r>
    <x v="8"/>
    <s v="ESTAR E JANTAR"/>
    <s v="MESA DE JANTAR"/>
    <s v="3650483"/>
    <s v="UNIDADE"/>
    <n v="1449"/>
    <x v="375"/>
    <n v="123"/>
    <n v="75"/>
    <n v="123"/>
    <n v="42"/>
    <n v="1.1346750000000001"/>
    <x v="816"/>
    <n v="46"/>
    <x v="1232"/>
    <n v="40"/>
    <n v="1.1499999999999999"/>
    <n v="61.333333333333336"/>
    <n v="62.483333333333334"/>
    <n v="49.335326859308388"/>
    <n v="908.81024988157276"/>
    <s v="A"/>
  </r>
  <r>
    <x v="8"/>
    <s v="ESTOFADOS"/>
    <s v="SOFÁ"/>
    <s v=" 3 LUGARES PALATINO SUEDE VERMELHO"/>
    <s v="UNIDADE"/>
    <n v="790"/>
    <x v="376"/>
    <n v="92"/>
    <n v="100"/>
    <n v="200"/>
    <n v="40"/>
    <n v="1.84"/>
    <x v="817"/>
    <n v="84"/>
    <x v="1233"/>
    <n v="40"/>
    <n v="2.1"/>
    <n v="112"/>
    <n v="114.1"/>
    <n v="49.117716721932737"/>
    <n v="957.92796660350552"/>
    <s v="A"/>
  </r>
  <r>
    <x v="8"/>
    <s v="COLCHÕES"/>
    <s v="COLCHÃO CASAL MOLA"/>
    <s v="965T8"/>
    <s v="PLÁSTICO"/>
    <n v="659"/>
    <x v="372"/>
    <n v="25"/>
    <n v="138"/>
    <n v="188"/>
    <n v="23"/>
    <n v="0.64859999999999995"/>
    <x v="811"/>
    <n v="90"/>
    <x v="1234"/>
    <n v="25"/>
    <n v="3.6"/>
    <n v="75"/>
    <n v="78.599999999999994"/>
    <n v="43.899514448128848"/>
    <n v="1001.8274810516343"/>
    <s v="A"/>
  </r>
  <r>
    <x v="8"/>
    <s v="COLCHÕES"/>
    <s v="COLCHÃO CASAL ESPUMA D-45"/>
    <s v="352C4"/>
    <s v="PLÁSTICO"/>
    <n v="740"/>
    <x v="372"/>
    <n v="17"/>
    <n v="138"/>
    <n v="188"/>
    <n v="19"/>
    <n v="0.441048"/>
    <x v="818"/>
    <n v="80"/>
    <x v="1235"/>
    <n v="25"/>
    <n v="3.2"/>
    <n v="66.666666666666657"/>
    <n v="69.86666666666666"/>
    <n v="43.818095689246803"/>
    <n v="1045.6455767408811"/>
    <s v="A"/>
  </r>
  <r>
    <x v="8"/>
    <s v="ESTOFADOS"/>
    <s v="POLTRONA"/>
    <s v="SUMMERSET TECIDO PATCHWORK COLORIDA"/>
    <s v="UNIDADE"/>
    <n v="480"/>
    <x v="377"/>
    <n v="55"/>
    <n v="68"/>
    <n v="64"/>
    <n v="10"/>
    <n v="0.23935999999999999"/>
    <x v="819"/>
    <n v="123"/>
    <x v="1236"/>
    <n v="40"/>
    <n v="3.0750000000000002"/>
    <n v="164"/>
    <n v="167.07499999999999"/>
    <n v="43.699668403600192"/>
    <n v="1089.3452451444814"/>
    <s v="A"/>
  </r>
  <r>
    <x v="8"/>
    <s v="COLCHÕES"/>
    <s v="COLCHÃO AMERICANFLEX CASAL MOLA"/>
    <s v="52NB47"/>
    <s v="PLÁSTICO"/>
    <n v="649"/>
    <x v="378"/>
    <n v="26"/>
    <n v="138"/>
    <n v="188"/>
    <n v="27"/>
    <n v="0.67454400000000003"/>
    <x v="810"/>
    <n v="90"/>
    <x v="1237"/>
    <n v="25"/>
    <n v="3.6"/>
    <n v="75"/>
    <n v="78.599999999999994"/>
    <n v="43.233360966366654"/>
    <n v="1132.5786061108481"/>
    <s v="A"/>
  </r>
  <r>
    <x v="8"/>
    <s v="COLCHÕES"/>
    <s v="COLCHÃO HELLEN CASAL MOLA POCKET"/>
    <s v="25AS47"/>
    <s v="PLÁSTICO"/>
    <n v="699"/>
    <x v="379"/>
    <n v="26"/>
    <n v="138"/>
    <n v="188"/>
    <n v="29"/>
    <n v="0.67454400000000003"/>
    <x v="820"/>
    <n v="80"/>
    <x v="1238"/>
    <n v="25"/>
    <n v="3.2"/>
    <n v="66.666666666666657"/>
    <n v="69.86666666666666"/>
    <n v="41.390336333491234"/>
    <n v="1173.9689424443393"/>
    <s v="A"/>
  </r>
  <r>
    <x v="8"/>
    <s v="ESTOFADOS"/>
    <s v="POLTRONA"/>
    <s v="BARCELONA COURÍSSIMO AMARELA"/>
    <s v="UNIDADE"/>
    <n v="920"/>
    <x v="380"/>
    <n v="77"/>
    <n v="78"/>
    <n v="77"/>
    <n v="24"/>
    <n v="0.46246199999999998"/>
    <x v="821"/>
    <n v="60"/>
    <x v="1239"/>
    <n v="40"/>
    <n v="1.5"/>
    <n v="80"/>
    <n v="81.5"/>
    <n v="40.857413548081482"/>
    <n v="1214.8263559924208"/>
    <s v="A"/>
  </r>
  <r>
    <x v="8"/>
    <s v="ESTOFADOS"/>
    <s v="SOFÁ"/>
    <s v=" 3 LUGARES SICK SARJA AZUL TURQUESA"/>
    <s v="UNIDADE"/>
    <n v="1200"/>
    <x v="381"/>
    <n v="79"/>
    <n v="91"/>
    <n v="220"/>
    <n v="67"/>
    <n v="1.58158"/>
    <x v="822"/>
    <n v="45.5"/>
    <x v="72"/>
    <n v="40"/>
    <n v="1.1375"/>
    <n v="60.666666666666664"/>
    <n v="61.804166666666667"/>
    <n v="40.413311226906679"/>
    <n v="1255.2396672193274"/>
    <s v="A"/>
  </r>
  <r>
    <x v="8"/>
    <s v="JARDIM"/>
    <s v="CADEIRA"/>
    <s v="JARDIM BALANCE"/>
    <s v="UNIDADE"/>
    <n v="1073.9000000000001"/>
    <x v="324"/>
    <n v="207"/>
    <n v="129"/>
    <n v="215"/>
    <n v="42"/>
    <n v="5.7411450000000004"/>
    <x v="823"/>
    <n v="50"/>
    <x v="1240"/>
    <n v="15"/>
    <n v="3.3333333333333335"/>
    <n v="25"/>
    <n v="28.333333333333332"/>
    <n v="39.743456892468032"/>
    <n v="1294.9831241117954"/>
    <s v="A"/>
  </r>
  <r>
    <x v="8"/>
    <s v="COLCHÕES"/>
    <s v="COLCHÃO CASAL MOLA BONNEL SYSTEM "/>
    <s v="85MM"/>
    <s v="PLÁSTICO"/>
    <n v="759"/>
    <x v="372"/>
    <n v="24"/>
    <n v="138"/>
    <n v="188"/>
    <n v="100"/>
    <n v="0.62265599999999999"/>
    <x v="824"/>
    <n v="70"/>
    <x v="1241"/>
    <n v="25"/>
    <n v="2.8"/>
    <n v="58.333333333333336"/>
    <n v="61.133333333333333"/>
    <n v="39.325260540028424"/>
    <n v="1334.3083846518239"/>
    <s v="A"/>
  </r>
  <r>
    <x v="8"/>
    <s v="ESCRITÓRIO "/>
    <s v="CADEIRA"/>
    <s v="5148"/>
    <s v="UNIDADE"/>
    <n v="439"/>
    <x v="382"/>
    <n v="103"/>
    <n v="53"/>
    <n v="52"/>
    <n v="15"/>
    <n v="0.28386800000000001"/>
    <x v="825"/>
    <n v="120"/>
    <x v="1242"/>
    <n v="40"/>
    <n v="3"/>
    <n v="160"/>
    <n v="163"/>
    <n v="38.992183799147327"/>
    <n v="1373.3005684509712"/>
    <s v="A"/>
  </r>
  <r>
    <x v="8"/>
    <s v="ESTAR E JANTAR"/>
    <s v="MESA DE JANTAR"/>
    <s v="MC 2020 TAMPO INCOLOR/BASE MC 2020 TAMPO INCOLOR"/>
    <s v="UNIDADE"/>
    <n v="1099.9000000000001"/>
    <x v="383"/>
    <n v="60"/>
    <n v="90"/>
    <n v="150"/>
    <n v="23"/>
    <n v="0.81"/>
    <x v="826"/>
    <n v="46"/>
    <x v="1243"/>
    <n v="40"/>
    <n v="1.1499999999999999"/>
    <n v="61.333333333333336"/>
    <n v="62.483333333333334"/>
    <n v="37.449224301279017"/>
    <n v="1410.7497927522502"/>
    <s v="A"/>
  </r>
  <r>
    <x v="8"/>
    <s v="COZINHA"/>
    <s v="PANELEIRO"/>
    <s v="CD308"/>
    <s v="CAIXA"/>
    <n v="714"/>
    <x v="107"/>
    <n v="224"/>
    <n v="31.6"/>
    <n v="70"/>
    <n v="45"/>
    <n v="0.49548799999999998"/>
    <x v="827"/>
    <n v="70"/>
    <x v="1244"/>
    <n v="40"/>
    <n v="1.75"/>
    <n v="93.333333333333343"/>
    <n v="95.083333333333343"/>
    <n v="36.99372335386073"/>
    <n v="1447.743516106111"/>
    <s v="A"/>
  </r>
  <r>
    <x v="8"/>
    <s v="ESTOFADOS"/>
    <s v="SOFÁ"/>
    <s v="RECLINÁVEL E ASSENTO RETRÁTIL STRAUSS SUED PRETO"/>
    <s v="UNIDADE"/>
    <n v="1200"/>
    <x v="381"/>
    <n v="93"/>
    <n v="158"/>
    <n v="220"/>
    <n v="88"/>
    <n v="3.2326800000000002"/>
    <x v="828"/>
    <n v="40"/>
    <x v="1245"/>
    <n v="40"/>
    <n v="1"/>
    <n v="53.333333333333329"/>
    <n v="54.333333333333329"/>
    <n v="35.528185693983893"/>
    <n v="1483.2717018000949"/>
    <s v="A"/>
  </r>
  <r>
    <x v="8"/>
    <s v="ESTAR E JANTAR"/>
    <s v="MESA DE JANTAR"/>
    <s v="33501100"/>
    <s v="UNIDADE"/>
    <n v="999.9"/>
    <x v="375"/>
    <n v="125"/>
    <n v="75"/>
    <n v="125"/>
    <n v="33"/>
    <n v="1.171875"/>
    <x v="829"/>
    <n v="46"/>
    <x v="1246"/>
    <n v="40"/>
    <n v="1.1499999999999999"/>
    <n v="61.333333333333336"/>
    <n v="62.483333333333334"/>
    <n v="34.044439838938892"/>
    <n v="1517.3161416390337"/>
    <s v="A"/>
  </r>
  <r>
    <x v="8"/>
    <s v="COLCHÕES"/>
    <s v="COLCHÃO PAROPAS CASAL MOLA"/>
    <s v="21PO58"/>
    <s v="PLÁSTICO"/>
    <n v="629"/>
    <x v="384"/>
    <n v="22"/>
    <n v="138"/>
    <n v="188"/>
    <n v="30"/>
    <n v="0.57076800000000005"/>
    <x v="830"/>
    <n v="70"/>
    <x v="1247"/>
    <n v="25"/>
    <n v="2.8"/>
    <n v="58.333333333333336"/>
    <n v="61.133333333333333"/>
    <n v="32.589708668877307"/>
    <n v="1549.9058503079111"/>
    <s v="A"/>
  </r>
  <r>
    <x v="8"/>
    <s v="ESTOFADOS"/>
    <s v="POLTRONA"/>
    <s v="EGG RELAX VELUTE GELO"/>
    <s v="UNIDADE"/>
    <n v="1100"/>
    <x v="380"/>
    <n v="105"/>
    <n v="65"/>
    <n v="88"/>
    <n v="33.4"/>
    <n v="0.60060000000000002"/>
    <x v="831"/>
    <n v="40"/>
    <x v="608"/>
    <n v="40"/>
    <n v="1"/>
    <n v="53.333333333333329"/>
    <n v="54.333333333333329"/>
    <n v="32.567503552818572"/>
    <n v="1582.4733538607297"/>
    <s v="A"/>
  </r>
  <r>
    <x v="8"/>
    <s v="ESTAR E JANTAR"/>
    <s v="CADEIRA DE JANTAR"/>
    <s v="920330110000000"/>
    <s v="UNIDADE"/>
    <n v="539"/>
    <x v="178"/>
    <n v="81"/>
    <n v="49"/>
    <n v="41"/>
    <n v="3.5"/>
    <n v="0.16272900000000001"/>
    <x v="832"/>
    <n v="69"/>
    <x v="1248"/>
    <n v="40"/>
    <n v="1.7250000000000001"/>
    <n v="92"/>
    <n v="93.724999999999994"/>
    <n v="27.527682378019897"/>
    <n v="1610.0010362387495"/>
    <s v="A"/>
  </r>
  <r>
    <x v="8"/>
    <s v="JARDIM"/>
    <s v="MESA"/>
    <s v="BARCELONA"/>
    <s v="UNIDADE"/>
    <n v="1199"/>
    <x v="385"/>
    <n v="100"/>
    <n v="61"/>
    <n v="40"/>
    <n v="32"/>
    <n v="0.24399999999999999"/>
    <x v="833"/>
    <n v="30"/>
    <x v="1249"/>
    <n v="15"/>
    <n v="2"/>
    <n v="15"/>
    <n v="17"/>
    <n v="26.623934154429183"/>
    <n v="1636.6249703931787"/>
    <s v="A"/>
  </r>
  <r>
    <x v="8"/>
    <s v="ESTOFADOS"/>
    <s v="SOFÁ"/>
    <s v="VILARREAL 3 E 2 LUGARES CORANO CAFÉ"/>
    <s v="UNIDADE"/>
    <n v="420"/>
    <x v="376"/>
    <n v="92"/>
    <n v="90"/>
    <n v="148"/>
    <n v="32"/>
    <n v="1.2254400000000001"/>
    <x v="834"/>
    <n v="80"/>
    <x v="1250"/>
    <n v="40"/>
    <n v="2"/>
    <n v="106.66666666666666"/>
    <n v="108.66666666666666"/>
    <n v="24.869729985788727"/>
    <n v="1661.4947003789675"/>
    <s v="A"/>
  </r>
  <r>
    <x v="8"/>
    <s v="COZINHA"/>
    <s v="PANELEIRO"/>
    <s v="PH3020"/>
    <s v="CAIXA"/>
    <n v="439"/>
    <x v="107"/>
    <n v="220"/>
    <n v="60"/>
    <n v="50"/>
    <n v="25"/>
    <n v="0.66"/>
    <x v="835"/>
    <n v="70"/>
    <x v="1251"/>
    <n v="40"/>
    <n v="1.75"/>
    <n v="93.333333333333343"/>
    <n v="95.083333333333343"/>
    <n v="22.745440549502607"/>
    <n v="1684.2401409284701"/>
    <s v="A"/>
  </r>
  <r>
    <x v="8"/>
    <s v="COZINHA"/>
    <s v="PANELEIRO"/>
    <s v="PA40"/>
    <s v="CAIXA"/>
    <n v="429.9"/>
    <x v="107"/>
    <n v="221"/>
    <n v="47"/>
    <n v="70"/>
    <n v="50.8"/>
    <n v="0.72709000000000001"/>
    <x v="836"/>
    <n v="70"/>
    <x v="1252"/>
    <n v="40"/>
    <n v="1.75"/>
    <n v="93.333333333333343"/>
    <n v="95.083333333333343"/>
    <n v="22.273951918522027"/>
    <n v="1706.5140928469921"/>
    <s v="A"/>
  </r>
  <r>
    <x v="8"/>
    <s v="ESTOFADOS"/>
    <s v="POLTRONA"/>
    <s v="HEITOR MADEIRA AMARELO"/>
    <s v="UNIDADE"/>
    <n v="600"/>
    <x v="386"/>
    <n v="81"/>
    <n v="95"/>
    <n v="79"/>
    <n v="14"/>
    <n v="0.60790500000000003"/>
    <x v="837"/>
    <n v="50"/>
    <x v="1253"/>
    <n v="40"/>
    <n v="1.25"/>
    <n v="66.666666666666671"/>
    <n v="67.916666666666671"/>
    <n v="22.205116058739936"/>
    <n v="1728.7192089057321"/>
    <s v="A"/>
  </r>
  <r>
    <x v="8"/>
    <s v="COLCHÕES"/>
    <s v="CAMA BOX CONJUGADO SOLTEIRO "/>
    <s v="1243203"/>
    <s v="PLÁSTICO"/>
    <n v="329"/>
    <x v="387"/>
    <n v="39"/>
    <n v="88"/>
    <n v="188"/>
    <n v="26"/>
    <n v="0.64521600000000001"/>
    <x v="838"/>
    <n v="90"/>
    <x v="1254"/>
    <n v="25"/>
    <n v="3.6"/>
    <n v="75"/>
    <n v="78.599999999999994"/>
    <n v="21.916449549976313"/>
    <n v="1750.6356584557084"/>
    <s v="A"/>
  </r>
  <r>
    <x v="8"/>
    <s v="ESCRITÓRIO "/>
    <s v="CADEIRA"/>
    <s v="CORDOBA"/>
    <s v="UNIDADE"/>
    <n v="729"/>
    <x v="375"/>
    <n v="82"/>
    <n v="34"/>
    <n v="65"/>
    <n v="21"/>
    <n v="0.18121999999999999"/>
    <x v="839"/>
    <n v="40"/>
    <x v="1255"/>
    <n v="40"/>
    <n v="1"/>
    <n v="53.333333333333329"/>
    <n v="54.333333333333329"/>
    <n v="21.583372809095216"/>
    <n v="1772.2190312648036"/>
    <s v="A"/>
  </r>
  <r>
    <x v="8"/>
    <s v="DORMITÓRIO"/>
    <s v="ROUPEIRO"/>
    <s v="A209"/>
    <s v="UNIDADE"/>
    <n v="1890"/>
    <x v="388"/>
    <n v="224"/>
    <n v="144"/>
    <n v="53"/>
    <n v="127"/>
    <n v="1.709568"/>
    <x v="840"/>
    <n v="15"/>
    <x v="1256"/>
    <n v="40"/>
    <n v="0.375"/>
    <n v="20"/>
    <n v="20.375"/>
    <n v="20.98383467550924"/>
    <n v="1793.2028659403129"/>
    <s v="A"/>
  </r>
  <r>
    <x v="8"/>
    <s v="ESTOFADOS"/>
    <s v="POLTRONA"/>
    <s v="TARSILA POLIURETANO PRETA"/>
    <s v="UNIDADE"/>
    <n v="230"/>
    <x v="380"/>
    <n v="70"/>
    <n v="69"/>
    <n v="60"/>
    <n v="10.5"/>
    <n v="0.2898"/>
    <x v="841"/>
    <n v="122"/>
    <x v="1257"/>
    <n v="40"/>
    <n v="3.05"/>
    <n v="162.66666666666666"/>
    <n v="165.71666666666667"/>
    <n v="20.769185220274753"/>
    <n v="1813.9720511605876"/>
    <s v="A"/>
  </r>
  <r>
    <x v="8"/>
    <s v="DORMITÓRIO"/>
    <s v="ROUPEIRO"/>
    <s v="B428"/>
    <s v="UNIDADE"/>
    <n v="1860"/>
    <x v="388"/>
    <n v="232"/>
    <n v="246"/>
    <n v="50"/>
    <n v="196"/>
    <n v="2.8536000000000001"/>
    <x v="842"/>
    <n v="15"/>
    <x v="1258"/>
    <n v="40"/>
    <n v="0.375"/>
    <n v="20"/>
    <n v="20.375"/>
    <n v="20.650757934628139"/>
    <n v="1834.6228090952159"/>
    <s v="A"/>
  </r>
  <r>
    <x v="8"/>
    <s v="COZINHA"/>
    <s v="PANELEIRO"/>
    <s v="100517"/>
    <s v="CAIXA"/>
    <n v="395"/>
    <x v="107"/>
    <n v="220"/>
    <n v="27"/>
    <n v="70"/>
    <n v="41.6"/>
    <n v="0.4158"/>
    <x v="843"/>
    <n v="70"/>
    <x v="1259"/>
    <n v="40"/>
    <n v="1.75"/>
    <n v="93.333333333333343"/>
    <n v="95.083333333333343"/>
    <n v="20.465715300805307"/>
    <n v="1855.0885243960213"/>
    <s v="A"/>
  </r>
  <r>
    <x v="8"/>
    <s v="ESCRITÓRIO "/>
    <s v="CADEIRA"/>
    <s v="OFFICE LUX "/>
    <s v="UNIDADE"/>
    <n v="389"/>
    <x v="389"/>
    <n v="130"/>
    <n v="70"/>
    <n v="60"/>
    <n v="41"/>
    <n v="0.54600000000000004"/>
    <x v="844"/>
    <n v="70"/>
    <x v="1260"/>
    <n v="40"/>
    <n v="1.75"/>
    <n v="93.333333333333343"/>
    <n v="95.083333333333343"/>
    <n v="20.154843675982946"/>
    <n v="1875.2433680720042"/>
    <s v="A"/>
  </r>
  <r>
    <x v="8"/>
    <s v="JARDIM"/>
    <s v="MESA"/>
    <s v="SUMATRA PLÁSTICO"/>
    <s v="UNIDADE"/>
    <n v="891.65"/>
    <x v="390"/>
    <n v="74"/>
    <n v="94"/>
    <n v="94"/>
    <n v="30.2"/>
    <n v="0.653864"/>
    <x v="845"/>
    <n v="30"/>
    <x v="1261"/>
    <n v="15"/>
    <n v="2"/>
    <n v="15"/>
    <n v="17"/>
    <n v="19.799191733775462"/>
    <n v="1895.0425598057795"/>
    <s v="A"/>
  </r>
  <r>
    <x v="8"/>
    <s v="DORMITÓRIO"/>
    <s v="ROUPEIRO"/>
    <s v="R42"/>
    <s v="UNIDADE"/>
    <n v="1688"/>
    <x v="391"/>
    <n v="218"/>
    <n v="203"/>
    <n v="47"/>
    <n v="144"/>
    <n v="2.0799379999999998"/>
    <x v="846"/>
    <n v="15"/>
    <x v="1262"/>
    <n v="40"/>
    <n v="0.375"/>
    <n v="20"/>
    <n v="20.375"/>
    <n v="18.741117953576506"/>
    <n v="1913.7836777593561"/>
    <s v="A"/>
  </r>
  <r>
    <x v="8"/>
    <s v="ESTOFADOS"/>
    <s v="SOFÁ"/>
    <s v="CANTO 4 LUGARES LAS VEGAS CHENILLE PRETO"/>
    <s v="UNIDADE"/>
    <n v="500"/>
    <x v="392"/>
    <n v="84"/>
    <n v="85"/>
    <n v="216"/>
    <n v="59"/>
    <n v="1.5422400000000001"/>
    <x v="847"/>
    <n v="50"/>
    <x v="1263"/>
    <n v="40"/>
    <n v="1.25"/>
    <n v="66.666666666666671"/>
    <n v="67.916666666666671"/>
    <n v="18.504263382283277"/>
    <n v="1932.2879411416393"/>
    <s v="A"/>
  </r>
  <r>
    <x v="8"/>
    <s v="COZINHA"/>
    <s v="AÉREO"/>
    <s v="AC290"/>
    <s v="CAIXA"/>
    <n v="348.78"/>
    <x v="107"/>
    <n v="66"/>
    <n v="31"/>
    <n v="90"/>
    <n v="30"/>
    <n v="0.18414"/>
    <x v="848"/>
    <n v="70"/>
    <x v="1264"/>
    <n v="40"/>
    <n v="1.75"/>
    <n v="93.333333333333343"/>
    <n v="95.083333333333343"/>
    <n v="18.070967550923733"/>
    <n v="1950.3589086925631"/>
    <s v="A"/>
  </r>
  <r>
    <x v="8"/>
    <s v="ESTOFADOS"/>
    <s v="SOFÁ"/>
    <s v="RECLINÁVEL E ASSENTO RETRÁTIL MICHELANGELO SUEDE PRATA"/>
    <s v="UNIDADE"/>
    <n v="600"/>
    <x v="386"/>
    <n v="90"/>
    <n v="102"/>
    <n v="200"/>
    <n v="72.2"/>
    <n v="1.8360000000000001"/>
    <x v="849"/>
    <n v="40"/>
    <x v="643"/>
    <n v="40"/>
    <n v="1"/>
    <n v="53.333333333333329"/>
    <n v="54.333333333333329"/>
    <n v="17.764092846991947"/>
    <n v="1968.1230015395549"/>
    <s v="A"/>
  </r>
  <r>
    <x v="8"/>
    <s v="ESTOFADOS"/>
    <s v="SOFÁ"/>
    <s v="EVEREST 3 E 2 LUGARES POLIPROPILENO CINZA"/>
    <s v="UNIDADE"/>
    <n v="300"/>
    <x v="379"/>
    <n v="92"/>
    <n v="86"/>
    <n v="186"/>
    <n v="32"/>
    <n v="1.4716320000000001"/>
    <x v="850"/>
    <n v="80"/>
    <x v="643"/>
    <n v="40"/>
    <n v="2"/>
    <n v="106.66666666666666"/>
    <n v="108.66666666666666"/>
    <n v="17.764092846991947"/>
    <n v="1985.8870943865468"/>
    <s v="A"/>
  </r>
  <r>
    <x v="8"/>
    <s v="JARDIM"/>
    <s v="CADEIRA"/>
    <s v="FERRARA"/>
    <s v="UNIDADE"/>
    <n v="479"/>
    <x v="385"/>
    <n v="60"/>
    <n v="60"/>
    <n v="85"/>
    <n v="7"/>
    <n v="0.30599999999999999"/>
    <x v="851"/>
    <n v="50"/>
    <x v="1265"/>
    <n v="15"/>
    <n v="3.3333333333333335"/>
    <n v="25"/>
    <n v="28.333333333333332"/>
    <n v="17.72708432022738"/>
    <n v="2003.6141787067741"/>
    <s v="A"/>
  </r>
  <r>
    <x v="8"/>
    <s v="JARDIM"/>
    <s v="CADEIRA"/>
    <s v="SIANG"/>
    <s v="UNIDADE"/>
    <n v="790"/>
    <x v="385"/>
    <n v="56"/>
    <n v="70"/>
    <n v="89"/>
    <n v="14"/>
    <n v="0.34888000000000002"/>
    <x v="852"/>
    <n v="30"/>
    <x v="1266"/>
    <n v="15"/>
    <n v="2"/>
    <n v="15"/>
    <n v="17"/>
    <n v="17.542041686404549"/>
    <n v="2021.1562203931785"/>
    <s v="A"/>
  </r>
  <r>
    <x v="8"/>
    <s v="JARDIM"/>
    <s v="MESA"/>
    <s v="OLDWAY"/>
    <s v="UNIDADE"/>
    <n v="789"/>
    <x v="393"/>
    <n v="70.8"/>
    <n v="7.6"/>
    <n v="122.4"/>
    <n v="16.399999999999999"/>
    <n v="6.5860991999999993E-2"/>
    <x v="853"/>
    <n v="30"/>
    <x v="1267"/>
    <n v="15"/>
    <n v="2"/>
    <n v="15"/>
    <n v="17"/>
    <n v="17.519836570345809"/>
    <n v="2038.6760569635244"/>
    <s v="A"/>
  </r>
  <r>
    <x v="8"/>
    <s v="COZINHA"/>
    <s v="AÉREO"/>
    <s v="CD-211"/>
    <s v="CAIXA"/>
    <n v="335.9"/>
    <x v="107"/>
    <n v="66"/>
    <n v="31.8"/>
    <n v="120"/>
    <n v="28.6"/>
    <n v="0.25185600000000002"/>
    <x v="854"/>
    <n v="70"/>
    <x v="1268"/>
    <n v="40"/>
    <n v="1.75"/>
    <n v="93.333333333333343"/>
    <n v="95.083333333333343"/>
    <n v="17.403629796305069"/>
    <n v="2056.0796867598297"/>
    <s v="A"/>
  </r>
  <r>
    <x v="8"/>
    <s v="COZINHA"/>
    <s v="BALCÃO"/>
    <s v="BA-36"/>
    <s v="CAIXA"/>
    <n v="283.89999999999998"/>
    <x v="107"/>
    <n v="120"/>
    <n v="45.3"/>
    <n v="68"/>
    <n v="23.5"/>
    <n v="0.36964799999999992"/>
    <x v="855"/>
    <n v="80"/>
    <x v="1269"/>
    <n v="40"/>
    <n v="2"/>
    <n v="106.66666666666666"/>
    <n v="108.66666666666666"/>
    <n v="16.810753197536712"/>
    <n v="2072.8904399573662"/>
    <s v="A"/>
  </r>
  <r>
    <x v="8"/>
    <s v="ESTOFADOS"/>
    <s v="SOFÁ"/>
    <s v="DALLAS 3 E 2 LUGARES SUEDE MARROM"/>
    <s v="UNIDADE"/>
    <n v="450"/>
    <x v="376"/>
    <n v="88"/>
    <n v="88"/>
    <n v="204"/>
    <n v="40"/>
    <n v="1.5797760000000001"/>
    <x v="856"/>
    <n v="50"/>
    <x v="1270"/>
    <n v="40"/>
    <n v="1.25"/>
    <n v="66.666666666666671"/>
    <n v="67.916666666666671"/>
    <n v="16.653837044054949"/>
    <n v="2089.5442770014211"/>
    <s v="A"/>
  </r>
  <r>
    <x v="8"/>
    <s v="DORMITÓRIO"/>
    <s v="ROUPEIRO"/>
    <s v="D478"/>
    <s v="UNIDADE"/>
    <n v="1479"/>
    <x v="394"/>
    <n v="196"/>
    <n v="221"/>
    <n v="53"/>
    <n v="192"/>
    <n v="2.2957480000000001"/>
    <x v="857"/>
    <n v="15"/>
    <x v="1271"/>
    <n v="40"/>
    <n v="0.375"/>
    <n v="20"/>
    <n v="20.375"/>
    <n v="16.42068332543818"/>
    <n v="2105.9649603268595"/>
    <s v="A"/>
  </r>
  <r>
    <x v="8"/>
    <s v="LINHA BEBÊ"/>
    <s v="ROUPEIRO BEN10"/>
    <s v="153779"/>
    <s v="UNIDADE"/>
    <n v="1427.92"/>
    <x v="395"/>
    <n v="211.1"/>
    <n v="53.5"/>
    <n v="162"/>
    <n v="124.3"/>
    <n v="1.8296037000000001"/>
    <x v="858"/>
    <n v="15"/>
    <x v="1272"/>
    <n v="30"/>
    <n v="0.5"/>
    <n v="15"/>
    <n v="15.5"/>
    <n v="15.853564661297966"/>
    <n v="2121.8185249881576"/>
    <s v="A"/>
  </r>
  <r>
    <x v="8"/>
    <s v="DORMITÓRIO"/>
    <s v="ROUPEIRO"/>
    <s v="R84"/>
    <s v="UNIDADE"/>
    <n v="1419"/>
    <x v="391"/>
    <n v="232"/>
    <n v="264"/>
    <n v="53"/>
    <n v="233"/>
    <n v="3.2461440000000001"/>
    <x v="859"/>
    <n v="15"/>
    <x v="1273"/>
    <n v="40"/>
    <n v="0.375"/>
    <n v="20"/>
    <n v="20.375"/>
    <n v="15.754529843675984"/>
    <n v="2137.5730548318338"/>
    <s v="A"/>
  </r>
  <r>
    <x v="8"/>
    <s v="LINHA BEBÊ"/>
    <s v="ROUPEIRO CARROS"/>
    <s v="153711"/>
    <s v="UNIDADE"/>
    <n v="1410.92"/>
    <x v="395"/>
    <n v="211.1"/>
    <n v="53.5"/>
    <n v="162"/>
    <n v="124.3"/>
    <n v="1.8296037000000001"/>
    <x v="858"/>
    <n v="15"/>
    <x v="1274"/>
    <n v="30"/>
    <n v="0.5"/>
    <n v="15"/>
    <n v="15.5"/>
    <n v="15.664821174798677"/>
    <n v="2153.2378760066326"/>
    <s v="A"/>
  </r>
  <r>
    <x v="8"/>
    <s v="DORMITÓRIO"/>
    <s v="ROUPEIRO"/>
    <s v="VERSAT"/>
    <s v="UNIDADE"/>
    <n v="1407"/>
    <x v="107"/>
    <n v="206"/>
    <n v="108"/>
    <n v="47"/>
    <n v="122"/>
    <n v="1.0456559999999999"/>
    <x v="860"/>
    <n v="15"/>
    <x v="1275"/>
    <n v="40"/>
    <n v="0.375"/>
    <n v="20"/>
    <n v="20.375"/>
    <n v="15.621299147323544"/>
    <n v="2168.8591751539561"/>
    <s v="A"/>
  </r>
  <r>
    <x v="8"/>
    <s v="ESTOFADOS"/>
    <s v="SOFÁ"/>
    <s v="SOFÁ EVEREST 3 E 2 LUGARES POLIPROPILENO BEGE "/>
    <s v="UNIDADE"/>
    <n v="350"/>
    <x v="379"/>
    <n v="92"/>
    <n v="86"/>
    <n v="186"/>
    <n v="32"/>
    <n v="1.4716320000000001"/>
    <x v="861"/>
    <n v="60"/>
    <x v="1276"/>
    <n v="40"/>
    <n v="1.5"/>
    <n v="80"/>
    <n v="81.5"/>
    <n v="15.543581241117954"/>
    <n v="2184.402756395074"/>
    <s v="A"/>
  </r>
  <r>
    <x v="8"/>
    <s v="LINHA BEBÊ"/>
    <s v="ROUPEIRO BARBIE"/>
    <s v="153602"/>
    <s v="UNIDADE"/>
    <n v="1385.42"/>
    <x v="395"/>
    <n v="211.1"/>
    <n v="53.5"/>
    <n v="162"/>
    <n v="124.3"/>
    <n v="1.8296037000000001"/>
    <x v="858"/>
    <n v="15"/>
    <x v="1277"/>
    <n v="30"/>
    <n v="0.5"/>
    <n v="15"/>
    <n v="15.5"/>
    <n v="15.381705945049742"/>
    <n v="2199.7844623401238"/>
    <s v="A"/>
  </r>
  <r>
    <x v="8"/>
    <s v="JARDIM"/>
    <s v="MESA"/>
    <s v="MONA"/>
    <s v="UNIDADE"/>
    <n v="415"/>
    <x v="178"/>
    <n v="85"/>
    <n v="82"/>
    <n v="83"/>
    <n v="8"/>
    <n v="0.57850999999999997"/>
    <x v="862"/>
    <n v="50"/>
    <x v="1278"/>
    <n v="15"/>
    <n v="3.3333333333333335"/>
    <n v="25"/>
    <n v="28.333333333333332"/>
    <n v="15.358538607295122"/>
    <n v="2215.1430009474188"/>
    <s v="A"/>
  </r>
  <r>
    <x v="8"/>
    <s v="LINHA BEBÊ"/>
    <s v="ROUPEIRO PRICESAS"/>
    <s v="153524"/>
    <s v="UNIDADE"/>
    <n v="1382.45"/>
    <x v="395"/>
    <n v="207"/>
    <n v="46.5"/>
    <n v="182"/>
    <n v="143.9"/>
    <n v="1.751841"/>
    <x v="863"/>
    <n v="15"/>
    <x v="1279"/>
    <n v="30"/>
    <n v="0.5"/>
    <n v="15"/>
    <n v="15.5"/>
    <n v="15.348731347702511"/>
    <n v="2230.4917322951214"/>
    <s v="B"/>
  </r>
  <r>
    <x v="8"/>
    <s v="DORMITÓRIO"/>
    <s v="ROUPEIRO"/>
    <s v="R69"/>
    <s v="UNIDADE"/>
    <n v="1339"/>
    <x v="391"/>
    <n v="239"/>
    <n v="272"/>
    <n v="47"/>
    <n v="275"/>
    <n v="3.0553759999999999"/>
    <x v="864"/>
    <n v="15"/>
    <x v="1280"/>
    <n v="40"/>
    <n v="0.375"/>
    <n v="20"/>
    <n v="20.375"/>
    <n v="14.866325201326386"/>
    <n v="2245.3580574964476"/>
    <s v="B"/>
  </r>
  <r>
    <x v="8"/>
    <s v="COZINHA"/>
    <s v="BALCÃO"/>
    <s v="BA15"/>
    <s v="CAIXA"/>
    <n v="283.89999999999998"/>
    <x v="107"/>
    <n v="120"/>
    <n v="45.3"/>
    <n v="68"/>
    <n v="25.5"/>
    <n v="0.36964799999999992"/>
    <x v="865"/>
    <n v="70"/>
    <x v="1281"/>
    <n v="40"/>
    <n v="1.75"/>
    <n v="93.333333333333343"/>
    <n v="95.083333333333343"/>
    <n v="14.709409047844623"/>
    <n v="2260.0674665442921"/>
    <s v="B"/>
  </r>
  <r>
    <x v="8"/>
    <s v="DORMITÓRIO"/>
    <s v="ROUPEIRO"/>
    <s v="B687"/>
    <s v="UNIDADE"/>
    <n v="1952.9"/>
    <x v="388"/>
    <n v="224"/>
    <n v="230"/>
    <n v="50"/>
    <n v="176"/>
    <n v="2.5760000000000001"/>
    <x v="866"/>
    <n v="10"/>
    <x v="1282"/>
    <n v="40"/>
    <n v="0.25"/>
    <n v="13.333333333333332"/>
    <n v="13.583333333333332"/>
    <n v="14.454790383704406"/>
    <n v="2274.5222569279963"/>
    <s v="B"/>
  </r>
  <r>
    <x v="8"/>
    <s v="ESTAR E JANTAR"/>
    <s v="RACK"/>
    <s v="252108"/>
    <s v="UNIDADE"/>
    <n v="423.92"/>
    <x v="396"/>
    <n v="125"/>
    <n v="45"/>
    <n v="165"/>
    <n v="55.5"/>
    <n v="0.92812499999999998"/>
    <x v="867"/>
    <n v="46"/>
    <x v="1283"/>
    <n v="40"/>
    <n v="1.1499999999999999"/>
    <n v="61.333333333333336"/>
    <n v="62.483333333333334"/>
    <n v="14.433562292752251"/>
    <n v="2288.9558192207487"/>
    <s v="B"/>
  </r>
  <r>
    <x v="8"/>
    <s v="DORMITÓRIO"/>
    <s v="ROUPEIRO"/>
    <s v="EDEZ"/>
    <s v="UNIDADE"/>
    <n v="1257.9000000000001"/>
    <x v="107"/>
    <n v="200"/>
    <n v="180"/>
    <n v="47"/>
    <n v="107"/>
    <n v="1.6919999999999999"/>
    <x v="868"/>
    <n v="15"/>
    <x v="1284"/>
    <n v="40"/>
    <n v="0.375"/>
    <n v="20"/>
    <n v="20.375"/>
    <n v="13.965907745144481"/>
    <n v="2302.9217269658934"/>
    <s v="B"/>
  </r>
  <r>
    <x v="8"/>
    <s v="COZINHA"/>
    <s v="BALCÃO"/>
    <s v="854"/>
    <s v="CAIXA"/>
    <n v="267.89999999999998"/>
    <x v="107"/>
    <n v="81"/>
    <n v="50"/>
    <n v="70"/>
    <n v="26.5"/>
    <n v="0.28349999999999997"/>
    <x v="869"/>
    <n v="70"/>
    <x v="1285"/>
    <n v="40"/>
    <n v="1.75"/>
    <n v="93.333333333333343"/>
    <n v="95.083333333333343"/>
    <n v="13.880418048318333"/>
    <n v="2316.8021450142119"/>
    <s v="B"/>
  </r>
  <r>
    <x v="8"/>
    <s v="COZINHA"/>
    <s v="BALCÃO"/>
    <s v="855"/>
    <s v="CAIXA"/>
    <n v="267.89999999999998"/>
    <x v="107"/>
    <n v="81"/>
    <n v="50"/>
    <n v="70"/>
    <n v="26.5"/>
    <n v="0.28349999999999997"/>
    <x v="869"/>
    <n v="70"/>
    <x v="1285"/>
    <n v="40"/>
    <n v="1.75"/>
    <n v="93.333333333333343"/>
    <n v="95.083333333333343"/>
    <n v="13.880418048318333"/>
    <n v="2330.6825630625303"/>
    <s v="B"/>
  </r>
  <r>
    <x v="8"/>
    <s v="DORMITÓRIO"/>
    <s v="ROUPEIRO"/>
    <s v="A528"/>
    <s v="UNIDADE"/>
    <n v="1244"/>
    <x v="388"/>
    <n v="225"/>
    <n v="236"/>
    <n v="20"/>
    <n v="195"/>
    <n v="1.0620000000000001"/>
    <x v="870"/>
    <n v="15"/>
    <x v="1286"/>
    <n v="40"/>
    <n v="0.375"/>
    <n v="20"/>
    <n v="20.375"/>
    <n v="13.811582188536239"/>
    <n v="2344.4941452510666"/>
    <s v="B"/>
  </r>
  <r>
    <x v="8"/>
    <s v="DORMITÓRIO"/>
    <s v="CAMA"/>
    <s v="INTERLINK"/>
    <s v="UNIDADE"/>
    <n v="1243.79"/>
    <x v="397"/>
    <n v="46"/>
    <n v="204"/>
    <n v="144"/>
    <n v="115"/>
    <n v="1.3512960000000001"/>
    <x v="871"/>
    <n v="15"/>
    <x v="1287"/>
    <n v="40"/>
    <n v="0.375"/>
    <n v="20"/>
    <n v="20.375"/>
    <n v="13.809250651350071"/>
    <n v="2358.3033959024165"/>
    <s v="B"/>
  </r>
  <r>
    <x v="8"/>
    <s v="COZINHA"/>
    <s v="BALCÃO"/>
    <s v="851"/>
    <s v="CAIXA"/>
    <n v="265.89999999999998"/>
    <x v="107"/>
    <n v="119"/>
    <n v="45"/>
    <n v="68"/>
    <n v="29.5"/>
    <n v="0.36414000000000002"/>
    <x v="872"/>
    <n v="70"/>
    <x v="1288"/>
    <n v="40"/>
    <n v="1.75"/>
    <n v="93.333333333333343"/>
    <n v="95.083333333333343"/>
    <n v="13.776794173377546"/>
    <n v="2372.0801900757942"/>
    <s v="B"/>
  </r>
  <r>
    <x v="8"/>
    <s v="COZINHA"/>
    <s v="AÉREO"/>
    <s v="PH1009"/>
    <s v="CAIXA"/>
    <n v="265.89999999999998"/>
    <x v="107"/>
    <n v="33.5"/>
    <n v="30"/>
    <n v="120"/>
    <n v="25.5"/>
    <n v="0.1206"/>
    <x v="873"/>
    <n v="70"/>
    <x v="1288"/>
    <n v="40"/>
    <n v="1.75"/>
    <n v="93.333333333333343"/>
    <n v="95.083333333333343"/>
    <n v="13.776794173377546"/>
    <n v="2385.856984249172"/>
    <s v="B"/>
  </r>
  <r>
    <x v="8"/>
    <s v="DORMITÓRIO"/>
    <s v="ROUPEIRO"/>
    <s v="D952"/>
    <s v="UNIDADE"/>
    <n v="1239"/>
    <x v="394"/>
    <n v="209"/>
    <n v="204"/>
    <n v="53"/>
    <n v="142"/>
    <n v="2.2597079999999998"/>
    <x v="874"/>
    <n v="15"/>
    <x v="1289"/>
    <n v="40"/>
    <n v="0.375"/>
    <n v="20"/>
    <n v="20.375"/>
    <n v="13.756069398389389"/>
    <n v="2399.6130536475612"/>
    <s v="B"/>
  </r>
  <r>
    <x v="8"/>
    <s v="ESTAR E JANTAR"/>
    <s v="RACK"/>
    <s v="2524"/>
    <s v="UNIDADE"/>
    <n v="399.9"/>
    <x v="398"/>
    <n v="151.5"/>
    <n v="49.5"/>
    <n v="184.5"/>
    <n v="51.6"/>
    <n v="1.3836116249999999"/>
    <x v="875"/>
    <n v="46"/>
    <x v="1290"/>
    <n v="40"/>
    <n v="1.1499999999999999"/>
    <n v="61.333333333333336"/>
    <n v="62.483333333333334"/>
    <n v="13.615733064898151"/>
    <n v="2413.2287867124592"/>
    <s v="B"/>
  </r>
  <r>
    <x v="8"/>
    <s v="ESTAR E JANTAR"/>
    <s v="MESA DE JANTAR"/>
    <s v="B015PR (PRETO)"/>
    <s v="UNIDADE"/>
    <n v="399.9"/>
    <x v="386"/>
    <n v="81"/>
    <n v="85"/>
    <n v="85"/>
    <n v="15"/>
    <n v="0.585225"/>
    <x v="876"/>
    <n v="46"/>
    <x v="1290"/>
    <n v="40"/>
    <n v="1.1499999999999999"/>
    <n v="61.333333333333336"/>
    <n v="62.483333333333334"/>
    <n v="13.615733064898151"/>
    <n v="2426.8445197773572"/>
    <s v="B"/>
  </r>
  <r>
    <x v="8"/>
    <s v="DORMITÓRIO"/>
    <s v="ROUPEIRO"/>
    <s v="D309"/>
    <s v="UNIDADE"/>
    <n v="1196.9000000000001"/>
    <x v="394"/>
    <n v="215"/>
    <n v="211"/>
    <n v="47"/>
    <n v="164"/>
    <n v="2.132155"/>
    <x v="877"/>
    <n v="15"/>
    <x v="1291"/>
    <n v="40"/>
    <n v="0.375"/>
    <n v="20"/>
    <n v="20.375"/>
    <n v="13.288651705352914"/>
    <n v="2440.1331714827102"/>
    <s v="B"/>
  </r>
  <r>
    <x v="8"/>
    <s v="ESTAR E JANTAR"/>
    <s v="MESA DE JANTAR"/>
    <s v="B002BR"/>
    <s v="UNIDADE"/>
    <n v="389.9"/>
    <x v="386"/>
    <n v="80"/>
    <n v="85"/>
    <n v="125"/>
    <n v="23"/>
    <n v="0.85"/>
    <x v="878"/>
    <n v="46"/>
    <x v="1292"/>
    <n v="40"/>
    <n v="1.1499999999999999"/>
    <n v="61.333333333333336"/>
    <n v="62.483333333333334"/>
    <n v="13.275254618664139"/>
    <n v="2453.4084261013745"/>
    <s v="B"/>
  </r>
  <r>
    <x v="8"/>
    <s v="DORMITÓRIO"/>
    <s v="CAMA"/>
    <s v="WHLEES"/>
    <s v="UNIDADE"/>
    <n v="1164"/>
    <x v="107"/>
    <n v="120"/>
    <n v="200"/>
    <n v="136"/>
    <n v="61"/>
    <n v="3.2639999999999998"/>
    <x v="879"/>
    <n v="15.132999999999999"/>
    <x v="1293"/>
    <n v="40"/>
    <n v="0.37832499999999997"/>
    <n v="20.17733333333333"/>
    <n v="20.55565833333333"/>
    <n v="13.037964827096161"/>
    <n v="2466.4463909284705"/>
    <s v="B"/>
  </r>
  <r>
    <x v="8"/>
    <s v="DORMITÓRIO"/>
    <s v="ROUPEIRO"/>
    <s v="A687"/>
    <s v="UNIDADE"/>
    <n v="1170"/>
    <x v="388"/>
    <n v="218"/>
    <n v="218"/>
    <n v="48"/>
    <n v="164"/>
    <n v="2.2811520000000001"/>
    <x v="880"/>
    <n v="15"/>
    <x v="1294"/>
    <n v="40"/>
    <n v="0.375"/>
    <n v="20"/>
    <n v="20.375"/>
    <n v="12.989992894362862"/>
    <n v="2479.4363838228332"/>
    <s v="B"/>
  </r>
  <r>
    <x v="8"/>
    <s v="DORMITÓRIO"/>
    <s v="ROUPEIRO"/>
    <s v="R99"/>
    <s v="UNIDADE"/>
    <n v="1158"/>
    <x v="391"/>
    <n v="239"/>
    <n v="272"/>
    <n v="53"/>
    <n v="275"/>
    <n v="3.445424"/>
    <x v="881"/>
    <n v="15"/>
    <x v="1295"/>
    <n v="40"/>
    <n v="0.375"/>
    <n v="20"/>
    <n v="20.375"/>
    <n v="12.856762198010422"/>
    <n v="2492.2931460208438"/>
    <s v="B"/>
  </r>
  <r>
    <x v="8"/>
    <s v="ESTOFADOS"/>
    <s v="SOFÁ"/>
    <s v="CANTO 5 LUGARES VIENA CHENILLE MARROM CAFÉ"/>
    <s v="UNIDADE"/>
    <n v="430"/>
    <x v="379"/>
    <n v="85"/>
    <n v="80"/>
    <n v="200"/>
    <n v="34"/>
    <n v="1.36"/>
    <x v="882"/>
    <n v="40"/>
    <x v="1296"/>
    <n v="40"/>
    <n v="1"/>
    <n v="53.333333333333329"/>
    <n v="54.333333333333329"/>
    <n v="12.730933207010896"/>
    <n v="2505.0240792278546"/>
    <s v="B"/>
  </r>
  <r>
    <x v="8"/>
    <s v="JARDIM"/>
    <s v="CADEIRA"/>
    <s v="MAX TABACO"/>
    <s v="UNIDADE"/>
    <n v="339.92"/>
    <x v="399"/>
    <n v="83"/>
    <n v="57"/>
    <n v="68"/>
    <n v="3.8"/>
    <n v="0.32170799999999999"/>
    <x v="883"/>
    <n v="50"/>
    <x v="1297"/>
    <n v="15"/>
    <n v="3.3333333333333335"/>
    <n v="25"/>
    <n v="28.333333333333332"/>
    <n v="12.579938417811464"/>
    <n v="2517.6040176456659"/>
    <s v="B"/>
  </r>
  <r>
    <x v="8"/>
    <s v="DORMITÓRIO"/>
    <s v="ROUPEIRO"/>
    <s v="D219"/>
    <s v="UNIDADE"/>
    <n v="1119.9000000000001"/>
    <x v="394"/>
    <n v="216"/>
    <n v="208"/>
    <n v="52"/>
    <n v="115"/>
    <n v="2.3362560000000001"/>
    <x v="884"/>
    <n v="15"/>
    <x v="1298"/>
    <n v="40"/>
    <n v="0.375"/>
    <n v="20"/>
    <n v="20.375"/>
    <n v="12.433754737091427"/>
    <n v="2530.0377723827573"/>
    <s v="B"/>
  </r>
  <r>
    <x v="8"/>
    <s v="ESTOFADOS"/>
    <s v="POLTRONA"/>
    <s v="FIXA VICTÓRIA TECIDO JORNAL"/>
    <s v="UNIDADE"/>
    <n v="270"/>
    <x v="373"/>
    <n v="76"/>
    <n v="79"/>
    <n v="73"/>
    <n v="26.6"/>
    <n v="0.43829200000000001"/>
    <x v="885"/>
    <n v="60"/>
    <x v="1299"/>
    <n v="40"/>
    <n v="1.5"/>
    <n v="80"/>
    <n v="81.5"/>
    <n v="11.990762671719564"/>
    <n v="2542.0285350544768"/>
    <s v="B"/>
  </r>
  <r>
    <x v="8"/>
    <s v="DORMITÓRIO"/>
    <s v="CAMA"/>
    <s v="BALI"/>
    <s v="UNIDADE"/>
    <n v="1619.1"/>
    <x v="400"/>
    <n v="46"/>
    <n v="166"/>
    <n v="20"/>
    <n v="110"/>
    <n v="0.15271999999999999"/>
    <x v="886"/>
    <n v="10"/>
    <x v="1300"/>
    <n v="40"/>
    <n v="0.25"/>
    <n v="13.333333333333332"/>
    <n v="13.583333333333332"/>
    <n v="11.984101136901943"/>
    <n v="2554.012636191379"/>
    <s v="B"/>
  </r>
  <r>
    <x v="8"/>
    <s v="ESTOFADOS"/>
    <s v="POLTRONA"/>
    <s v="RECLINÁVEL DENVER CORINO BRANCO"/>
    <s v="UNIDADE"/>
    <n v="400"/>
    <x v="373"/>
    <n v="86"/>
    <n v="97"/>
    <n v="84"/>
    <n v="22.5"/>
    <n v="0.70072800000000002"/>
    <x v="887"/>
    <n v="40"/>
    <x v="530"/>
    <n v="40"/>
    <n v="1"/>
    <n v="53.333333333333329"/>
    <n v="54.333333333333329"/>
    <n v="11.842728564661298"/>
    <n v="2565.8553647560402"/>
    <s v="B"/>
  </r>
  <r>
    <x v="8"/>
    <s v="DORMITÓRIO"/>
    <s v="ROUPEIRO"/>
    <s v="R45"/>
    <s v="UNIDADE"/>
    <n v="1598"/>
    <x v="391"/>
    <n v="185"/>
    <n v="121"/>
    <n v="47"/>
    <n v="70"/>
    <n v="1.052095"/>
    <x v="888"/>
    <n v="10"/>
    <x v="1301"/>
    <n v="40"/>
    <n v="0.25"/>
    <n v="13.333333333333332"/>
    <n v="13.583333333333332"/>
    <n v="11.827925153955471"/>
    <n v="2577.6832899099959"/>
    <s v="B"/>
  </r>
  <r>
    <x v="8"/>
    <s v="DORMITÓRIO"/>
    <s v="CAMA"/>
    <s v="BCO"/>
    <s v="UNIDADE"/>
    <n v="1049.8900000000001"/>
    <x v="401"/>
    <n v="105"/>
    <n v="194"/>
    <n v="130"/>
    <n v="140"/>
    <n v="2.6480999999999999"/>
    <x v="889"/>
    <n v="15"/>
    <x v="1302"/>
    <n v="40"/>
    <n v="0.375"/>
    <n v="20"/>
    <n v="20.375"/>
    <n v="11.656464649455236"/>
    <n v="2589.3397545594512"/>
    <s v="B"/>
  </r>
  <r>
    <x v="8"/>
    <s v="JARDIM"/>
    <s v="CADEIRA"/>
    <s v="VERONA"/>
    <s v="UNIDADE"/>
    <n v="519"/>
    <x v="385"/>
    <n v="85"/>
    <n v="70"/>
    <n v="70"/>
    <n v="9.5"/>
    <n v="0.41649999999999998"/>
    <x v="890"/>
    <n v="30"/>
    <x v="1303"/>
    <n v="15"/>
    <n v="2"/>
    <n v="15"/>
    <n v="17"/>
    <n v="11.524455234486027"/>
    <n v="2600.8642097939373"/>
    <s v="B"/>
  </r>
  <r>
    <x v="8"/>
    <s v="COZINHA"/>
    <s v="AÉREO"/>
    <s v="AR20"/>
    <s v="CAIXA"/>
    <n v="193.9"/>
    <x v="107"/>
    <n v="66"/>
    <n v="31"/>
    <n v="120"/>
    <n v="24"/>
    <n v="0.24551999999999999"/>
    <x v="891"/>
    <n v="80"/>
    <x v="1304"/>
    <n v="40"/>
    <n v="2"/>
    <n v="106.66666666666666"/>
    <n v="108.66666666666666"/>
    <n v="11.481525343439129"/>
    <n v="2612.3457351373763"/>
    <s v="B"/>
  </r>
  <r>
    <x v="8"/>
    <s v="ESTOFADOS"/>
    <s v="POLTRONA"/>
    <s v="ANNE POLIURETANO MARROM"/>
    <s v="UNIDADE"/>
    <n v="310"/>
    <x v="380"/>
    <n v="93"/>
    <n v="75"/>
    <n v="64"/>
    <n v="11"/>
    <n v="0.44640000000000002"/>
    <x v="892"/>
    <n v="50"/>
    <x v="688"/>
    <n v="40"/>
    <n v="1.25"/>
    <n v="66.666666666666671"/>
    <n v="67.916666666666671"/>
    <n v="11.472643297015633"/>
    <n v="2623.8183784343919"/>
    <s v="B"/>
  </r>
  <r>
    <x v="8"/>
    <s v="COZINHA"/>
    <s v="AÉREO"/>
    <s v="PH10623"/>
    <s v="CAIXA"/>
    <n v="213.9"/>
    <x v="107"/>
    <n v="33.5"/>
    <n v="30"/>
    <n v="67"/>
    <n v="16"/>
    <n v="6.7335000000000006E-2"/>
    <x v="893"/>
    <n v="70"/>
    <x v="1305"/>
    <n v="40"/>
    <n v="1.75"/>
    <n v="93.333333333333343"/>
    <n v="95.083333333333343"/>
    <n v="11.082573424917101"/>
    <n v="2634.9009518593089"/>
    <s v="B"/>
  </r>
  <r>
    <x v="8"/>
    <s v="DORMITÓRIO"/>
    <s v="ROUPEIRO"/>
    <s v="B4934"/>
    <s v="UNIDADE"/>
    <n v="998"/>
    <x v="394"/>
    <n v="232"/>
    <n v="146"/>
    <n v="47"/>
    <n v="119"/>
    <n v="1.5919840000000001"/>
    <x v="894"/>
    <n v="15"/>
    <x v="1306"/>
    <n v="40"/>
    <n v="0.375"/>
    <n v="20"/>
    <n v="20.375"/>
    <n v="11.080352913311227"/>
    <n v="2645.9813047726202"/>
    <s v="B"/>
  </r>
  <r>
    <x v="8"/>
    <s v="JARDIM"/>
    <s v="CADEIRA"/>
    <s v="BRAGA"/>
    <s v="UNIDADE"/>
    <n v="299"/>
    <x v="385"/>
    <n v="58"/>
    <n v="65"/>
    <n v="68"/>
    <n v="8.1999999999999993"/>
    <n v="0.25635999999999998"/>
    <x v="895"/>
    <n v="50"/>
    <x v="692"/>
    <n v="15"/>
    <n v="3.3333333333333335"/>
    <n v="25"/>
    <n v="28.333333333333332"/>
    <n v="11.0655495026054"/>
    <n v="2657.0468542752255"/>
    <s v="B"/>
  </r>
  <r>
    <x v="8"/>
    <s v="LINHA BEBÊ"/>
    <s v="CÔMODA TROCADOR"/>
    <s v="137737"/>
    <s v="UNIDADE"/>
    <n v="989.9"/>
    <x v="402"/>
    <n v="90"/>
    <n v="52"/>
    <n v="100"/>
    <n v="47"/>
    <n v="0.46800000000000003"/>
    <x v="896"/>
    <n v="15"/>
    <x v="1307"/>
    <n v="30"/>
    <n v="0.5"/>
    <n v="15"/>
    <n v="15.5"/>
    <n v="10.99042219327333"/>
    <n v="2668.0372764684989"/>
    <s v="B"/>
  </r>
  <r>
    <x v="8"/>
    <s v="COZINHA"/>
    <s v="BALCÃO"/>
    <s v="050-1"/>
    <s v="CAIXA"/>
    <n v="180"/>
    <x v="107"/>
    <n v="121"/>
    <n v="43"/>
    <n v="68"/>
    <n v="24"/>
    <n v="0.35380400000000001"/>
    <x v="897"/>
    <n v="80"/>
    <x v="239"/>
    <n v="40"/>
    <n v="2"/>
    <n v="106.66666666666666"/>
    <n v="108.66666666666666"/>
    <n v="10.658455708195168"/>
    <n v="2678.695732176694"/>
    <s v="B"/>
  </r>
  <r>
    <x v="8"/>
    <s v="DORMITÓRIO"/>
    <s v="ROUPEIRO"/>
    <s v="R03"/>
    <s v="UNIDADE"/>
    <n v="959"/>
    <x v="391"/>
    <n v="218"/>
    <n v="217"/>
    <n v="47"/>
    <n v="122"/>
    <n v="2.223382"/>
    <x v="898"/>
    <n v="15"/>
    <x v="1308"/>
    <n v="40"/>
    <n v="0.375"/>
    <n v="20"/>
    <n v="20.375"/>
    <n v="10.647353150165799"/>
    <n v="2689.3430853268596"/>
    <s v="B"/>
  </r>
  <r>
    <x v="8"/>
    <s v="DORMITÓRIO"/>
    <s v="CAMA"/>
    <s v="PLAY"/>
    <s v="UNIDADE"/>
    <n v="952"/>
    <x v="403"/>
    <n v="120"/>
    <n v="201"/>
    <n v="102"/>
    <n v="50"/>
    <n v="2.4602400000000002"/>
    <x v="899"/>
    <n v="15"/>
    <x v="1309"/>
    <n v="40"/>
    <n v="0.375"/>
    <n v="20"/>
    <n v="20.375"/>
    <n v="10.569635243960208"/>
    <n v="2699.9127205708201"/>
    <s v="B"/>
  </r>
  <r>
    <x v="8"/>
    <s v="COZINHA"/>
    <s v="BALCÃO"/>
    <s v="BL3301"/>
    <s v="CAIXA"/>
    <n v="173"/>
    <x v="107"/>
    <n v="116"/>
    <n v="39"/>
    <n v="61"/>
    <n v="18.350000000000001"/>
    <n v="0.27596399999999999"/>
    <x v="900"/>
    <n v="80"/>
    <x v="698"/>
    <n v="40"/>
    <n v="2"/>
    <n v="106.66666666666666"/>
    <n v="108.66666666666666"/>
    <n v="10.243960208432023"/>
    <n v="2710.1566807792519"/>
    <s v="B"/>
  </r>
  <r>
    <x v="8"/>
    <s v="COZINHA"/>
    <s v="PIA INOX"/>
    <s v="63002"/>
    <s v="CAIXA"/>
    <n v="167.9"/>
    <x v="107"/>
    <n v="52.5"/>
    <n v="120"/>
    <n v="52"/>
    <n v="16.02"/>
    <n v="0.3276"/>
    <x v="901"/>
    <n v="80"/>
    <x v="1310"/>
    <n v="40"/>
    <n v="2"/>
    <n v="106.66666666666666"/>
    <n v="108.66666666666666"/>
    <n v="9.9419706300331594"/>
    <n v="2720.0986514092851"/>
    <s v="B"/>
  </r>
  <r>
    <x v="8"/>
    <s v="ESTAR E JANTAR"/>
    <s v="ESTANTE"/>
    <s v="BE 08-91"/>
    <s v="UNIDADE"/>
    <n v="271.92"/>
    <x v="404"/>
    <n v="189"/>
    <n v="36"/>
    <n v="83.5"/>
    <n v="27.2"/>
    <n v="0.56813400000000003"/>
    <x v="902"/>
    <n v="46"/>
    <x v="1311"/>
    <n v="40"/>
    <n v="1.1499999999999999"/>
    <n v="61.333333333333336"/>
    <n v="62.483333333333334"/>
    <n v="9.2582899099952645"/>
    <n v="2729.3569413192804"/>
    <s v="B"/>
  </r>
  <r>
    <x v="8"/>
    <s v="ESTAR E JANTAR"/>
    <s v="RACK"/>
    <s v="560111"/>
    <s v="UNIDADE"/>
    <n v="263.92"/>
    <x v="396"/>
    <n v="12.5"/>
    <n v="139"/>
    <n v="48"/>
    <n v="40.950000000000003"/>
    <n v="8.3400000000000002E-2"/>
    <x v="903"/>
    <n v="46"/>
    <x v="1312"/>
    <n v="40"/>
    <n v="1.1499999999999999"/>
    <n v="61.333333333333336"/>
    <n v="62.483333333333334"/>
    <n v="8.9859071530080552"/>
    <n v="2738.3428484722886"/>
    <s v="B"/>
  </r>
  <r>
    <x v="8"/>
    <s v="COZINHA"/>
    <s v="AÉREO"/>
    <s v="PH10603"/>
    <s v="CAIXA"/>
    <n v="171.9"/>
    <x v="107"/>
    <n v="33"/>
    <n v="31"/>
    <n v="67"/>
    <n v="15"/>
    <n v="6.8541000000000005E-2"/>
    <x v="904"/>
    <n v="70"/>
    <x v="1313"/>
    <n v="40"/>
    <n v="1.75"/>
    <n v="93.333333333333343"/>
    <n v="95.083333333333343"/>
    <n v="8.9064720511605877"/>
    <n v="2747.2493205234491"/>
    <s v="B"/>
  </r>
  <r>
    <x v="8"/>
    <s v="DORMITÓRIO"/>
    <s v="ROUPEIRO"/>
    <s v="R71"/>
    <s v="UNIDADE"/>
    <n v="1179.9000000000001"/>
    <x v="391"/>
    <n v="185"/>
    <n v="121"/>
    <n v="47"/>
    <n v="71"/>
    <n v="1.052095"/>
    <x v="888"/>
    <n v="10"/>
    <x v="1314"/>
    <n v="40"/>
    <n v="0.25"/>
    <n v="13.333333333333332"/>
    <n v="13.583333333333332"/>
    <n v="8.7332721459024167"/>
    <n v="2755.9825926693516"/>
    <s v="B"/>
  </r>
  <r>
    <x v="8"/>
    <s v="DORMITÓRIO"/>
    <s v="CAMA"/>
    <s v="992"/>
    <s v="UNIDADE"/>
    <n v="739"/>
    <x v="405"/>
    <n v="70"/>
    <n v="93"/>
    <n v="204"/>
    <n v="34"/>
    <n v="1.3280400000000001"/>
    <x v="905"/>
    <n v="15"/>
    <x v="715"/>
    <n v="40"/>
    <n v="0.375"/>
    <n v="20"/>
    <n v="20.375"/>
    <n v="8.2047903837044061"/>
    <n v="2764.1873830530558"/>
    <s v="B"/>
  </r>
  <r>
    <x v="8"/>
    <s v="ESTAR E JANTAR"/>
    <s v="RACK"/>
    <s v="1867"/>
    <s v="UNIDADE"/>
    <n v="239.92"/>
    <x v="398"/>
    <n v="63"/>
    <n v="49"/>
    <n v="185"/>
    <n v="49"/>
    <n v="0.57109500000000002"/>
    <x v="906"/>
    <n v="46"/>
    <x v="1315"/>
    <n v="40"/>
    <n v="1.1499999999999999"/>
    <n v="61.333333333333336"/>
    <n v="62.483333333333334"/>
    <n v="8.1687588820464239"/>
    <n v="2772.3561419351022"/>
    <s v="B"/>
  </r>
  <r>
    <x v="8"/>
    <s v="ESTAR E JANTAR"/>
    <s v="RACK"/>
    <s v="2293"/>
    <s v="UNIDADE"/>
    <n v="239.92"/>
    <x v="398"/>
    <n v="64"/>
    <n v="160"/>
    <n v="41"/>
    <n v="41"/>
    <n v="0.41983999999999999"/>
    <x v="907"/>
    <n v="46"/>
    <x v="1315"/>
    <n v="40"/>
    <n v="1.1499999999999999"/>
    <n v="61.333333333333336"/>
    <n v="62.483333333333334"/>
    <n v="8.1687588820464239"/>
    <n v="2780.5249008171486"/>
    <s v="B"/>
  </r>
  <r>
    <x v="8"/>
    <s v="ESTAR E JANTAR"/>
    <s v="ESTANTE"/>
    <s v="211542"/>
    <s v="UNIDADE"/>
    <n v="239.2"/>
    <x v="406"/>
    <n v="182.8"/>
    <n v="35.6"/>
    <n v="75.2"/>
    <n v="30"/>
    <n v="0.48937753600000006"/>
    <x v="908"/>
    <n v="46"/>
    <x v="1316"/>
    <n v="40"/>
    <n v="1.1499999999999999"/>
    <n v="61.333333333333336"/>
    <n v="62.483333333333334"/>
    <n v="8.1442444339175744"/>
    <n v="2788.6691452510663"/>
    <s v="B"/>
  </r>
  <r>
    <x v="8"/>
    <s v="ESTAR E JANTAR"/>
    <s v="RACK"/>
    <s v="1199"/>
    <s v="UNIDADE"/>
    <n v="231.2"/>
    <x v="398"/>
    <n v="58"/>
    <n v="44"/>
    <n v="180"/>
    <n v="49.6"/>
    <n v="0.45935999999999999"/>
    <x v="909"/>
    <n v="46"/>
    <x v="1317"/>
    <n v="40"/>
    <n v="1.1499999999999999"/>
    <n v="61.333333333333336"/>
    <n v="62.483333333333334"/>
    <n v="7.8718616769303642"/>
    <n v="2796.5410069279965"/>
    <s v="B"/>
  </r>
  <r>
    <x v="8"/>
    <s v="ESTAR E JANTAR"/>
    <s v="RACK"/>
    <s v="2245"/>
    <s v="UNIDADE"/>
    <n v="231.2"/>
    <x v="398"/>
    <n v="58"/>
    <n v="44"/>
    <n v="180"/>
    <n v="47"/>
    <n v="0.45935999999999999"/>
    <x v="909"/>
    <n v="46"/>
    <x v="1317"/>
    <n v="40"/>
    <n v="1.1499999999999999"/>
    <n v="61.333333333333336"/>
    <n v="62.483333333333334"/>
    <n v="7.8718616769303642"/>
    <n v="2804.4128686049266"/>
    <s v="B"/>
  </r>
  <r>
    <x v="8"/>
    <s v="LINHA BEBÊ"/>
    <s v="BERÇO MAÇA DO AMOR"/>
    <s v="132424"/>
    <s v="UNIDADE"/>
    <n v="704.9"/>
    <x v="407"/>
    <n v="112.5"/>
    <n v="81.5"/>
    <n v="135.5"/>
    <n v="39.5"/>
    <n v="1.2423656249999999"/>
    <x v="910"/>
    <n v="15"/>
    <x v="1318"/>
    <n v="30"/>
    <n v="0.5"/>
    <n v="15"/>
    <n v="15.5"/>
    <n v="7.8261931549028896"/>
    <n v="2812.2390617598294"/>
    <s v="B"/>
  </r>
  <r>
    <x v="8"/>
    <s v="ESTAR E JANTAR"/>
    <s v="ESTANTE"/>
    <s v="2390000049"/>
    <s v="UNIDADE"/>
    <n v="223.2"/>
    <x v="408"/>
    <n v="185.5"/>
    <n v="30.3"/>
    <n v="66.5"/>
    <n v="24.9"/>
    <n v="0.37377322500000004"/>
    <x v="911"/>
    <n v="46"/>
    <x v="1319"/>
    <n v="40"/>
    <n v="1.1499999999999999"/>
    <n v="61.333333333333336"/>
    <n v="62.483333333333334"/>
    <n v="7.5994789199431541"/>
    <n v="2819.8385406797724"/>
    <s v="B"/>
  </r>
  <r>
    <x v="8"/>
    <s v="ESCRITÓRIO "/>
    <s v="MESA"/>
    <s v="BHO 08-92"/>
    <s v="UNIDADE"/>
    <n v="219"/>
    <x v="409"/>
    <n v="75"/>
    <n v="120"/>
    <n v="45"/>
    <n v="20"/>
    <n v="0.40500000000000003"/>
    <x v="912"/>
    <n v="45"/>
    <x v="1320"/>
    <n v="40"/>
    <n v="1.125"/>
    <n v="60"/>
    <n v="61.125"/>
    <n v="7.2943806252960686"/>
    <n v="2827.1329213050685"/>
    <s v="B"/>
  </r>
  <r>
    <x v="8"/>
    <s v="LINHA BEBÊ"/>
    <s v="CÔMODA TUTTI FRUTTI"/>
    <s v="167979"/>
    <s v="UNIDADE"/>
    <n v="619.9"/>
    <x v="410"/>
    <n v="48"/>
    <n v="97"/>
    <n v="133"/>
    <n v="60.5"/>
    <n v="0.61924800000000002"/>
    <x v="913"/>
    <n v="15"/>
    <x v="1321"/>
    <n v="30"/>
    <n v="0.5"/>
    <n v="15"/>
    <n v="15.5"/>
    <n v="6.8824757224064426"/>
    <n v="2834.015397027475"/>
    <s v="B"/>
  </r>
  <r>
    <x v="8"/>
    <s v="ESTAR E JANTAR"/>
    <s v="RACK"/>
    <s v="253109"/>
    <s v="UNIDADE"/>
    <n v="199.9"/>
    <x v="396"/>
    <n v="81"/>
    <n v="34"/>
    <n v="136"/>
    <n v="23.9"/>
    <n v="0.37454399999999999"/>
    <x v="914"/>
    <n v="46"/>
    <x v="1322"/>
    <n v="40"/>
    <n v="1.1499999999999999"/>
    <n v="61.333333333333336"/>
    <n v="62.483333333333334"/>
    <n v="6.8061641402179065"/>
    <n v="2840.8215611676928"/>
    <s v="B"/>
  </r>
  <r>
    <x v="8"/>
    <s v="LINHA BEBÊ"/>
    <s v="BERÇO MULTIUSO"/>
    <s v="BB41"/>
    <s v="UNIDADE"/>
    <n v="609.9"/>
    <x v="411"/>
    <n v="115"/>
    <n v="78"/>
    <n v="113"/>
    <n v="29"/>
    <n v="1.0136099999999999"/>
    <x v="915"/>
    <n v="15"/>
    <x v="1323"/>
    <n v="30"/>
    <n v="0.5"/>
    <n v="15"/>
    <n v="15.5"/>
    <n v="6.7714501421127427"/>
    <n v="2847.5930113098057"/>
    <s v="B"/>
  </r>
  <r>
    <x v="8"/>
    <s v="ESTAR E JANTAR"/>
    <s v="ESTANTE"/>
    <s v="BE 31-06"/>
    <s v="UNIDADE"/>
    <n v="191.92"/>
    <x v="404"/>
    <n v="128.30000000000001"/>
    <n v="34.5"/>
    <n v="81"/>
    <n v="21"/>
    <n v="0.35853435000000006"/>
    <x v="916"/>
    <n v="46"/>
    <x v="1324"/>
    <n v="40"/>
    <n v="1.1499999999999999"/>
    <n v="61.333333333333336"/>
    <n v="62.483333333333334"/>
    <n v="6.5344623401231647"/>
    <n v="2854.127473649929"/>
    <s v="C"/>
  </r>
  <r>
    <x v="8"/>
    <s v="LINHA BEBÊ"/>
    <s v="CÔMODA PROVENÇAL"/>
    <s v="153379"/>
    <s v="UNIDADE"/>
    <n v="586.41999999999996"/>
    <x v="395"/>
    <n v="107.6"/>
    <n v="47.8"/>
    <n v="103.7"/>
    <n v="54"/>
    <n v="0.53335813599999993"/>
    <x v="917"/>
    <n v="15"/>
    <x v="1325"/>
    <n v="30"/>
    <n v="0.5"/>
    <n v="15"/>
    <n v="15.5"/>
    <n v="6.5107620795831354"/>
    <n v="2860.638235729512"/>
    <s v="C"/>
  </r>
  <r>
    <x v="8"/>
    <s v="DORMITÓRIO"/>
    <s v="CAMA"/>
    <s v="CIM"/>
    <s v="UNIDADE"/>
    <n v="584"/>
    <x v="412"/>
    <n v="109"/>
    <n v="198"/>
    <n v="101"/>
    <n v="37"/>
    <n v="2.1797819999999999"/>
    <x v="918"/>
    <n v="15"/>
    <x v="1326"/>
    <n v="40"/>
    <n v="0.375"/>
    <n v="20"/>
    <n v="20.375"/>
    <n v="6.4838938891520606"/>
    <n v="2867.1221296186641"/>
    <s v="C"/>
  </r>
  <r>
    <x v="8"/>
    <s v="LINHA BEBÊ"/>
    <s v="CARRINHO PAGASUS"/>
    <s v="7455"/>
    <s v="UNIDADE"/>
    <n v="579"/>
    <x v="413"/>
    <n v="108"/>
    <n v="86"/>
    <n v="55"/>
    <n v="11"/>
    <n v="0.51083999999999996"/>
    <x v="919"/>
    <n v="15"/>
    <x v="1327"/>
    <n v="30"/>
    <n v="0.5"/>
    <n v="15"/>
    <n v="15.5"/>
    <n v="6.428381099005211"/>
    <n v="2873.5505107176691"/>
    <s v="C"/>
  </r>
  <r>
    <x v="8"/>
    <s v="DORMITÓRIO"/>
    <s v="CAMA"/>
    <s v="CR2LB"/>
    <s v="UNIDADE"/>
    <n v="570"/>
    <x v="412"/>
    <n v="82"/>
    <n v="104"/>
    <n v="98"/>
    <n v="58"/>
    <n v="0.83574400000000004"/>
    <x v="920"/>
    <n v="15"/>
    <x v="1328"/>
    <n v="40"/>
    <n v="0.375"/>
    <n v="20"/>
    <n v="20.375"/>
    <n v="6.3284580767408816"/>
    <n v="2879.87896879441"/>
    <s v="C"/>
  </r>
  <r>
    <x v="8"/>
    <s v="LINHA BEBÊ"/>
    <s v="BERÇO AMORE "/>
    <s v="186159"/>
    <s v="UNIDADE"/>
    <n v="549"/>
    <x v="414"/>
    <n v="83"/>
    <n v="27"/>
    <n v="27"/>
    <n v="30"/>
    <n v="6.0506999999999998E-2"/>
    <x v="921"/>
    <n v="15"/>
    <x v="736"/>
    <n v="30"/>
    <n v="0.5"/>
    <n v="15"/>
    <n v="15.5"/>
    <n v="6.0953043581241122"/>
    <n v="2885.9742731525339"/>
    <s v="C"/>
  </r>
  <r>
    <x v="8"/>
    <s v="DORMITÓRIO"/>
    <s v="CAMA"/>
    <s v="QUEEN"/>
    <s v="UNIDADE"/>
    <n v="542"/>
    <x v="415"/>
    <n v="165"/>
    <n v="28"/>
    <n v="210"/>
    <n v="65"/>
    <n v="0.97019999999999995"/>
    <x v="922"/>
    <n v="15"/>
    <x v="1329"/>
    <n v="40"/>
    <n v="0.375"/>
    <n v="20"/>
    <n v="20.375"/>
    <n v="6.0175864519185218"/>
    <n v="2891.9918596044522"/>
    <s v="C"/>
  </r>
  <r>
    <x v="8"/>
    <s v="DORMITÓRIO"/>
    <s v="ROUPEIRO"/>
    <s v="OPEN"/>
    <s v="UNIDADE"/>
    <n v="791.9"/>
    <x v="107"/>
    <n v="232"/>
    <n v="232"/>
    <n v="47"/>
    <n v="184"/>
    <n v="2.529728"/>
    <x v="923"/>
    <n v="10"/>
    <x v="1330"/>
    <n v="40"/>
    <n v="0.25"/>
    <n v="13.333333333333332"/>
    <n v="13.583333333333332"/>
    <n v="5.8614104689720516"/>
    <n v="2897.853270073424"/>
    <s v="C"/>
  </r>
  <r>
    <x v="8"/>
    <s v="LINHA BEBÊ"/>
    <s v="CARRINHO MARANELLO"/>
    <s v="15232"/>
    <s v="UNIDADE"/>
    <n v="499"/>
    <x v="413"/>
    <n v="51"/>
    <n v="103.5"/>
    <n v="78"/>
    <n v="10.199999999999999"/>
    <n v="0.41172300000000001"/>
    <x v="924"/>
    <n v="15"/>
    <x v="1331"/>
    <n v="30"/>
    <n v="0.5"/>
    <n v="15"/>
    <n v="15.5"/>
    <n v="5.5401764566556135"/>
    <n v="2903.3934465300795"/>
    <s v="C"/>
  </r>
  <r>
    <x v="8"/>
    <s v="COZINHA"/>
    <s v="AÉREO"/>
    <s v="CD-203"/>
    <s v="CAIXA"/>
    <n v="147.9"/>
    <x v="107"/>
    <n v="33"/>
    <n v="31"/>
    <n v="80"/>
    <n v="22.8"/>
    <n v="8.1839999999999996E-2"/>
    <x v="925"/>
    <n v="50"/>
    <x v="744"/>
    <n v="40"/>
    <n v="1.25"/>
    <n v="66.666666666666671"/>
    <n v="67.916666666666671"/>
    <n v="5.4735611084793936"/>
    <n v="2908.8670076385588"/>
    <s v="C"/>
  </r>
  <r>
    <x v="8"/>
    <s v="ESTAR E JANTAR"/>
    <s v="MESA DE CENTRO"/>
    <s v="2604"/>
    <s v="UNIDADE"/>
    <n v="159.91999999999999"/>
    <x v="398"/>
    <n v="41"/>
    <n v="64"/>
    <n v="112"/>
    <n v="23.7"/>
    <n v="0.29388799999999998"/>
    <x v="926"/>
    <n v="46"/>
    <x v="1332"/>
    <n v="40"/>
    <n v="1.1499999999999999"/>
    <n v="61.333333333333336"/>
    <n v="62.483333333333334"/>
    <n v="5.444931312174325"/>
    <n v="2914.3119389507333"/>
    <s v="C"/>
  </r>
  <r>
    <x v="8"/>
    <s v="ESTAR E JANTAR"/>
    <s v="MESA DE JANTAR"/>
    <s v="882175"/>
    <s v="UNIDADE"/>
    <n v="159.9"/>
    <x v="416"/>
    <n v="83"/>
    <n v="82.5"/>
    <n v="125"/>
    <n v="19"/>
    <n v="0.85593750000000002"/>
    <x v="927"/>
    <n v="46"/>
    <x v="1333"/>
    <n v="40"/>
    <n v="1.1499999999999999"/>
    <n v="61.333333333333336"/>
    <n v="62.483333333333334"/>
    <n v="5.4442503552818575"/>
    <n v="2919.7561893060151"/>
    <s v="C"/>
  </r>
  <r>
    <x v="8"/>
    <s v="ESTAR E JANTAR"/>
    <s v="MESA DE CENTRO"/>
    <s v="52265"/>
    <s v="UNIDADE"/>
    <n v="183.2"/>
    <x v="398"/>
    <n v="65"/>
    <n v="73"/>
    <n v="68"/>
    <n v="12.9"/>
    <n v="0.32266"/>
    <x v="928"/>
    <n v="40"/>
    <x v="1334"/>
    <n v="40"/>
    <n v="1"/>
    <n v="53.333333333333329"/>
    <n v="54.333333333333329"/>
    <n v="5.4239696826148744"/>
    <n v="2925.18015898863"/>
    <s v="C"/>
  </r>
  <r>
    <x v="8"/>
    <s v="COZINHA"/>
    <s v="PIA INOX"/>
    <s v="1120204"/>
    <s v="CAIXA"/>
    <n v="177"/>
    <x v="107"/>
    <n v="52.5"/>
    <n v="120"/>
    <n v="54"/>
    <n v="4.2"/>
    <n v="0.3402"/>
    <x v="929"/>
    <n v="40"/>
    <x v="1335"/>
    <n v="40"/>
    <n v="1"/>
    <n v="53.333333333333329"/>
    <n v="54.333333333333329"/>
    <n v="5.2404073898626242"/>
    <n v="2930.4205663784924"/>
    <s v="C"/>
  </r>
  <r>
    <x v="8"/>
    <s v="DORMITÓRIO"/>
    <s v="CAMA"/>
    <s v="SPEED"/>
    <s v="UNIDADE"/>
    <n v="464"/>
    <x v="412"/>
    <n v="50"/>
    <n v="83"/>
    <n v="196"/>
    <n v="28"/>
    <n v="0.81340000000000001"/>
    <x v="930"/>
    <n v="15"/>
    <x v="1336"/>
    <n v="40"/>
    <n v="0.375"/>
    <n v="20"/>
    <n v="20.375"/>
    <n v="5.1515869256276652"/>
    <n v="2935.5721533041201"/>
    <s v="C"/>
  </r>
  <r>
    <x v="8"/>
    <s v="DORMITÓRIO"/>
    <s v="CAMA"/>
    <s v="BRILHO"/>
    <s v="UNIDADE"/>
    <n v="461.47"/>
    <x v="417"/>
    <n v="68"/>
    <n v="197"/>
    <n v="95"/>
    <n v="56"/>
    <n v="1.2726200000000001"/>
    <x v="931"/>
    <n v="15"/>
    <x v="1337"/>
    <n v="40"/>
    <n v="0.375"/>
    <n v="20"/>
    <n v="20.375"/>
    <n v="5.1234974538133589"/>
    <n v="2940.6956507579334"/>
    <s v="C"/>
  </r>
  <r>
    <x v="8"/>
    <s v="COZINHA"/>
    <s v="PIA INOX"/>
    <s v="93040"/>
    <s v="CAIXA"/>
    <n v="171.9"/>
    <x v="107"/>
    <n v="52.5"/>
    <n v="120"/>
    <n v="52"/>
    <n v="3.8"/>
    <n v="0.3276"/>
    <x v="932"/>
    <n v="40"/>
    <x v="1338"/>
    <n v="40"/>
    <n v="1"/>
    <n v="53.333333333333329"/>
    <n v="54.333333333333329"/>
    <n v="5.0894126006631932"/>
    <n v="2945.7850633585967"/>
    <s v="C"/>
  </r>
  <r>
    <x v="8"/>
    <s v="DORMITÓRIO"/>
    <s v="CÔMODO"/>
    <s v="CMO"/>
    <s v="UNIDADE"/>
    <n v="450"/>
    <x v="388"/>
    <n v="145"/>
    <n v="128"/>
    <n v="48"/>
    <n v="48"/>
    <n v="0.89088000000000001"/>
    <x v="933"/>
    <n v="15"/>
    <x v="757"/>
    <n v="40"/>
    <n v="0.375"/>
    <n v="20"/>
    <n v="20.375"/>
    <n v="4.9961511132164853"/>
    <n v="2950.7812144718132"/>
    <s v="C"/>
  </r>
  <r>
    <x v="8"/>
    <s v="DORMITÓRIO"/>
    <s v="CÔMODO"/>
    <s v="USC"/>
    <s v="UNIDADE"/>
    <n v="449.9"/>
    <x v="388"/>
    <n v="155"/>
    <n v="86"/>
    <n v="46"/>
    <n v="50"/>
    <n v="0.61317999999999995"/>
    <x v="934"/>
    <n v="15"/>
    <x v="1339"/>
    <n v="40"/>
    <n v="0.375"/>
    <n v="20"/>
    <n v="20.375"/>
    <n v="4.9950408574135485"/>
    <n v="2955.7762553292268"/>
    <s v="C"/>
  </r>
  <r>
    <x v="8"/>
    <s v="COZINHA"/>
    <s v="AÉREO"/>
    <s v="CD-282"/>
    <s v="CAIXA"/>
    <n v="129.9"/>
    <x v="107"/>
    <n v="66"/>
    <n v="32"/>
    <n v="60"/>
    <n v="14"/>
    <n v="0.12672"/>
    <x v="935"/>
    <n v="50"/>
    <x v="1340"/>
    <n v="40"/>
    <n v="1.25"/>
    <n v="66.666666666666671"/>
    <n v="67.916666666666671"/>
    <n v="4.8074076267171959"/>
    <n v="2960.583662955944"/>
    <s v="C"/>
  </r>
  <r>
    <x v="8"/>
    <s v="LINHA BEBÊ"/>
    <s v="CADEIRA ALTA COOKIE"/>
    <s v="206752"/>
    <s v="UNIDADE"/>
    <n v="429.9"/>
    <x v="414"/>
    <n v="77"/>
    <n v="55"/>
    <n v="19"/>
    <n v="4.5"/>
    <n v="8.0464999999999995E-2"/>
    <x v="936"/>
    <n v="15"/>
    <x v="1341"/>
    <n v="30"/>
    <n v="0.5"/>
    <n v="15"/>
    <n v="15.5"/>
    <n v="4.7729896968261487"/>
    <n v="2965.3566526527702"/>
    <s v="C"/>
  </r>
  <r>
    <x v="8"/>
    <s v="LINHA BEBÊ"/>
    <s v="CARRINHO MILANO"/>
    <s v=" 1015LAS"/>
    <s v="UNIDADE"/>
    <n v="421.9"/>
    <x v="413"/>
    <n v="102"/>
    <n v="82"/>
    <n v="51"/>
    <n v="10"/>
    <n v="0.426564"/>
    <x v="937"/>
    <n v="15"/>
    <x v="1342"/>
    <n v="30"/>
    <n v="0.5"/>
    <n v="15"/>
    <n v="15.5"/>
    <n v="4.6841692325911888"/>
    <n v="2970.0408218853613"/>
    <s v="C"/>
  </r>
  <r>
    <x v="8"/>
    <s v="ESTAR E JANTAR"/>
    <s v="ESTANTE"/>
    <s v="30172"/>
    <s v="UNIDADE"/>
    <n v="135.91999999999999"/>
    <x v="406"/>
    <n v="141"/>
    <n v="30.5"/>
    <n v="62"/>
    <n v="15.4"/>
    <n v="0.26663100000000001"/>
    <x v="938"/>
    <n v="46"/>
    <x v="1343"/>
    <n v="40"/>
    <n v="1.1499999999999999"/>
    <n v="61.333333333333336"/>
    <n v="62.483333333333334"/>
    <n v="4.6277830412126955"/>
    <n v="2974.6686049265741"/>
    <s v="C"/>
  </r>
  <r>
    <x v="8"/>
    <s v="ESCRITÓRIO "/>
    <s v="MESA"/>
    <s v="LINDÓIA"/>
    <s v="UNIDADE"/>
    <n v="208"/>
    <x v="406"/>
    <n v="85"/>
    <n v="115"/>
    <n v="50"/>
    <n v="20"/>
    <n v="0.48875000000000002"/>
    <x v="939"/>
    <n v="30"/>
    <x v="1344"/>
    <n v="40"/>
    <n v="0.75"/>
    <n v="40"/>
    <n v="40.75"/>
    <n v="4.6186641402179065"/>
    <n v="2979.2872690667919"/>
    <s v="C"/>
  </r>
  <r>
    <x v="8"/>
    <s v="COZINHA"/>
    <s v="AÉREO"/>
    <s v="AB33"/>
    <s v="CAIXA"/>
    <n v="153.9"/>
    <x v="107"/>
    <n v="54"/>
    <n v="31"/>
    <n v="120"/>
    <n v="9"/>
    <n v="0.20088"/>
    <x v="940"/>
    <n v="40"/>
    <x v="1345"/>
    <n v="40"/>
    <n v="1"/>
    <n v="53.333333333333329"/>
    <n v="54.333333333333329"/>
    <n v="4.5564898152534345"/>
    <n v="2983.8437588820452"/>
    <s v="C"/>
  </r>
  <r>
    <x v="8"/>
    <s v="LINHA BEBÊ"/>
    <s v="CARRINHO MAGNI CARIN"/>
    <s v="480001"/>
    <s v="UNIDADE"/>
    <n v="401.9"/>
    <x v="418"/>
    <n v="100"/>
    <n v="87.6"/>
    <n v="54"/>
    <n v="7.6"/>
    <n v="0.47303999999999996"/>
    <x v="941"/>
    <n v="15"/>
    <x v="1346"/>
    <n v="30"/>
    <n v="0.5"/>
    <n v="15"/>
    <n v="15.5"/>
    <n v="4.4621180720037898"/>
    <n v="2988.3058769540489"/>
    <s v="C"/>
  </r>
  <r>
    <x v="8"/>
    <s v="DORMITÓRIO"/>
    <s v="CAMA"/>
    <s v="OREGON BLACK"/>
    <s v="UNIDADE"/>
    <n v="389"/>
    <x v="107"/>
    <n v="188"/>
    <n v="88"/>
    <n v="56"/>
    <n v="47"/>
    <n v="0.92646399999999995"/>
    <x v="942"/>
    <n v="15"/>
    <x v="1347"/>
    <n v="40"/>
    <n v="0.375"/>
    <n v="20"/>
    <n v="20.375"/>
    <n v="4.3188950734249172"/>
    <n v="2992.6247720274737"/>
    <s v="C"/>
  </r>
  <r>
    <x v="8"/>
    <s v="DORMITÓRIO"/>
    <s v="CÔMODO"/>
    <s v="C003"/>
    <s v="UNIDADE"/>
    <n v="385"/>
    <x v="391"/>
    <n v="167"/>
    <n v="106"/>
    <n v="47"/>
    <n v="57"/>
    <n v="0.83199400000000001"/>
    <x v="943"/>
    <n v="15"/>
    <x v="1348"/>
    <n v="40"/>
    <n v="0.375"/>
    <n v="20"/>
    <n v="20.375"/>
    <n v="4.2744848413074372"/>
    <n v="2996.8992568687813"/>
    <s v="C"/>
  </r>
  <r>
    <x v="8"/>
    <s v="DORMITÓRIO"/>
    <s v="CÔMODO"/>
    <s v="ESA"/>
    <s v="UNIDADE"/>
    <n v="480"/>
    <x v="388"/>
    <n v="160"/>
    <n v="130"/>
    <n v="45"/>
    <n v="64"/>
    <n v="0.93600000000000005"/>
    <x v="944"/>
    <n v="12"/>
    <x v="770"/>
    <n v="40"/>
    <n v="0.3"/>
    <n v="16"/>
    <n v="16.3"/>
    <n v="4.2633822832780677"/>
    <n v="3001.1626391520595"/>
    <s v="C"/>
  </r>
  <r>
    <x v="8"/>
    <s v="COZINHA"/>
    <s v="AÉREO"/>
    <s v="AB80"/>
    <s v="CAIXA"/>
    <n v="142.11000000000001"/>
    <x v="107"/>
    <n v="33"/>
    <n v="31"/>
    <n v="80"/>
    <n v="8.6"/>
    <n v="8.1839999999999996E-2"/>
    <x v="945"/>
    <n v="40"/>
    <x v="1349"/>
    <n v="40"/>
    <n v="1"/>
    <n v="53.333333333333329"/>
    <n v="54.333333333333329"/>
    <n v="4.2074253908100427"/>
    <n v="3005.3700645428694"/>
    <s v="C"/>
  </r>
  <r>
    <x v="8"/>
    <s v="ESTOFADOS"/>
    <s v="POLTRONA"/>
    <s v="POLTRONA ROMA CORINO PRETO"/>
    <s v="UNIDADE"/>
    <n v="140"/>
    <x v="392"/>
    <n v="85"/>
    <n v="80"/>
    <n v="75"/>
    <n v="18.3"/>
    <n v="0.51"/>
    <x v="946"/>
    <n v="40"/>
    <x v="410"/>
    <n v="40"/>
    <n v="1"/>
    <n v="53.333333333333329"/>
    <n v="54.333333333333329"/>
    <n v="4.1449549976314541"/>
    <n v="3009.5150195405008"/>
    <s v="C"/>
  </r>
  <r>
    <x v="8"/>
    <s v="LINHA BEBÊ"/>
    <s v="CADEIRA P/ AUTO PRINCESAS "/>
    <s v="2095203"/>
    <s v="UNIDADE"/>
    <n v="369"/>
    <x v="419"/>
    <n v="72"/>
    <n v="30"/>
    <n v="43"/>
    <n v="5.4"/>
    <n v="9.2880000000000004E-2"/>
    <x v="947"/>
    <n v="15"/>
    <x v="772"/>
    <n v="30"/>
    <n v="0.5"/>
    <n v="15"/>
    <n v="15.5"/>
    <n v="4.0968439128375183"/>
    <n v="3013.6118634533382"/>
    <s v="C"/>
  </r>
  <r>
    <x v="8"/>
    <s v="ESTAR E JANTAR"/>
    <s v="MESA DE CENTRO"/>
    <s v="1208"/>
    <s v="UNIDADE"/>
    <n v="119.92"/>
    <x v="398"/>
    <n v="38.5"/>
    <n v="68"/>
    <n v="68"/>
    <n v="16.3"/>
    <n v="0.17802399999999999"/>
    <x v="948"/>
    <n v="46"/>
    <x v="1350"/>
    <n v="40"/>
    <n v="1.1499999999999999"/>
    <n v="61.333333333333336"/>
    <n v="62.483333333333334"/>
    <n v="4.0830175272382752"/>
    <n v="3017.6948809805763"/>
    <s v="C"/>
  </r>
  <r>
    <x v="8"/>
    <s v="ESTAR E JANTAR"/>
    <s v="MESA DE CENTRO"/>
    <s v="1207"/>
    <s v="UNIDADE"/>
    <n v="119.92"/>
    <x v="398"/>
    <n v="38.5"/>
    <n v="68"/>
    <n v="68"/>
    <n v="16.3"/>
    <n v="0.17802399999999999"/>
    <x v="948"/>
    <n v="46"/>
    <x v="1350"/>
    <n v="40"/>
    <n v="1.1499999999999999"/>
    <n v="61.333333333333336"/>
    <n v="62.483333333333334"/>
    <n v="4.0830175272382752"/>
    <n v="3021.7778985078144"/>
    <s v="C"/>
  </r>
  <r>
    <x v="8"/>
    <s v="ESTAR E JANTAR"/>
    <s v="MESA DE CENTRO"/>
    <s v="1985"/>
    <s v="UNIDADE"/>
    <n v="119.92"/>
    <x v="398"/>
    <n v="39"/>
    <n v="68"/>
    <n v="68"/>
    <n v="16"/>
    <n v="0.180336"/>
    <x v="949"/>
    <n v="46"/>
    <x v="1350"/>
    <n v="40"/>
    <n v="1.1499999999999999"/>
    <n v="61.333333333333336"/>
    <n v="62.483333333333334"/>
    <n v="4.0830175272382752"/>
    <n v="3025.8609160350525"/>
    <s v="C"/>
  </r>
  <r>
    <x v="8"/>
    <s v="ESTAR E JANTAR"/>
    <s v="ESTANTE"/>
    <s v="1655"/>
    <s v="UNIDADE"/>
    <n v="119.92"/>
    <x v="420"/>
    <n v="155"/>
    <n v="36"/>
    <n v="59"/>
    <n v="16"/>
    <n v="0.32922000000000001"/>
    <x v="950"/>
    <n v="46"/>
    <x v="1350"/>
    <n v="40"/>
    <n v="1.1499999999999999"/>
    <n v="61.333333333333336"/>
    <n v="62.483333333333334"/>
    <n v="4.0830175272382752"/>
    <n v="3029.9439335622906"/>
    <s v="C"/>
  </r>
  <r>
    <x v="8"/>
    <s v="ESTAR E JANTAR"/>
    <s v="ESTANTE"/>
    <s v="1653"/>
    <s v="UNIDADE"/>
    <n v="119.92"/>
    <x v="420"/>
    <n v="155"/>
    <n v="36"/>
    <n v="59"/>
    <n v="16"/>
    <n v="0.32922000000000001"/>
    <x v="950"/>
    <n v="46"/>
    <x v="1350"/>
    <n v="40"/>
    <n v="1.1499999999999999"/>
    <n v="61.333333333333336"/>
    <n v="62.483333333333334"/>
    <n v="4.0830175272382752"/>
    <n v="3034.0269510895287"/>
    <s v="C"/>
  </r>
  <r>
    <x v="8"/>
    <s v="DORMITÓRIO"/>
    <s v="CÔMODO"/>
    <s v="C002"/>
    <s v="UNIDADE"/>
    <n v="517"/>
    <x v="391"/>
    <n v="178"/>
    <n v="137"/>
    <n v="47"/>
    <n v="94"/>
    <n v="1.146142"/>
    <x v="951"/>
    <n v="10"/>
    <x v="1351"/>
    <n v="40"/>
    <n v="0.25"/>
    <n v="13.333333333333332"/>
    <n v="13.583333333333332"/>
    <n v="3.8266816674561821"/>
    <n v="3037.853632756985"/>
    <s v="C"/>
  </r>
  <r>
    <x v="8"/>
    <s v="ESTAR E JANTAR"/>
    <s v="PUFF"/>
    <s v="0.03"/>
    <s v="UNIDADE"/>
    <n v="74.900000000000006"/>
    <x v="386"/>
    <n v="42"/>
    <n v="32"/>
    <n v="32"/>
    <n v="0.95"/>
    <n v="4.3007999999999998E-2"/>
    <x v="952"/>
    <n v="69"/>
    <x v="1352"/>
    <n v="40"/>
    <n v="1.7250000000000001"/>
    <n v="92"/>
    <n v="93.724999999999994"/>
    <n v="3.8252753434391287"/>
    <n v="3041.678908100424"/>
    <s v="C"/>
  </r>
  <r>
    <x v="8"/>
    <s v="ESTAR E JANTAR"/>
    <s v="MESA DE CENTRO"/>
    <s v="1109"/>
    <s v="UNIDADE"/>
    <n v="103.92"/>
    <x v="398"/>
    <n v="48.7"/>
    <n v="50"/>
    <n v="85"/>
    <n v="13.3"/>
    <n v="0.20697499999999999"/>
    <x v="953"/>
    <n v="46"/>
    <x v="1353"/>
    <n v="40"/>
    <n v="1.1499999999999999"/>
    <n v="61.333333333333336"/>
    <n v="62.483333333333334"/>
    <n v="3.5382520132638557"/>
    <n v="3045.2171601136879"/>
    <s v="C"/>
  </r>
  <r>
    <x v="8"/>
    <s v="DORMITÓRIO"/>
    <s v="CÔMODO"/>
    <s v="C001"/>
    <s v="UNIDADE"/>
    <n v="279"/>
    <x v="391"/>
    <n v="102"/>
    <n v="91"/>
    <n v="47"/>
    <n v="49"/>
    <n v="0.43625399999999998"/>
    <x v="954"/>
    <n v="15"/>
    <x v="799"/>
    <n v="40"/>
    <n v="0.375"/>
    <n v="20"/>
    <n v="20.375"/>
    <n v="3.0976136901942208"/>
    <n v="3048.314773803882"/>
    <s v="C"/>
  </r>
  <r>
    <x v="8"/>
    <s v="DORMITÓRIO"/>
    <s v="CÔMODO"/>
    <s v="SUP"/>
    <s v="UNIDADE"/>
    <n v="277.89999999999998"/>
    <x v="388"/>
    <n v="162"/>
    <n v="112"/>
    <n v="48"/>
    <n v="58"/>
    <n v="0.87091200000000002"/>
    <x v="955"/>
    <n v="15"/>
    <x v="1354"/>
    <n v="40"/>
    <n v="0.375"/>
    <n v="20"/>
    <n v="20.375"/>
    <n v="3.0854008763619141"/>
    <n v="3051.4001746802437"/>
    <s v="C"/>
  </r>
  <r>
    <x v="8"/>
    <s v="LINHA BEBÊ"/>
    <s v="CADEIRA P/ AUTO FERRARI"/>
    <s v="249271"/>
    <s v="UNIDADE"/>
    <n v="269"/>
    <x v="187"/>
    <n v="74"/>
    <n v="32"/>
    <n v="45"/>
    <n v="6"/>
    <n v="0.10656"/>
    <x v="956"/>
    <n v="15"/>
    <x v="1355"/>
    <n v="30"/>
    <n v="0.5"/>
    <n v="15"/>
    <n v="15.5"/>
    <n v="2.9865881099005214"/>
    <n v="3054.3867627901441"/>
    <s v="C"/>
  </r>
  <r>
    <x v="8"/>
    <s v="LINHA BEBÊ"/>
    <s v="CADEIRA P/ AUTO BACK"/>
    <s v="24796"/>
    <s v="UNIDADE"/>
    <n v="259"/>
    <x v="421"/>
    <n v="69"/>
    <n v="46"/>
    <n v="51"/>
    <n v="3.6"/>
    <n v="0.16187399999999999"/>
    <x v="957"/>
    <n v="15"/>
    <x v="803"/>
    <n v="30"/>
    <n v="0.5"/>
    <n v="15"/>
    <n v="15.5"/>
    <n v="2.8755625296068215"/>
    <n v="3057.2623253197507"/>
    <s v="C"/>
  </r>
  <r>
    <x v="8"/>
    <s v="COZINHA"/>
    <s v="AÉREO"/>
    <s v="AB701"/>
    <s v="CAIXA"/>
    <n v="96.9"/>
    <x v="107"/>
    <n v="33"/>
    <n v="31"/>
    <n v="70"/>
    <n v="8.6"/>
    <n v="7.1609999999999993E-2"/>
    <x v="958"/>
    <n v="40"/>
    <x v="1356"/>
    <n v="40"/>
    <n v="1"/>
    <n v="53.333333333333329"/>
    <n v="54.333333333333329"/>
    <n v="2.8689009947891995"/>
    <n v="3060.1312263145401"/>
    <s v="C"/>
  </r>
  <r>
    <x v="8"/>
    <s v="LINHA BEBÊ"/>
    <s v="BERÇO 0515"/>
    <s v="515010105"/>
    <s v="UNIDADE"/>
    <n v="379.9"/>
    <x v="410"/>
    <n v="915"/>
    <n v="685"/>
    <n v="1325.5"/>
    <n v="17.5"/>
    <n v="830.79026250000004"/>
    <x v="959"/>
    <n v="10"/>
    <x v="1357"/>
    <n v="30"/>
    <n v="0.33333333333333331"/>
    <n v="10"/>
    <n v="10.333333333333334"/>
    <n v="2.8119078635717671"/>
    <n v="3062.9431341781119"/>
    <s v="C"/>
  </r>
  <r>
    <x v="8"/>
    <s v="LINHA BEBÊ"/>
    <s v="BERÇO DIM DOM"/>
    <s v="38102"/>
    <s v="UNIDADE"/>
    <n v="744.14"/>
    <x v="407"/>
    <n v="1222"/>
    <n v="860"/>
    <n v="1363"/>
    <n v="27"/>
    <n v="1432.4039600000001"/>
    <x v="960"/>
    <n v="5"/>
    <x v="1358"/>
    <n v="30"/>
    <n v="0.16666666666666666"/>
    <n v="5"/>
    <n v="5.166666666666667"/>
    <n v="2.7539525106584555"/>
    <n v="3065.6970866887705"/>
    <s v="C"/>
  </r>
  <r>
    <x v="8"/>
    <s v="ESTAR E JANTAR"/>
    <s v="CADEIRA DE JANTAR"/>
    <s v="BD0120"/>
    <s v="UNIDADE"/>
    <n v="449"/>
    <x v="422"/>
    <n v="84"/>
    <n v="63"/>
    <n v="59"/>
    <n v="5"/>
    <n v="0.31222800000000001"/>
    <x v="961"/>
    <n v="8"/>
    <x v="1359"/>
    <n v="40"/>
    <n v="0.2"/>
    <n v="10.666666666666666"/>
    <n v="10.866666666666665"/>
    <n v="2.6586925627664613"/>
    <n v="3068.3557792515371"/>
    <s v="C"/>
  </r>
  <r>
    <x v="8"/>
    <s v="DORMITÓRIO"/>
    <s v="CÔMODO"/>
    <s v="SONIC"/>
    <s v="UNIDADE"/>
    <n v="239"/>
    <x v="107"/>
    <n v="136"/>
    <n v="92"/>
    <n v="48"/>
    <n v="28.5"/>
    <n v="0.600576"/>
    <x v="962"/>
    <n v="15"/>
    <x v="1360"/>
    <n v="40"/>
    <n v="0.375"/>
    <n v="20"/>
    <n v="20.375"/>
    <n v="2.6535113690194221"/>
    <n v="3071.0092906205564"/>
    <s v="C"/>
  </r>
  <r>
    <x v="8"/>
    <s v="LINHA BEBÊ"/>
    <s v="BANHEIRA SLIM"/>
    <s v="175077"/>
    <s v="UNIDADE"/>
    <n v="229.9"/>
    <x v="423"/>
    <n v="93"/>
    <n v="75"/>
    <n v="52"/>
    <n v="7.5"/>
    <n v="0.36270000000000002"/>
    <x v="963"/>
    <n v="15"/>
    <x v="1361"/>
    <n v="30"/>
    <n v="0.5"/>
    <n v="15"/>
    <n v="15.5"/>
    <n v="2.5524780909521554"/>
    <n v="3073.5617687115086"/>
    <s v="C"/>
  </r>
  <r>
    <x v="8"/>
    <s v="LINHA BEBÊ"/>
    <s v="BANHEIRA MILLENIA"/>
    <s v="18874"/>
    <s v="UNIDADE"/>
    <n v="225"/>
    <x v="414"/>
    <n v="100"/>
    <n v="71"/>
    <n v="79"/>
    <n v="6.3"/>
    <n v="0.56089999999999995"/>
    <x v="964"/>
    <n v="15"/>
    <x v="1362"/>
    <n v="30"/>
    <n v="0.5"/>
    <n v="15"/>
    <n v="15.5"/>
    <n v="2.4980755566082427"/>
    <n v="3076.0598442681171"/>
    <s v="C"/>
  </r>
  <r>
    <x v="8"/>
    <s v="ESTAR E JANTAR"/>
    <s v="CADEIRA DE JANTAR"/>
    <s v="8048-1.0245"/>
    <s v="UNIDADE"/>
    <n v="419.9"/>
    <x v="386"/>
    <n v="99"/>
    <n v="61"/>
    <n v="51"/>
    <n v="6"/>
    <n v="0.30798900000000001"/>
    <x v="965"/>
    <n v="8"/>
    <x v="1363"/>
    <n v="40"/>
    <n v="0.2"/>
    <n v="10.666666666666666"/>
    <n v="10.866666666666665"/>
    <n v="2.4863808621506394"/>
    <n v="3078.5462251302679"/>
    <s v="C"/>
  </r>
  <r>
    <x v="8"/>
    <s v="ESTAR E JANTAR"/>
    <s v="CADEIRA DE JANTAR"/>
    <s v="804809880000000"/>
    <s v="UNIDADE"/>
    <n v="419"/>
    <x v="424"/>
    <n v="95"/>
    <n v="61"/>
    <n v="51"/>
    <n v="6"/>
    <n v="0.295545"/>
    <x v="966"/>
    <n v="8"/>
    <x v="1364"/>
    <n v="40"/>
    <n v="0.2"/>
    <n v="10.666666666666666"/>
    <n v="10.866666666666665"/>
    <n v="2.4810516342965419"/>
    <n v="3081.0272767645642"/>
    <s v="C"/>
  </r>
  <r>
    <x v="8"/>
    <s v="ESTAR E JANTAR"/>
    <s v="MESA DE CENTRO"/>
    <s v="2335"/>
    <s v="UNIDADE"/>
    <n v="103.92"/>
    <x v="398"/>
    <n v="42"/>
    <n v="50"/>
    <n v="85"/>
    <n v="11"/>
    <n v="0.17849999999999999"/>
    <x v="967"/>
    <n v="32"/>
    <x v="1365"/>
    <n v="40"/>
    <n v="0.8"/>
    <n v="42.666666666666664"/>
    <n v="43.466666666666661"/>
    <n v="2.4613927048792044"/>
    <n v="3083.4886694694433"/>
    <s v="C"/>
  </r>
  <r>
    <x v="8"/>
    <s v="LINHA BEBÊ"/>
    <s v="CADEIRA P/ AUTO BEFIX"/>
    <s v="259681"/>
    <s v="UNIDADE"/>
    <n v="219"/>
    <x v="425"/>
    <n v="70"/>
    <n v="45"/>
    <n v="55"/>
    <n v="4"/>
    <n v="0.17324999999999999"/>
    <x v="968"/>
    <n v="15"/>
    <x v="812"/>
    <n v="30"/>
    <n v="0.5"/>
    <n v="15"/>
    <n v="15.5"/>
    <n v="2.4314602084320227"/>
    <n v="3085.9201296778751"/>
    <s v="C"/>
  </r>
  <r>
    <x v="8"/>
    <s v="COZINHA"/>
    <s v="AÉREO"/>
    <s v="AB70"/>
    <s v="CAIXA"/>
    <n v="76.400000000000006"/>
    <x v="107"/>
    <n v="33"/>
    <n v="31"/>
    <n v="70"/>
    <n v="9"/>
    <n v="7.1609999999999993E-2"/>
    <x v="958"/>
    <n v="40"/>
    <x v="1366"/>
    <n v="40"/>
    <n v="1"/>
    <n v="53.333333333333329"/>
    <n v="54.333333333333329"/>
    <n v="2.2619611558503081"/>
    <n v="3088.1820908337254"/>
    <s v="C"/>
  </r>
  <r>
    <x v="8"/>
    <s v="DORMITÓRIO"/>
    <s v="CÔMODO"/>
    <s v="WALL"/>
    <s v="UNIDADE"/>
    <n v="199"/>
    <x v="107"/>
    <n v="114"/>
    <n v="94"/>
    <n v="46"/>
    <n v="30"/>
    <n v="0.49293599999999999"/>
    <x v="969"/>
    <n v="15"/>
    <x v="1367"/>
    <n v="40"/>
    <n v="0.375"/>
    <n v="20"/>
    <n v="20.375"/>
    <n v="2.2094090478446233"/>
    <n v="3090.3914998815699"/>
    <s v="C"/>
  </r>
  <r>
    <x v="8"/>
    <s v="DORMITÓRIO"/>
    <s v="CÔMODO"/>
    <s v="ARO"/>
    <s v="UNIDADE"/>
    <n v="190.9"/>
    <x v="107"/>
    <n v="148"/>
    <n v="102"/>
    <n v="46"/>
    <n v="58.6"/>
    <n v="0.69441600000000003"/>
    <x v="970"/>
    <n v="15"/>
    <x v="1368"/>
    <n v="40"/>
    <n v="0.375"/>
    <n v="20"/>
    <n v="20.375"/>
    <n v="2.1194783278067266"/>
    <n v="3092.5109782093764"/>
    <s v="C"/>
  </r>
  <r>
    <x v="8"/>
    <s v="LINHA BEBÊ"/>
    <s v="CÔMODA MEU FOFINHO"/>
    <s v="152489"/>
    <s v="UNIDADE"/>
    <n v="189.9"/>
    <x v="426"/>
    <n v="38"/>
    <n v="83.3"/>
    <n v="181"/>
    <n v="55"/>
    <n v="0.57293740000000004"/>
    <x v="971"/>
    <n v="15"/>
    <x v="1369"/>
    <n v="30"/>
    <n v="0.5"/>
    <n v="15"/>
    <n v="15.5"/>
    <n v="2.1083757697773566"/>
    <n v="3094.6193539791539"/>
    <s v="C"/>
  </r>
  <r>
    <x v="8"/>
    <s v="LINHA BEBÊ"/>
    <s v="BANHEIRA TIGRINHA"/>
    <s v="15470"/>
    <s v="UNIDADE"/>
    <n v="203.15"/>
    <x v="413"/>
    <n v="96"/>
    <n v="80"/>
    <n v="55"/>
    <n v="8"/>
    <n v="0.4224"/>
    <x v="972"/>
    <n v="14"/>
    <x v="1370"/>
    <n v="30"/>
    <n v="0.46666666666666667"/>
    <n v="14"/>
    <n v="14.466666666666667"/>
    <n v="2.1051190194220748"/>
    <n v="3096.7244729985759"/>
    <s v="C"/>
  </r>
  <r>
    <x v="8"/>
    <s v="LINHA BEBÊ"/>
    <s v="BANHEIRA OVELINHA"/>
    <s v="8040"/>
    <s v="UNIDADE"/>
    <n v="203.15"/>
    <x v="413"/>
    <n v="96"/>
    <n v="80"/>
    <n v="55"/>
    <n v="8"/>
    <n v="0.4224"/>
    <x v="972"/>
    <n v="14"/>
    <x v="1370"/>
    <n v="30"/>
    <n v="0.46666666666666667"/>
    <n v="14"/>
    <n v="14.466666666666667"/>
    <n v="2.1051190194220748"/>
    <n v="3098.829592017998"/>
    <s v="C"/>
  </r>
  <r>
    <x v="8"/>
    <s v="DORMITÓRIO"/>
    <s v="CRIADO MUDO"/>
    <s v="688W"/>
    <s v="UNIDADE"/>
    <n v="185"/>
    <x v="388"/>
    <n v="37"/>
    <n v="48"/>
    <n v="32"/>
    <n v="17"/>
    <n v="5.6832000000000001E-2"/>
    <x v="973"/>
    <n v="15"/>
    <x v="1371"/>
    <n v="40"/>
    <n v="0.375"/>
    <n v="20"/>
    <n v="20.375"/>
    <n v="2.0539732354334439"/>
    <n v="3100.8835652534317"/>
    <s v="C"/>
  </r>
  <r>
    <x v="8"/>
    <s v="ESTAR E JANTAR"/>
    <s v="CADEIRA DE JANTAR"/>
    <s v="1000.001.0002-0347"/>
    <s v="UNIDADE"/>
    <n v="329.9"/>
    <x v="427"/>
    <n v="45"/>
    <n v="101"/>
    <n v="51"/>
    <n v="6"/>
    <n v="0.231795"/>
    <x v="974"/>
    <n v="8"/>
    <x v="1372"/>
    <n v="40"/>
    <n v="0.2"/>
    <n v="10.666666666666666"/>
    <n v="10.866666666666665"/>
    <n v="1.9534580767408811"/>
    <n v="3102.8370233301725"/>
    <s v="C"/>
  </r>
  <r>
    <x v="8"/>
    <s v="DORMITÓRIO"/>
    <s v="CRIADO MUDO"/>
    <s v="104W"/>
    <s v="UNIDADE"/>
    <n v="163"/>
    <x v="388"/>
    <n v="43"/>
    <n v="52"/>
    <n v="41"/>
    <n v="15.3"/>
    <n v="9.1675999999999994E-2"/>
    <x v="975"/>
    <n v="15"/>
    <x v="1373"/>
    <n v="40"/>
    <n v="0.375"/>
    <n v="20"/>
    <n v="20.375"/>
    <n v="1.8097169587873045"/>
    <n v="3104.6467402889598"/>
    <s v="C"/>
  </r>
  <r>
    <x v="8"/>
    <s v="LINHA BEBÊ"/>
    <s v="BERÇO IF440"/>
    <s v="69609"/>
    <s v="UNIDADE"/>
    <n v="371.9"/>
    <x v="428"/>
    <n v="97"/>
    <n v="68"/>
    <n v="134"/>
    <n v="26"/>
    <n v="0.88386399999999998"/>
    <x v="976"/>
    <n v="6"/>
    <x v="1374"/>
    <n v="30"/>
    <n v="0.2"/>
    <n v="6"/>
    <n v="6.2"/>
    <n v="1.6516165324490761"/>
    <n v="3106.298356821409"/>
    <s v="C"/>
  </r>
  <r>
    <x v="8"/>
    <s v="LINHA BEBÊ"/>
    <s v="CADEIRA ALTA STANDART"/>
    <s v="116475"/>
    <s v="UNIDADE"/>
    <n v="143.75"/>
    <x v="413"/>
    <n v="105"/>
    <n v="56"/>
    <n v="68"/>
    <n v="5.4"/>
    <n v="0.39983999999999997"/>
    <x v="977"/>
    <n v="15"/>
    <x v="1375"/>
    <n v="30"/>
    <n v="0.5"/>
    <n v="15"/>
    <n v="15.5"/>
    <n v="1.5959927167219328"/>
    <n v="3107.8943495381309"/>
    <s v="C"/>
  </r>
  <r>
    <x v="8"/>
    <s v="LINHA BEBÊ"/>
    <s v="CADEIRA ALLTA GOLD"/>
    <s v="11392"/>
    <s v="UNIDADE"/>
    <n v="143.65"/>
    <x v="413"/>
    <n v="105"/>
    <n v="56"/>
    <n v="68"/>
    <n v="5.4"/>
    <n v="0.39983999999999997"/>
    <x v="977"/>
    <n v="15"/>
    <x v="1376"/>
    <n v="30"/>
    <n v="0.5"/>
    <n v="15"/>
    <n v="15.5"/>
    <n v="1.5948824609189958"/>
    <n v="3109.4892319990499"/>
    <s v="C"/>
  </r>
  <r>
    <x v="8"/>
    <s v="LINHA BEBÊ"/>
    <s v="CADEIRA ALTA URSINHOS"/>
    <s v="7620"/>
    <s v="UNIDADE"/>
    <n v="143.65"/>
    <x v="413"/>
    <n v="105"/>
    <n v="56"/>
    <n v="68"/>
    <n v="5.4"/>
    <n v="0.39983999999999997"/>
    <x v="977"/>
    <n v="15"/>
    <x v="1376"/>
    <n v="30"/>
    <n v="0.5"/>
    <n v="15"/>
    <n v="15.5"/>
    <n v="1.5948824609189958"/>
    <n v="3111.084114459969"/>
    <s v="C"/>
  </r>
  <r>
    <x v="8"/>
    <s v="ESTAR E JANTAR"/>
    <s v="MESA DE JANTAR"/>
    <s v="203011IB"/>
    <s v="UNIDADE"/>
    <n v="529.9"/>
    <x v="429"/>
    <n v="83"/>
    <n v="45"/>
    <n v="45"/>
    <n v="3.5"/>
    <n v="0.168075"/>
    <x v="978"/>
    <n v="4"/>
    <x v="1377"/>
    <n v="40"/>
    <n v="0.1"/>
    <n v="5.333333333333333"/>
    <n v="5.4333333333333327"/>
    <n v="1.5688654666035053"/>
    <n v="3112.6529799265727"/>
    <s v="C"/>
  </r>
  <r>
    <x v="8"/>
    <s v="ESTAR E JANTAR"/>
    <s v="CADEIRA DE JANTAR"/>
    <s v="30200840"/>
    <s v="UNIDADE"/>
    <n v="279.89999999999998"/>
    <x v="430"/>
    <n v="107"/>
    <n v="48"/>
    <n v="47"/>
    <n v="10.6"/>
    <n v="0.241392"/>
    <x v="979"/>
    <n v="7"/>
    <x v="1378"/>
    <n v="40"/>
    <n v="0.17499999999999999"/>
    <n v="9.3333333333333339"/>
    <n v="9.5083333333333346"/>
    <n v="1.450216129796305"/>
    <n v="3114.1031960563691"/>
    <s v="C"/>
  </r>
  <r>
    <x v="8"/>
    <s v="ESTAR E JANTAR"/>
    <s v="PUFF"/>
    <s v="231N CA"/>
    <s v="UNIDADE"/>
    <n v="230.3"/>
    <x v="431"/>
    <n v="60"/>
    <n v="70"/>
    <n v="70"/>
    <n v="5.5"/>
    <n v="0.29399999999999998"/>
    <x v="980"/>
    <n v="8"/>
    <x v="1379"/>
    <n v="40"/>
    <n v="0.2"/>
    <n v="10.666666666666666"/>
    <n v="10.866666666666665"/>
    <n v="1.3636901942207487"/>
    <n v="3115.4668862505901"/>
    <s v="C"/>
  </r>
  <r>
    <x v="8"/>
    <s v="COLCHÕES"/>
    <s v="TRAVESSEIRO SOGNOBELLO ANTIÁCARO"/>
    <s v="2081799"/>
    <s v="PLÁSTICO"/>
    <n v="11.9"/>
    <x v="432"/>
    <n v="5"/>
    <n v="50"/>
    <n v="70"/>
    <n v="0.45"/>
    <n v="1.7500000000000002E-2"/>
    <x v="981"/>
    <n v="150"/>
    <x v="858"/>
    <n v="25"/>
    <n v="6"/>
    <n v="125"/>
    <n v="131"/>
    <n v="1.321204405495026"/>
    <n v="3116.7880906560849"/>
    <s v="C"/>
  </r>
  <r>
    <x v="8"/>
    <s v="ESTAR E JANTAR"/>
    <s v="CADEIRA DE JANTAR"/>
    <s v="30200810"/>
    <s v="UNIDADE"/>
    <n v="219.9"/>
    <x v="430"/>
    <n v="93.5"/>
    <n v="51"/>
    <n v="50"/>
    <n v="6"/>
    <n v="0.238425"/>
    <x v="982"/>
    <n v="8"/>
    <x v="1380"/>
    <n v="40"/>
    <n v="0.2"/>
    <n v="10.666666666666666"/>
    <n v="10.866666666666665"/>
    <n v="1.3021080056845098"/>
    <n v="3118.0901986617696"/>
    <s v="C"/>
  </r>
  <r>
    <x v="8"/>
    <s v="DORMITÓRIO"/>
    <s v="CRIADO MUDO"/>
    <s v="824W"/>
    <s v="UNIDADE"/>
    <n v="111"/>
    <x v="388"/>
    <n v="40"/>
    <n v="48"/>
    <n v="48"/>
    <n v="14.5"/>
    <n v="9.2160000000000006E-2"/>
    <x v="983"/>
    <n v="15"/>
    <x v="1381"/>
    <n v="40"/>
    <n v="0.375"/>
    <n v="20"/>
    <n v="20.375"/>
    <n v="1.2323839412600663"/>
    <n v="3119.3225826030298"/>
    <s v="C"/>
  </r>
  <r>
    <x v="8"/>
    <s v="DORMITÓRIO"/>
    <s v="CRIADO MUDO"/>
    <s v="S822"/>
    <s v="UNIDADE"/>
    <n v="110"/>
    <x v="391"/>
    <n v="48"/>
    <n v="54"/>
    <n v="38"/>
    <n v="16"/>
    <n v="9.8496E-2"/>
    <x v="984"/>
    <n v="15"/>
    <x v="864"/>
    <n v="40"/>
    <n v="0.375"/>
    <n v="20"/>
    <n v="20.375"/>
    <n v="1.2212813832306963"/>
    <n v="3120.5438639862605"/>
    <s v="C"/>
  </r>
  <r>
    <x v="8"/>
    <s v="DORMITÓRIO"/>
    <s v="CRIADO MUDO"/>
    <s v="476W"/>
    <s v="UNIDADE"/>
    <n v="104"/>
    <x v="388"/>
    <n v="55"/>
    <n v="52"/>
    <n v="34"/>
    <n v="12.8"/>
    <n v="9.7239999999999993E-2"/>
    <x v="985"/>
    <n v="15"/>
    <x v="867"/>
    <n v="40"/>
    <n v="0.375"/>
    <n v="20"/>
    <n v="20.375"/>
    <n v="1.1546660350544766"/>
    <n v="3121.698530021315"/>
    <s v="C"/>
  </r>
  <r>
    <x v="8"/>
    <s v="ESTAR E JANTAR"/>
    <s v="MESA DE JANTAR"/>
    <s v="M008-CR"/>
    <s v="UNIDADE"/>
    <n v="389.9"/>
    <x v="433"/>
    <n v="80"/>
    <n v="78"/>
    <n v="78"/>
    <n v="4.5"/>
    <n v="0.48671999999999999"/>
    <x v="986"/>
    <n v="4"/>
    <x v="1382"/>
    <n v="40"/>
    <n v="0.1"/>
    <n v="5.333333333333333"/>
    <n v="5.4333333333333327"/>
    <n v="1.15436996684036"/>
    <n v="3122.8528999881555"/>
    <s v="C"/>
  </r>
  <r>
    <x v="8"/>
    <s v="ESTAR E JANTAR"/>
    <s v="CADEIRA DE JANTAR"/>
    <s v="KBR153"/>
    <s v="UNIDADE"/>
    <n v="189.9"/>
    <x v="386"/>
    <n v="96"/>
    <n v="56"/>
    <n v="49.5"/>
    <n v="6.7"/>
    <n v="0.26611200000000002"/>
    <x v="987"/>
    <n v="8"/>
    <x v="1383"/>
    <n v="40"/>
    <n v="0.2"/>
    <n v="10.666666666666666"/>
    <n v="10.866666666666665"/>
    <n v="1.1244670772145904"/>
    <n v="3123.9773670653699"/>
    <s v="C"/>
  </r>
  <r>
    <x v="8"/>
    <s v="ESTAR E JANTAR"/>
    <s v="CADEIRA DE JANTAR"/>
    <s v="KBR052"/>
    <s v="UNIDADE"/>
    <n v="189.9"/>
    <x v="386"/>
    <n v="96"/>
    <n v="56"/>
    <n v="49.5"/>
    <n v="6.7"/>
    <n v="0.26611200000000002"/>
    <x v="987"/>
    <n v="8"/>
    <x v="1383"/>
    <n v="40"/>
    <n v="0.2"/>
    <n v="10.666666666666666"/>
    <n v="10.866666666666665"/>
    <n v="1.1244670772145904"/>
    <n v="3125.1018341425843"/>
    <s v="C"/>
  </r>
  <r>
    <x v="8"/>
    <s v="DORMITÓRIO"/>
    <s v="CRIADO MUDO"/>
    <s v="207W"/>
    <s v="UNIDADE"/>
    <n v="99.7"/>
    <x v="388"/>
    <n v="57"/>
    <n v="48"/>
    <n v="48"/>
    <n v="14.6"/>
    <n v="0.131328"/>
    <x v="70"/>
    <n v="15"/>
    <x v="1384"/>
    <n v="40"/>
    <n v="0.375"/>
    <n v="20"/>
    <n v="20.375"/>
    <n v="1.1069250355281857"/>
    <n v="3126.2087591781124"/>
    <s v="C"/>
  </r>
  <r>
    <x v="8"/>
    <s v="DORMITÓRIO"/>
    <s v="CRIADO MUDO"/>
    <s v="LINDÓIA"/>
    <s v="UNIDADE"/>
    <n v="89.9"/>
    <x v="434"/>
    <n v="46"/>
    <n v="40"/>
    <n v="32"/>
    <n v="15"/>
    <n v="5.8880000000000002E-2"/>
    <x v="988"/>
    <n v="15"/>
    <x v="1385"/>
    <n v="40"/>
    <n v="0.375"/>
    <n v="20"/>
    <n v="20.375"/>
    <n v="0.99811996684036008"/>
    <n v="3127.2068791449528"/>
    <s v="C"/>
  </r>
  <r>
    <x v="8"/>
    <s v="DORMITÓRIO"/>
    <s v="CRIADO MUDO"/>
    <s v="B202"/>
    <s v="UNIDADE"/>
    <n v="87.9"/>
    <x v="391"/>
    <n v="48"/>
    <n v="54"/>
    <n v="37"/>
    <n v="13"/>
    <n v="9.5904000000000003E-2"/>
    <x v="989"/>
    <n v="15"/>
    <x v="1386"/>
    <n v="40"/>
    <n v="0.375"/>
    <n v="20"/>
    <n v="20.375"/>
    <n v="0.9759148507816201"/>
    <n v="3128.1827939957343"/>
    <s v="C"/>
  </r>
  <r>
    <x v="8"/>
    <s v="DORMITÓRIO"/>
    <s v="CRIADO MUDO"/>
    <s v="S302"/>
    <s v="UNIDADE"/>
    <n v="87.9"/>
    <x v="391"/>
    <n v="48"/>
    <n v="54"/>
    <n v="37"/>
    <n v="13"/>
    <n v="9.5904000000000003E-2"/>
    <x v="989"/>
    <n v="15"/>
    <x v="1386"/>
    <n v="40"/>
    <n v="0.375"/>
    <n v="20"/>
    <n v="20.375"/>
    <n v="0.9759148507816201"/>
    <n v="3129.1587088465158"/>
    <s v="C"/>
  </r>
  <r>
    <x v="8"/>
    <s v="ESTAR E JANTAR"/>
    <s v="PUFF"/>
    <s v="120P PT"/>
    <s v="UNIDADE"/>
    <n v="153.30000000000001"/>
    <x v="431"/>
    <n v="90"/>
    <n v="50"/>
    <n v="70"/>
    <n v="5.5"/>
    <n v="0.315"/>
    <x v="110"/>
    <n v="8"/>
    <x v="1387"/>
    <n v="40"/>
    <n v="0.2"/>
    <n v="10.666666666666666"/>
    <n v="10.866666666666665"/>
    <n v="0.90774514448128862"/>
    <n v="3130.0664539909972"/>
    <s v="C"/>
  </r>
  <r>
    <x v="8"/>
    <s v="ESTAR E JANTAR"/>
    <s v="PUFF"/>
    <s v="231LMY"/>
    <s v="UNIDADE"/>
    <n v="174.3"/>
    <x v="431"/>
    <n v="60"/>
    <n v="60"/>
    <n v="60"/>
    <n v="10"/>
    <n v="0.216"/>
    <x v="990"/>
    <n v="7"/>
    <x v="1388"/>
    <n v="40"/>
    <n v="0.17499999999999999"/>
    <n v="9.3333333333333339"/>
    <n v="9.5083333333333346"/>
    <n v="0.90308207010895325"/>
    <n v="3130.9695360611063"/>
    <s v="C"/>
  </r>
  <r>
    <x v="8"/>
    <s v="ESTAR E JANTAR"/>
    <s v="ESTANTE"/>
    <s v="BX 21-06"/>
    <s v="UNIDADE"/>
    <n v="127.92"/>
    <x v="404"/>
    <n v="95"/>
    <n v="24.5"/>
    <n v="95"/>
    <n v="7.1"/>
    <n v="0.22111249999999999"/>
    <x v="991"/>
    <n v="8"/>
    <x v="1389"/>
    <n v="40"/>
    <n v="0.2"/>
    <n v="10.666666666666666"/>
    <n v="10.866666666666665"/>
    <n v="0.75746091899573664"/>
    <n v="3131.7269969801018"/>
    <s v="C"/>
  </r>
  <r>
    <x v="8"/>
    <s v="DORMITÓRIO"/>
    <s v="CRIADO MUDO"/>
    <s v="ABE"/>
    <s v="UNIDADE"/>
    <n v="66"/>
    <x v="434"/>
    <n v="50"/>
    <n v="52"/>
    <n v="35"/>
    <n v="14"/>
    <n v="9.0999999999999998E-2"/>
    <x v="992"/>
    <n v="15"/>
    <x v="1390"/>
    <n v="40"/>
    <n v="0.375"/>
    <n v="20"/>
    <n v="20.375"/>
    <n v="0.73276882993841785"/>
    <n v="3132.4597658100402"/>
    <s v="C"/>
  </r>
  <r>
    <x v="8"/>
    <s v="ESTAR E JANTAR"/>
    <s v="MESA DE CENTRO"/>
    <s v="2851"/>
    <s v="UNIDADE"/>
    <n v="103.92"/>
    <x v="398"/>
    <n v="45"/>
    <n v="50"/>
    <n v="85"/>
    <n v="7.8"/>
    <n v="0.19125"/>
    <x v="993"/>
    <n v="7"/>
    <x v="1391"/>
    <n v="40"/>
    <n v="0.17499999999999999"/>
    <n v="9.3333333333333339"/>
    <n v="9.5083333333333346"/>
    <n v="0.53842965419232591"/>
    <n v="3132.9981954642326"/>
    <s v="C"/>
  </r>
  <r>
    <x v="8"/>
    <s v="ESTAR E JANTAR"/>
    <s v="PUFF"/>
    <s v="191P PT"/>
    <s v="UNIDADE"/>
    <n v="174.3"/>
    <x v="431"/>
    <n v="70"/>
    <n v="60"/>
    <n v="60"/>
    <n v="5"/>
    <n v="0.252"/>
    <x v="994"/>
    <n v="4"/>
    <x v="1392"/>
    <n v="40"/>
    <n v="0.1"/>
    <n v="5.333333333333333"/>
    <n v="5.4333333333333327"/>
    <n v="0.5160468972051161"/>
    <n v="3133.5142423614379"/>
    <s v="C"/>
  </r>
  <r>
    <x v="8"/>
    <s v="ESTAR E JANTAR"/>
    <s v="PUFF"/>
    <s v="120PRY"/>
    <s v="UNIDADE"/>
    <n v="84.95"/>
    <x v="431"/>
    <n v="90"/>
    <n v="60"/>
    <n v="76"/>
    <n v="5"/>
    <n v="0.41039999999999999"/>
    <x v="995"/>
    <n v="8"/>
    <x v="1393"/>
    <n v="40"/>
    <n v="0.2"/>
    <n v="10.666666666666666"/>
    <n v="10.866666666666665"/>
    <n v="0.50301989578398865"/>
    <n v="3134.0172622572218"/>
    <s v="C"/>
  </r>
  <r>
    <x v="8"/>
    <s v="ESTAR E JANTAR"/>
    <s v="PUFF"/>
    <s v="120PVM"/>
    <s v="UNIDADE"/>
    <n v="84.95"/>
    <x v="431"/>
    <n v="90"/>
    <n v="60"/>
    <n v="76"/>
    <n v="5"/>
    <n v="0.41039999999999999"/>
    <x v="995"/>
    <n v="8"/>
    <x v="1393"/>
    <n v="40"/>
    <n v="0.2"/>
    <n v="10.666666666666666"/>
    <n v="10.866666666666665"/>
    <n v="0.50301989578398865"/>
    <n v="3134.5202821530056"/>
    <s v="C"/>
  </r>
  <r>
    <x v="8"/>
    <s v="ESTAR E JANTAR"/>
    <s v="PUFF"/>
    <s v="120PMF"/>
    <s v="UNIDADE"/>
    <n v="84.95"/>
    <x v="431"/>
    <n v="90"/>
    <n v="60"/>
    <n v="76"/>
    <n v="5"/>
    <n v="0.41039999999999999"/>
    <x v="995"/>
    <n v="8"/>
    <x v="1393"/>
    <n v="40"/>
    <n v="0.2"/>
    <n v="10.666666666666666"/>
    <n v="10.866666666666665"/>
    <n v="0.50301989578398865"/>
    <n v="3135.0233020487894"/>
    <s v="C"/>
  </r>
  <r>
    <x v="8"/>
    <s v="ESTAR E JANTAR"/>
    <s v="PUFF"/>
    <s v="181P BB"/>
    <s v="UNIDADE"/>
    <n v="83.93"/>
    <x v="431"/>
    <n v="50"/>
    <n v="35"/>
    <n v="35"/>
    <n v="5.5"/>
    <n v="6.1249999999999999E-2"/>
    <x v="996"/>
    <n v="8"/>
    <x v="1394"/>
    <n v="40"/>
    <n v="0.2"/>
    <n v="10.666666666666666"/>
    <n v="10.866666666666665"/>
    <n v="0.49698010421601141"/>
    <n v="3135.5202821530056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2">
  <location ref="A6:C442" firstHeaderRow="0" firstDataRow="1" firstDataCol="1" rowPageCount="1" colPageCount="1"/>
  <pivotFields count="22">
    <pivotField axis="axisPage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436">
        <item x="347"/>
        <item x="71"/>
        <item x="428"/>
        <item x="290"/>
        <item x="234"/>
        <item x="383"/>
        <item x="278"/>
        <item x="333"/>
        <item x="299"/>
        <item x="125"/>
        <item x="207"/>
        <item x="279"/>
        <item x="258"/>
        <item x="223"/>
        <item x="378"/>
        <item x="131"/>
        <item x="123"/>
        <item x="336"/>
        <item x="370"/>
        <item x="146"/>
        <item x="326"/>
        <item x="103"/>
        <item x="210"/>
        <item x="64"/>
        <item x="398"/>
        <item x="242"/>
        <item x="426"/>
        <item x="38"/>
        <item x="261"/>
        <item x="127"/>
        <item x="72"/>
        <item x="316"/>
        <item x="422"/>
        <item x="321"/>
        <item x="49"/>
        <item x="159"/>
        <item x="177"/>
        <item x="188"/>
        <item x="172"/>
        <item x="310"/>
        <item x="200"/>
        <item x="285"/>
        <item x="176"/>
        <item x="166"/>
        <item x="112"/>
        <item x="51"/>
        <item x="30"/>
        <item x="92"/>
        <item x="403"/>
        <item x="116"/>
        <item x="87"/>
        <item x="136"/>
        <item x="288"/>
        <item x="108"/>
        <item x="111"/>
        <item x="404"/>
        <item x="183"/>
        <item x="287"/>
        <item x="414"/>
        <item x="37"/>
        <item x="393"/>
        <item x="11"/>
        <item x="225"/>
        <item x="21"/>
        <item x="95"/>
        <item x="368"/>
        <item x="253"/>
        <item x="332"/>
        <item x="432"/>
        <item x="216"/>
        <item x="31"/>
        <item x="227"/>
        <item x="307"/>
        <item x="214"/>
        <item x="218"/>
        <item x="262"/>
        <item x="412"/>
        <item x="372"/>
        <item x="77"/>
        <item x="142"/>
        <item x="33"/>
        <item x="17"/>
        <item x="48"/>
        <item x="292"/>
        <item x="59"/>
        <item x="402"/>
        <item x="201"/>
        <item x="219"/>
        <item x="293"/>
        <item x="382"/>
        <item x="429"/>
        <item x="167"/>
        <item x="149"/>
        <item x="205"/>
        <item x="369"/>
        <item x="67"/>
        <item x="65"/>
        <item x="94"/>
        <item x="397"/>
        <item x="97"/>
        <item x="84"/>
        <item x="1"/>
        <item x="244"/>
        <item x="421"/>
        <item x="291"/>
        <item x="270"/>
        <item x="280"/>
        <item x="74"/>
        <item x="255"/>
        <item x="274"/>
        <item x="148"/>
        <item x="363"/>
        <item x="424"/>
        <item x="15"/>
        <item x="415"/>
        <item x="41"/>
        <item x="12"/>
        <item x="29"/>
        <item x="114"/>
        <item x="179"/>
        <item x="419"/>
        <item x="411"/>
        <item x="381"/>
        <item x="245"/>
        <item x="198"/>
        <item x="239"/>
        <item x="180"/>
        <item x="191"/>
        <item x="189"/>
        <item x="157"/>
        <item x="89"/>
        <item x="358"/>
        <item x="269"/>
        <item x="99"/>
        <item x="174"/>
        <item x="7"/>
        <item x="271"/>
        <item x="69"/>
        <item x="132"/>
        <item x="346"/>
        <item x="256"/>
        <item x="277"/>
        <item x="45"/>
        <item x="22"/>
        <item x="259"/>
        <item x="251"/>
        <item x="365"/>
        <item x="194"/>
        <item x="235"/>
        <item x="254"/>
        <item x="298"/>
        <item x="213"/>
        <item x="224"/>
        <item x="286"/>
        <item x="10"/>
        <item x="314"/>
        <item x="231"/>
        <item x="313"/>
        <item x="187"/>
        <item x="250"/>
        <item x="27"/>
        <item x="34"/>
        <item x="43"/>
        <item x="39"/>
        <item x="106"/>
        <item x="16"/>
        <item x="83"/>
        <item x="139"/>
        <item x="295"/>
        <item x="160"/>
        <item x="20"/>
        <item x="338"/>
        <item x="66"/>
        <item x="359"/>
        <item x="289"/>
        <item x="44"/>
        <item x="105"/>
        <item x="233"/>
        <item x="361"/>
        <item x="115"/>
        <item x="237"/>
        <item x="226"/>
        <item x="413"/>
        <item x="161"/>
        <item x="155"/>
        <item x="137"/>
        <item x="185"/>
        <item x="392"/>
        <item x="241"/>
        <item x="85"/>
        <item x="153"/>
        <item x="296"/>
        <item x="25"/>
        <item x="78"/>
        <item x="379"/>
        <item x="407"/>
        <item x="267"/>
        <item x="119"/>
        <item x="247"/>
        <item x="190"/>
        <item x="217"/>
        <item x="164"/>
        <item x="162"/>
        <item x="184"/>
        <item x="154"/>
        <item x="328"/>
        <item x="133"/>
        <item x="331"/>
        <item x="152"/>
        <item x="56"/>
        <item x="23"/>
        <item x="206"/>
        <item x="252"/>
        <item x="14"/>
        <item x="28"/>
        <item x="68"/>
        <item x="339"/>
        <item x="129"/>
        <item x="430"/>
        <item x="215"/>
        <item x="273"/>
        <item x="260"/>
        <item x="302"/>
        <item x="221"/>
        <item x="47"/>
        <item x="344"/>
        <item x="81"/>
        <item x="268"/>
        <item x="311"/>
        <item x="53"/>
        <item x="120"/>
        <item x="275"/>
        <item x="391"/>
        <item x="181"/>
        <item x="158"/>
        <item x="147"/>
        <item x="390"/>
        <item x="297"/>
        <item x="238"/>
        <item x="282"/>
        <item x="165"/>
        <item x="128"/>
        <item x="423"/>
        <item x="18"/>
        <item x="126"/>
        <item x="110"/>
        <item x="73"/>
        <item x="377"/>
        <item x="376"/>
        <item x="58"/>
        <item x="230"/>
        <item x="222"/>
        <item x="82"/>
        <item x="19"/>
        <item x="396"/>
        <item x="434"/>
        <item x="228"/>
        <item x="100"/>
        <item x="70"/>
        <item x="173"/>
        <item x="168"/>
        <item x="374"/>
        <item x="427"/>
        <item x="349"/>
        <item x="367"/>
        <item x="220"/>
        <item x="352"/>
        <item x="118"/>
        <item x="229"/>
        <item x="303"/>
        <item x="150"/>
        <item x="309"/>
        <item x="249"/>
        <item x="351"/>
        <item x="323"/>
        <item x="353"/>
        <item x="40"/>
        <item x="88"/>
        <item x="141"/>
        <item x="385"/>
        <item x="42"/>
        <item x="79"/>
        <item x="96"/>
        <item x="324"/>
        <item x="330"/>
        <item x="63"/>
        <item x="337"/>
        <item x="308"/>
        <item x="151"/>
        <item x="124"/>
        <item x="86"/>
        <item x="433"/>
        <item x="113"/>
        <item x="130"/>
        <item x="417"/>
        <item x="410"/>
        <item x="240"/>
        <item x="420"/>
        <item x="182"/>
        <item x="425"/>
        <item x="317"/>
        <item x="329"/>
        <item x="109"/>
        <item x="117"/>
        <item x="104"/>
        <item x="144"/>
        <item x="192"/>
        <item x="366"/>
        <item x="386"/>
        <item x="199"/>
        <item x="371"/>
        <item x="264"/>
        <item x="36"/>
        <item x="364"/>
        <item x="134"/>
        <item x="76"/>
        <item x="208"/>
        <item x="186"/>
        <item x="384"/>
        <item x="60"/>
        <item x="373"/>
        <item x="284"/>
        <item x="101"/>
        <item x="91"/>
        <item x="80"/>
        <item x="340"/>
        <item x="54"/>
        <item x="356"/>
        <item x="283"/>
        <item x="406"/>
        <item x="409"/>
        <item x="0"/>
        <item x="62"/>
        <item x="52"/>
        <item x="2"/>
        <item x="57"/>
        <item x="196"/>
        <item x="325"/>
        <item x="305"/>
        <item x="395"/>
        <item x="416"/>
        <item x="350"/>
        <item x="355"/>
        <item x="301"/>
        <item x="341"/>
        <item x="348"/>
        <item x="272"/>
        <item x="375"/>
        <item x="8"/>
        <item x="9"/>
        <item x="6"/>
        <item x="170"/>
        <item x="380"/>
        <item x="263"/>
        <item x="35"/>
        <item x="246"/>
        <item x="357"/>
        <item x="243"/>
        <item x="362"/>
        <item x="90"/>
        <item x="140"/>
        <item x="315"/>
        <item x="121"/>
        <item x="61"/>
        <item x="401"/>
        <item x="334"/>
        <item x="5"/>
        <item x="24"/>
        <item x="171"/>
        <item x="342"/>
        <item x="13"/>
        <item x="318"/>
        <item x="394"/>
        <item x="276"/>
        <item x="204"/>
        <item x="265"/>
        <item x="175"/>
        <item x="143"/>
        <item x="138"/>
        <item x="294"/>
        <item x="354"/>
        <item x="122"/>
        <item x="211"/>
        <item x="327"/>
        <item x="4"/>
        <item x="93"/>
        <item x="209"/>
        <item x="202"/>
        <item x="197"/>
        <item x="389"/>
        <item x="405"/>
        <item x="431"/>
        <item x="169"/>
        <item x="304"/>
        <item x="55"/>
        <item x="50"/>
        <item x="320"/>
        <item x="3"/>
        <item x="98"/>
        <item x="107"/>
        <item x="32"/>
        <item x="343"/>
        <item x="145"/>
        <item x="163"/>
        <item x="360"/>
        <item x="203"/>
        <item x="212"/>
        <item x="26"/>
        <item x="46"/>
        <item x="399"/>
        <item x="281"/>
        <item x="156"/>
        <item x="178"/>
        <item x="195"/>
        <item x="102"/>
        <item x="266"/>
        <item x="236"/>
        <item x="257"/>
        <item x="345"/>
        <item x="418"/>
        <item x="387"/>
        <item x="248"/>
        <item x="193"/>
        <item x="312"/>
        <item x="75"/>
        <item x="400"/>
        <item x="300"/>
        <item x="322"/>
        <item x="335"/>
        <item x="135"/>
        <item x="232"/>
        <item x="319"/>
        <item x="388"/>
        <item x="306"/>
        <item x="408"/>
        <item t="default"/>
      </items>
    </pivotField>
    <pivotField showAll="0"/>
    <pivotField showAll="0"/>
    <pivotField showAll="0"/>
    <pivotField showAll="0"/>
    <pivotField showAll="0"/>
    <pivotField dataField="1" showAll="0">
      <items count="998">
        <item x="806"/>
        <item x="803"/>
        <item x="604"/>
        <item x="323"/>
        <item x="812"/>
        <item x="330"/>
        <item x="519"/>
        <item x="312"/>
        <item x="802"/>
        <item x="514"/>
        <item x="84"/>
        <item x="653"/>
        <item x="690"/>
        <item x="318"/>
        <item x="691"/>
        <item x="319"/>
        <item x="801"/>
        <item x="687"/>
        <item x="435"/>
        <item x="324"/>
        <item x="325"/>
        <item x="326"/>
        <item x="688"/>
        <item x="332"/>
        <item x="705"/>
        <item x="329"/>
        <item x="703"/>
        <item x="335"/>
        <item x="694"/>
        <item x="333"/>
        <item x="331"/>
        <item x="670"/>
        <item x="434"/>
        <item x="711"/>
        <item x="697"/>
        <item x="572"/>
        <item x="126"/>
        <item x="672"/>
        <item x="328"/>
        <item x="317"/>
        <item x="321"/>
        <item x="130"/>
        <item x="693"/>
        <item x="618"/>
        <item x="700"/>
        <item x="680"/>
        <item x="322"/>
        <item x="709"/>
        <item x="121"/>
        <item x="294"/>
        <item x="320"/>
        <item x="129"/>
        <item x="556"/>
        <item x="706"/>
        <item x="699"/>
        <item x="98"/>
        <item x="584"/>
        <item x="671"/>
        <item x="122"/>
        <item x="268"/>
        <item x="595"/>
        <item x="649"/>
        <item x="591"/>
        <item x="509"/>
        <item x="82"/>
        <item x="316"/>
        <item x="534"/>
        <item x="590"/>
        <item x="114"/>
        <item x="646"/>
        <item x="630"/>
        <item x="631"/>
        <item x="296"/>
        <item x="641"/>
        <item x="597"/>
        <item x="805"/>
        <item x="594"/>
        <item x="99"/>
        <item x="692"/>
        <item x="702"/>
        <item x="675"/>
        <item x="315"/>
        <item x="677"/>
        <item x="606"/>
        <item x="581"/>
        <item x="585"/>
        <item x="547"/>
        <item x="334"/>
        <item x="432"/>
        <item x="804"/>
        <item x="525"/>
        <item x="586"/>
        <item x="542"/>
        <item x="686"/>
        <item x="127"/>
        <item x="452"/>
        <item x="608"/>
        <item x="633"/>
        <item x="710"/>
        <item x="116"/>
        <item x="113"/>
        <item x="261"/>
        <item x="696"/>
        <item x="569"/>
        <item x="271"/>
        <item x="269"/>
        <item x="555"/>
        <item x="637"/>
        <item x="267"/>
        <item x="689"/>
        <item x="566"/>
        <item x="682"/>
        <item x="601"/>
        <item x="272"/>
        <item x="401"/>
        <item x="704"/>
        <item x="314"/>
        <item x="654"/>
        <item x="537"/>
        <item x="259"/>
        <item x="567"/>
        <item x="265"/>
        <item x="635"/>
        <item x="536"/>
        <item x="632"/>
        <item x="266"/>
        <item x="263"/>
        <item x="464"/>
        <item x="507"/>
        <item x="561"/>
        <item x="698"/>
        <item x="707"/>
        <item x="131"/>
        <item x="638"/>
        <item x="701"/>
        <item x="109"/>
        <item x="132"/>
        <item x="539"/>
        <item x="120"/>
        <item x="298"/>
        <item x="488"/>
        <item x="678"/>
        <item x="538"/>
        <item x="644"/>
        <item x="562"/>
        <item x="119"/>
        <item x="510"/>
        <item x="308"/>
        <item x="289"/>
        <item x="111"/>
        <item x="128"/>
        <item x="655"/>
        <item x="429"/>
        <item x="623"/>
        <item x="484"/>
        <item x="579"/>
        <item x="313"/>
        <item x="459"/>
        <item x="541"/>
        <item x="596"/>
        <item x="499"/>
        <item x="738"/>
        <item x="300"/>
        <item x="327"/>
        <item x="708"/>
        <item x="2"/>
        <item x="660"/>
        <item x="474"/>
        <item x="416"/>
        <item x="309"/>
        <item x="469"/>
        <item x="481"/>
        <item x="639"/>
        <item x="103"/>
        <item x="695"/>
        <item x="107"/>
        <item x="427"/>
        <item x="475"/>
        <item x="513"/>
        <item x="57"/>
        <item x="479"/>
        <item x="563"/>
        <item x="495"/>
        <item x="430"/>
        <item x="636"/>
        <item x="77"/>
        <item x="776"/>
        <item x="291"/>
        <item x="619"/>
        <item x="402"/>
        <item x="642"/>
        <item x="423"/>
        <item x="531"/>
        <item x="492"/>
        <item x="284"/>
        <item x="625"/>
        <item x="92"/>
        <item x="398"/>
        <item x="431"/>
        <item x="62"/>
        <item x="524"/>
        <item x="453"/>
        <item x="656"/>
        <item x="617"/>
        <item x="589"/>
        <item x="570"/>
        <item x="477"/>
        <item x="405"/>
        <item x="684"/>
        <item x="419"/>
        <item x="613"/>
        <item x="580"/>
        <item x="275"/>
        <item x="624"/>
        <item x="408"/>
        <item x="504"/>
        <item x="490"/>
        <item x="440"/>
        <item x="634"/>
        <item x="532"/>
        <item x="576"/>
        <item x="496"/>
        <item x="685"/>
        <item x="553"/>
        <item x="502"/>
        <item x="552"/>
        <item x="104"/>
        <item x="545"/>
        <item x="487"/>
        <item x="80"/>
        <item x="607"/>
        <item x="571"/>
        <item x="476"/>
        <item x="661"/>
        <item x="141"/>
        <item x="629"/>
        <item x="615"/>
        <item x="415"/>
        <item x="511"/>
        <item x="588"/>
        <item x="530"/>
        <item x="543"/>
        <item x="540"/>
        <item x="273"/>
        <item x="276"/>
        <item x="640"/>
        <item x="620"/>
        <item x="517"/>
        <item x="270"/>
        <item x="529"/>
        <item x="582"/>
        <item x="600"/>
        <item x="622"/>
        <item x="515"/>
        <item x="557"/>
        <item x="508"/>
        <item x="258"/>
        <item x="793"/>
        <item x="65"/>
        <item x="605"/>
        <item x="503"/>
        <item x="279"/>
        <item x="43"/>
        <item x="715"/>
        <item x="425"/>
        <item x="28"/>
        <item x="516"/>
        <item x="482"/>
        <item x="609"/>
        <item x="472"/>
        <item x="592"/>
        <item x="522"/>
        <item x="421"/>
        <item x="478"/>
        <item x="426"/>
        <item x="493"/>
        <item x="628"/>
        <item x="59"/>
        <item x="996"/>
        <item x="420"/>
        <item x="551"/>
        <item x="112"/>
        <item x="163"/>
        <item x="497"/>
        <item x="73"/>
        <item x="412"/>
        <item x="409"/>
        <item x="180"/>
        <item x="583"/>
        <item x="494"/>
        <item x="512"/>
        <item x="714"/>
        <item x="388"/>
        <item x="236"/>
        <item x="602"/>
        <item x="729"/>
        <item x="725"/>
        <item x="238"/>
        <item x="548"/>
        <item x="737"/>
        <item x="603"/>
        <item x="446"/>
        <item x="404"/>
        <item x="978"/>
        <item x="403"/>
        <item x="11"/>
        <item x="527"/>
        <item x="461"/>
        <item x="248"/>
        <item x="23"/>
        <item x="480"/>
        <item x="97"/>
        <item x="242"/>
        <item x="413"/>
        <item x="164"/>
        <item x="445"/>
        <item x="736"/>
        <item x="485"/>
        <item x="369"/>
        <item x="578"/>
        <item x="526"/>
        <item x="231"/>
        <item x="973"/>
        <item x="763"/>
        <item x="443"/>
        <item x="988"/>
        <item x="234"/>
        <item x="799"/>
        <item x="399"/>
        <item x="611"/>
        <item x="577"/>
        <item x="587"/>
        <item x="921"/>
        <item x="797"/>
        <item x="191"/>
        <item x="241"/>
        <item x="575"/>
        <item x="501"/>
        <item x="246"/>
        <item x="381"/>
        <item x="468"/>
        <item x="564"/>
        <item x="123"/>
        <item x="559"/>
        <item x="994"/>
        <item x="500"/>
        <item x="489"/>
        <item x="565"/>
        <item x="560"/>
        <item x="55"/>
        <item x="245"/>
        <item x="292"/>
        <item x="599"/>
        <item x="433"/>
        <item x="286"/>
        <item x="573"/>
        <item x="936"/>
        <item x="244"/>
        <item x="288"/>
        <item x="720"/>
        <item x="598"/>
        <item x="285"/>
        <item x="454"/>
        <item x="463"/>
        <item x="370"/>
        <item x="610"/>
        <item x="247"/>
        <item x="726"/>
        <item x="239"/>
        <item x="993"/>
        <item x="458"/>
        <item x="86"/>
        <item x="992"/>
        <item x="47"/>
        <item x="8"/>
        <item x="975"/>
        <item x="983"/>
        <item x="947"/>
        <item x="100"/>
        <item x="462"/>
        <item x="739"/>
        <item x="989"/>
        <item x="417"/>
        <item x="985"/>
        <item x="295"/>
        <item x="984"/>
        <item x="558"/>
        <item x="101"/>
        <item x="990"/>
        <item x="14"/>
        <item x="886"/>
        <item x="518"/>
        <item x="544"/>
        <item x="436"/>
        <item x="550"/>
        <item x="523"/>
        <item x="956"/>
        <item x="93"/>
        <item x="460"/>
        <item x="83"/>
        <item x="491"/>
        <item x="723"/>
        <item x="91"/>
        <item x="979"/>
        <item x="506"/>
        <item x="88"/>
        <item x="735"/>
        <item x="779"/>
        <item x="533"/>
        <item x="78"/>
        <item x="721"/>
        <item x="991"/>
        <item x="471"/>
        <item x="722"/>
        <item x="406"/>
        <item x="411"/>
        <item x="473"/>
        <item x="299"/>
        <item x="974"/>
        <item x="380"/>
        <item x="5"/>
        <item x="982"/>
        <item x="760"/>
        <item x="240"/>
        <item x="986"/>
        <item x="428"/>
        <item x="70"/>
        <item x="853"/>
        <item x="438"/>
        <item x="498"/>
        <item x="115"/>
        <item x="505"/>
        <item x="117"/>
        <item x="105"/>
        <item x="422"/>
        <item x="441"/>
        <item x="466"/>
        <item x="783"/>
        <item x="987"/>
        <item x="732"/>
        <item x="124"/>
        <item x="716"/>
        <item x="159"/>
        <item x="424"/>
        <item x="774"/>
        <item x="980"/>
        <item x="966"/>
        <item x="593"/>
        <item x="768"/>
        <item x="957"/>
        <item x="67"/>
        <item x="965"/>
        <item x="108"/>
        <item x="961"/>
        <item x="13"/>
        <item x="228"/>
        <item x="110"/>
        <item x="546"/>
        <item x="483"/>
        <item x="968"/>
        <item x="981"/>
        <item x="391"/>
        <item x="140"/>
        <item x="63"/>
        <item x="389"/>
        <item x="102"/>
        <item x="290"/>
        <item x="773"/>
        <item x="50"/>
        <item x="958"/>
        <item x="448"/>
        <item x="66"/>
        <item x="621"/>
        <item x="64"/>
        <item x="280"/>
        <item x="952"/>
        <item x="395"/>
        <item x="178"/>
        <item x="449"/>
        <item x="731"/>
        <item x="149"/>
        <item x="407"/>
        <item x="400"/>
        <item x="106"/>
        <item x="90"/>
        <item x="185"/>
        <item x="945"/>
        <item x="995"/>
        <item x="798"/>
        <item x="81"/>
        <item x="125"/>
        <item x="257"/>
        <item x="12"/>
        <item x="616"/>
        <item x="53"/>
        <item x="767"/>
        <item x="61"/>
        <item x="437"/>
        <item x="278"/>
        <item x="379"/>
        <item x="221"/>
        <item x="903"/>
        <item x="157"/>
        <item x="233"/>
        <item x="761"/>
        <item x="442"/>
        <item x="791"/>
        <item x="643"/>
        <item x="794"/>
        <item x="535"/>
        <item x="925"/>
        <item x="138"/>
        <item x="465"/>
        <item x="72"/>
        <item x="60"/>
        <item x="676"/>
        <item x="260"/>
        <item x="51"/>
        <item x="42"/>
        <item x="176"/>
        <item x="378"/>
        <item x="447"/>
        <item x="384"/>
        <item x="139"/>
        <item x="383"/>
        <item x="893"/>
        <item x="796"/>
        <item x="39"/>
        <item x="904"/>
        <item x="612"/>
        <item x="781"/>
        <item x="118"/>
        <item x="48"/>
        <item x="568"/>
        <item x="76"/>
        <item x="189"/>
        <item x="68"/>
        <item x="135"/>
        <item x="199"/>
        <item x="795"/>
        <item x="44"/>
        <item x="574"/>
        <item x="144"/>
        <item x="136"/>
        <item x="134"/>
        <item x="194"/>
        <item x="457"/>
        <item x="775"/>
        <item x="212"/>
        <item x="528"/>
        <item x="748"/>
        <item x="976"/>
        <item x="717"/>
        <item x="52"/>
        <item x="165"/>
        <item x="21"/>
        <item x="963"/>
        <item x="450"/>
        <item x="71"/>
        <item x="780"/>
        <item x="143"/>
        <item x="372"/>
        <item x="206"/>
        <item x="96"/>
        <item x="967"/>
        <item x="772"/>
        <item x="626"/>
        <item x="337"/>
        <item x="785"/>
        <item x="972"/>
        <item x="977"/>
        <item x="46"/>
        <item x="45"/>
        <item x="790"/>
        <item x="137"/>
        <item x="226"/>
        <item x="924"/>
        <item x="75"/>
        <item x="554"/>
        <item x="681"/>
        <item x="935"/>
        <item x="142"/>
        <item x="937"/>
        <item x="782"/>
        <item x="365"/>
        <item x="38"/>
        <item x="954"/>
        <item x="237"/>
        <item x="17"/>
        <item x="74"/>
        <item x="69"/>
        <item x="896"/>
        <item x="941"/>
        <item x="455"/>
        <item x="789"/>
        <item x="439"/>
        <item x="777"/>
        <item x="394"/>
        <item x="839"/>
        <item x="281"/>
        <item x="833"/>
        <item x="37"/>
        <item x="94"/>
        <item x="969"/>
        <item x="25"/>
        <item x="765"/>
        <item x="919"/>
        <item x="24"/>
        <item x="249"/>
        <item x="521"/>
        <item x="27"/>
        <item x="764"/>
        <item x="917"/>
        <item x="19"/>
        <item x="940"/>
        <item x="213"/>
        <item x="787"/>
        <item x="784"/>
        <item x="36"/>
        <item x="627"/>
        <item x="87"/>
        <item x="948"/>
        <item x="255"/>
        <item x="778"/>
        <item x="520"/>
        <item x="949"/>
        <item x="964"/>
        <item x="769"/>
        <item x="873"/>
        <item x="16"/>
        <item x="971"/>
        <item x="282"/>
        <item x="762"/>
        <item x="41"/>
        <item x="227"/>
        <item x="770"/>
        <item x="9"/>
        <item x="392"/>
        <item x="962"/>
        <item x="95"/>
        <item x="718"/>
        <item x="934"/>
        <item x="788"/>
        <item x="913"/>
        <item x="252"/>
        <item x="385"/>
        <item x="953"/>
        <item x="771"/>
        <item x="216"/>
        <item x="56"/>
        <item x="256"/>
        <item x="759"/>
        <item x="33"/>
        <item x="215"/>
        <item x="253"/>
        <item x="757"/>
        <item x="192"/>
        <item x="970"/>
        <item x="756"/>
        <item x="852"/>
        <item x="34"/>
        <item x="888"/>
        <item x="85"/>
        <item x="30"/>
        <item x="549"/>
        <item x="832"/>
        <item x="652"/>
        <item x="944"/>
        <item x="951"/>
        <item x="145"/>
        <item x="40"/>
        <item x="26"/>
        <item x="930"/>
        <item x="938"/>
        <item x="243"/>
        <item x="943"/>
        <item x="890"/>
        <item x="15"/>
        <item x="920"/>
        <item x="667"/>
        <item x="895"/>
        <item x="848"/>
        <item x="928"/>
        <item x="214"/>
        <item x="955"/>
        <item x="932"/>
        <item x="4"/>
        <item x="32"/>
        <item x="933"/>
        <item x="22"/>
        <item x="382"/>
        <item x="926"/>
        <item x="929"/>
        <item x="287"/>
        <item x="942"/>
        <item x="353"/>
        <item x="29"/>
        <item x="20"/>
        <item x="368"/>
        <item x="54"/>
        <item x="922"/>
        <item x="217"/>
        <item x="250"/>
        <item x="939"/>
        <item x="202"/>
        <item x="486"/>
        <item x="345"/>
        <item x="747"/>
        <item x="374"/>
        <item x="950"/>
        <item x="0"/>
        <item x="915"/>
        <item x="851"/>
        <item x="35"/>
        <item x="89"/>
        <item x="728"/>
        <item x="751"/>
        <item x="860"/>
        <item x="219"/>
        <item x="870"/>
        <item x="669"/>
        <item x="883"/>
        <item x="916"/>
        <item x="18"/>
        <item x="911"/>
        <item x="733"/>
        <item x="914"/>
        <item x="218"/>
        <item x="225"/>
        <item x="201"/>
        <item x="363"/>
        <item x="854"/>
        <item x="158"/>
        <item x="456"/>
        <item x="451"/>
        <item x="912"/>
        <item x="910"/>
        <item x="208"/>
        <item x="203"/>
        <item x="349"/>
        <item x="358"/>
        <item x="931"/>
        <item x="907"/>
        <item x="342"/>
        <item x="734"/>
        <item x="58"/>
        <item x="845"/>
        <item x="357"/>
        <item x="891"/>
        <item x="869"/>
        <item x="905"/>
        <item x="758"/>
        <item x="871"/>
        <item x="946"/>
        <item x="909"/>
        <item x="730"/>
        <item x="393"/>
        <item x="223"/>
        <item x="900"/>
        <item x="892"/>
        <item x="193"/>
        <item x="390"/>
        <item x="211"/>
        <item x="908"/>
        <item x="182"/>
        <item x="755"/>
        <item x="7"/>
        <item x="753"/>
        <item x="6"/>
        <item x="894"/>
        <item x="831"/>
        <item x="352"/>
        <item x="361"/>
        <item x="360"/>
        <item x="197"/>
        <item x="229"/>
        <item x="177"/>
        <item x="923"/>
        <item x="222"/>
        <item x="663"/>
        <item x="868"/>
        <item x="872"/>
        <item x="840"/>
        <item x="377"/>
        <item x="866"/>
        <item x="196"/>
        <item x="865"/>
        <item x="396"/>
        <item x="902"/>
        <item x="205"/>
        <item x="901"/>
        <item x="906"/>
        <item x="863"/>
        <item x="885"/>
        <item x="745"/>
        <item x="152"/>
        <item x="876"/>
        <item x="749"/>
        <item x="190"/>
        <item x="858"/>
        <item x="719"/>
        <item x="821"/>
        <item x="230"/>
        <item x="887"/>
        <item x="49"/>
        <item x="897"/>
        <item x="862"/>
        <item x="843"/>
        <item x="354"/>
        <item x="819"/>
        <item x="855"/>
        <item x="232"/>
        <item x="713"/>
        <item x="133"/>
        <item x="171"/>
        <item x="837"/>
        <item x="168"/>
        <item x="712"/>
        <item x="195"/>
        <item x="750"/>
        <item x="846"/>
        <item x="650"/>
        <item x="3"/>
        <item x="220"/>
        <item x="187"/>
        <item x="877"/>
        <item x="209"/>
        <item x="918"/>
        <item x="351"/>
        <item x="162"/>
        <item x="898"/>
        <item x="262"/>
        <item x="874"/>
        <item x="825"/>
        <item x="880"/>
        <item x="376"/>
        <item x="857"/>
        <item x="467"/>
        <item x="827"/>
        <item x="884"/>
        <item x="10"/>
        <item x="818"/>
        <item x="841"/>
        <item x="200"/>
        <item x="183"/>
        <item x="727"/>
        <item x="235"/>
        <item x="614"/>
        <item x="899"/>
        <item x="826"/>
        <item x="224"/>
        <item x="844"/>
        <item x="648"/>
        <item x="373"/>
        <item x="339"/>
        <item x="181"/>
        <item x="172"/>
        <item x="207"/>
        <item x="878"/>
        <item x="927"/>
        <item x="889"/>
        <item x="830"/>
        <item x="188"/>
        <item x="173"/>
        <item x="752"/>
        <item x="867"/>
        <item x="341"/>
        <item x="842"/>
        <item x="444"/>
        <item x="824"/>
        <item x="673"/>
        <item x="414"/>
        <item x="198"/>
        <item x="418"/>
        <item x="864"/>
        <item x="835"/>
        <item x="170"/>
        <item x="724"/>
        <item x="306"/>
        <item x="344"/>
        <item x="166"/>
        <item x="859"/>
        <item x="744"/>
        <item x="879"/>
        <item x="350"/>
        <item x="645"/>
        <item x="31"/>
        <item x="809"/>
        <item x="836"/>
        <item x="156"/>
        <item x="881"/>
        <item x="816"/>
        <item x="347"/>
        <item x="410"/>
        <item x="179"/>
        <item x="829"/>
        <item x="820"/>
        <item x="662"/>
        <item x="311"/>
        <item x="882"/>
        <item x="807"/>
        <item x="740"/>
        <item x="679"/>
        <item x="838"/>
        <item x="811"/>
        <item x="303"/>
        <item x="810"/>
        <item x="186"/>
        <item x="1"/>
        <item x="356"/>
        <item x="683"/>
        <item x="875"/>
        <item x="742"/>
        <item x="204"/>
        <item x="366"/>
        <item x="813"/>
        <item x="371"/>
        <item x="161"/>
        <item x="346"/>
        <item x="822"/>
        <item x="355"/>
        <item x="849"/>
        <item x="364"/>
        <item x="847"/>
        <item x="741"/>
        <item x="766"/>
        <item x="175"/>
        <item x="856"/>
        <item x="184"/>
        <item x="174"/>
        <item x="861"/>
        <item x="814"/>
        <item x="169"/>
        <item x="834"/>
        <item x="470"/>
        <item x="167"/>
        <item x="210"/>
        <item x="808"/>
        <item x="850"/>
        <item x="815"/>
        <item x="147"/>
        <item x="264"/>
        <item x="828"/>
        <item x="79"/>
        <item x="397"/>
        <item x="154"/>
        <item x="148"/>
        <item x="155"/>
        <item x="359"/>
        <item x="817"/>
        <item x="340"/>
        <item x="151"/>
        <item x="367"/>
        <item x="338"/>
        <item x="375"/>
        <item x="362"/>
        <item x="251"/>
        <item x="348"/>
        <item x="343"/>
        <item x="153"/>
        <item x="160"/>
        <item x="659"/>
        <item x="823"/>
        <item x="150"/>
        <item x="305"/>
        <item x="146"/>
        <item x="336"/>
        <item x="800"/>
        <item x="647"/>
        <item x="665"/>
        <item x="310"/>
        <item x="301"/>
        <item x="387"/>
        <item x="651"/>
        <item x="664"/>
        <item x="674"/>
        <item x="746"/>
        <item x="658"/>
        <item x="743"/>
        <item x="668"/>
        <item x="657"/>
        <item x="304"/>
        <item x="283"/>
        <item x="666"/>
        <item x="302"/>
        <item x="307"/>
        <item x="297"/>
        <item x="293"/>
        <item x="960"/>
        <item x="959"/>
        <item x="274"/>
        <item x="277"/>
        <item x="786"/>
        <item x="792"/>
        <item x="254"/>
        <item x="386"/>
        <item x="754"/>
        <item t="default"/>
      </items>
    </pivotField>
    <pivotField numFmtId="165" showAll="0"/>
    <pivotField dataField="1" numFmtId="164" showAll="0">
      <items count="1396">
        <item x="1220"/>
        <item x="1219"/>
        <item x="1218"/>
        <item x="1217"/>
        <item x="1216"/>
        <item x="437"/>
        <item x="1090"/>
        <item x="1089"/>
        <item x="1215"/>
        <item x="1088"/>
        <item x="1087"/>
        <item x="1214"/>
        <item x="1086"/>
        <item x="1085"/>
        <item x="1084"/>
        <item x="1083"/>
        <item x="1082"/>
        <item x="1081"/>
        <item x="436"/>
        <item x="1080"/>
        <item x="1079"/>
        <item x="1078"/>
        <item x="1077"/>
        <item x="435"/>
        <item x="1076"/>
        <item x="434"/>
        <item x="1075"/>
        <item x="1213"/>
        <item x="1074"/>
        <item x="580"/>
        <item x="1073"/>
        <item x="1072"/>
        <item x="1071"/>
        <item x="1070"/>
        <item x="1069"/>
        <item x="1068"/>
        <item x="1067"/>
        <item x="1066"/>
        <item x="1065"/>
        <item x="433"/>
        <item x="1064"/>
        <item x="1063"/>
        <item x="432"/>
        <item x="1062"/>
        <item x="1061"/>
        <item x="431"/>
        <item x="430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429"/>
        <item x="1048"/>
        <item x="1047"/>
        <item x="1046"/>
        <item x="1045"/>
        <item x="428"/>
        <item x="1044"/>
        <item x="1043"/>
        <item x="1042"/>
        <item x="1041"/>
        <item x="1040"/>
        <item x="1116"/>
        <item x="1039"/>
        <item x="1038"/>
        <item x="1037"/>
        <item x="427"/>
        <item x="1036"/>
        <item x="1115"/>
        <item x="1035"/>
        <item x="426"/>
        <item x="1034"/>
        <item x="1033"/>
        <item x="1032"/>
        <item x="579"/>
        <item x="425"/>
        <item x="424"/>
        <item x="423"/>
        <item x="1031"/>
        <item x="1030"/>
        <item x="422"/>
        <item x="1029"/>
        <item x="1028"/>
        <item x="1027"/>
        <item x="1026"/>
        <item x="1025"/>
        <item x="1024"/>
        <item x="1023"/>
        <item x="421"/>
        <item x="1022"/>
        <item x="1114"/>
        <item x="1021"/>
        <item x="1020"/>
        <item x="1019"/>
        <item x="1018"/>
        <item x="1017"/>
        <item x="1016"/>
        <item x="1015"/>
        <item x="1014"/>
        <item x="226"/>
        <item x="1013"/>
        <item x="1012"/>
        <item x="1113"/>
        <item x="1011"/>
        <item x="1010"/>
        <item x="1112"/>
        <item x="1009"/>
        <item x="1008"/>
        <item x="1007"/>
        <item x="1006"/>
        <item x="1005"/>
        <item x="1004"/>
        <item x="1003"/>
        <item x="1002"/>
        <item x="1001"/>
        <item x="420"/>
        <item x="1000"/>
        <item x="999"/>
        <item x="419"/>
        <item x="998"/>
        <item x="997"/>
        <item x="418"/>
        <item x="41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225"/>
        <item x="1111"/>
        <item x="984"/>
        <item x="983"/>
        <item x="982"/>
        <item x="981"/>
        <item x="980"/>
        <item x="979"/>
        <item x="1212"/>
        <item x="978"/>
        <item x="977"/>
        <item x="976"/>
        <item x="975"/>
        <item x="974"/>
        <item x="973"/>
        <item x="972"/>
        <item x="971"/>
        <item x="970"/>
        <item x="1211"/>
        <item x="969"/>
        <item x="968"/>
        <item x="967"/>
        <item x="1110"/>
        <item x="1109"/>
        <item x="966"/>
        <item x="965"/>
        <item x="964"/>
        <item x="963"/>
        <item x="962"/>
        <item x="961"/>
        <item x="1108"/>
        <item x="960"/>
        <item x="224"/>
        <item x="578"/>
        <item x="959"/>
        <item x="958"/>
        <item x="957"/>
        <item x="956"/>
        <item x="955"/>
        <item x="1107"/>
        <item x="954"/>
        <item x="953"/>
        <item x="952"/>
        <item x="951"/>
        <item x="950"/>
        <item x="1106"/>
        <item x="949"/>
        <item x="948"/>
        <item x="223"/>
        <item x="947"/>
        <item x="1105"/>
        <item x="222"/>
        <item x="1104"/>
        <item x="416"/>
        <item x="946"/>
        <item x="221"/>
        <item x="945"/>
        <item x="944"/>
        <item x="943"/>
        <item x="220"/>
        <item x="942"/>
        <item x="1103"/>
        <item x="941"/>
        <item x="940"/>
        <item x="939"/>
        <item x="938"/>
        <item x="1102"/>
        <item x="219"/>
        <item x="218"/>
        <item x="937"/>
        <item x="936"/>
        <item x="935"/>
        <item x="577"/>
        <item x="1101"/>
        <item x="576"/>
        <item x="934"/>
        <item x="217"/>
        <item x="1394"/>
        <item x="933"/>
        <item x="575"/>
        <item x="1393"/>
        <item x="932"/>
        <item x="931"/>
        <item x="930"/>
        <item x="216"/>
        <item x="929"/>
        <item x="1392"/>
        <item x="928"/>
        <item x="927"/>
        <item x="215"/>
        <item x="926"/>
        <item x="925"/>
        <item x="924"/>
        <item x="923"/>
        <item x="1391"/>
        <item x="922"/>
        <item x="921"/>
        <item x="920"/>
        <item x="574"/>
        <item x="919"/>
        <item x="1100"/>
        <item x="918"/>
        <item x="917"/>
        <item x="916"/>
        <item x="915"/>
        <item x="914"/>
        <item x="913"/>
        <item x="1099"/>
        <item x="1210"/>
        <item x="415"/>
        <item x="214"/>
        <item x="213"/>
        <item x="912"/>
        <item x="911"/>
        <item x="1098"/>
        <item x="910"/>
        <item x="909"/>
        <item x="908"/>
        <item x="907"/>
        <item x="906"/>
        <item x="905"/>
        <item x="904"/>
        <item x="903"/>
        <item x="212"/>
        <item x="1390"/>
        <item x="902"/>
        <item x="901"/>
        <item x="1097"/>
        <item x="1389"/>
        <item x="900"/>
        <item x="573"/>
        <item x="899"/>
        <item x="898"/>
        <item x="211"/>
        <item x="1096"/>
        <item x="210"/>
        <item x="897"/>
        <item x="896"/>
        <item x="895"/>
        <item x="894"/>
        <item x="893"/>
        <item x="892"/>
        <item x="1095"/>
        <item x="891"/>
        <item x="890"/>
        <item x="889"/>
        <item x="1388"/>
        <item x="888"/>
        <item x="887"/>
        <item x="1387"/>
        <item x="209"/>
        <item x="886"/>
        <item x="885"/>
        <item x="1209"/>
        <item x="208"/>
        <item x="884"/>
        <item x="883"/>
        <item x="882"/>
        <item x="207"/>
        <item x="881"/>
        <item x="1386"/>
        <item x="880"/>
        <item x="879"/>
        <item x="572"/>
        <item x="206"/>
        <item x="1385"/>
        <item x="878"/>
        <item x="414"/>
        <item x="877"/>
        <item x="876"/>
        <item x="875"/>
        <item x="205"/>
        <item x="874"/>
        <item x="873"/>
        <item x="204"/>
        <item x="872"/>
        <item x="1384"/>
        <item x="871"/>
        <item x="870"/>
        <item x="1383"/>
        <item x="869"/>
        <item x="868"/>
        <item x="1382"/>
        <item x="867"/>
        <item x="866"/>
        <item x="203"/>
        <item x="571"/>
        <item x="865"/>
        <item x="1208"/>
        <item x="864"/>
        <item x="863"/>
        <item x="1381"/>
        <item x="862"/>
        <item x="861"/>
        <item x="202"/>
        <item x="201"/>
        <item x="860"/>
        <item x="859"/>
        <item x="200"/>
        <item x="1380"/>
        <item x="1094"/>
        <item x="858"/>
        <item x="857"/>
        <item x="199"/>
        <item x="1093"/>
        <item x="856"/>
        <item x="1379"/>
        <item x="855"/>
        <item x="854"/>
        <item x="198"/>
        <item x="853"/>
        <item x="852"/>
        <item x="851"/>
        <item x="850"/>
        <item x="1378"/>
        <item x="849"/>
        <item x="848"/>
        <item x="197"/>
        <item x="847"/>
        <item x="570"/>
        <item x="846"/>
        <item x="1207"/>
        <item x="845"/>
        <item x="196"/>
        <item x="569"/>
        <item x="844"/>
        <item x="1377"/>
        <item x="195"/>
        <item x="843"/>
        <item x="1376"/>
        <item x="1375"/>
        <item x="842"/>
        <item x="841"/>
        <item x="194"/>
        <item x="193"/>
        <item x="840"/>
        <item x="192"/>
        <item x="1374"/>
        <item x="839"/>
        <item x="191"/>
        <item x="838"/>
        <item x="190"/>
        <item x="837"/>
        <item x="836"/>
        <item x="835"/>
        <item x="189"/>
        <item x="1373"/>
        <item x="568"/>
        <item x="1206"/>
        <item x="188"/>
        <item x="834"/>
        <item x="187"/>
        <item x="186"/>
        <item x="833"/>
        <item x="832"/>
        <item x="1372"/>
        <item x="185"/>
        <item x="831"/>
        <item x="830"/>
        <item x="184"/>
        <item x="829"/>
        <item x="1092"/>
        <item x="413"/>
        <item x="828"/>
        <item x="1371"/>
        <item x="183"/>
        <item x="1091"/>
        <item x="827"/>
        <item x="182"/>
        <item x="826"/>
        <item x="1370"/>
        <item x="1369"/>
        <item x="1368"/>
        <item x="825"/>
        <item x="824"/>
        <item x="181"/>
        <item x="180"/>
        <item x="823"/>
        <item x="1367"/>
        <item x="822"/>
        <item x="821"/>
        <item x="179"/>
        <item x="820"/>
        <item x="1366"/>
        <item x="819"/>
        <item x="178"/>
        <item x="818"/>
        <item x="817"/>
        <item x="177"/>
        <item x="816"/>
        <item x="815"/>
        <item x="814"/>
        <item x="813"/>
        <item x="812"/>
        <item x="811"/>
        <item x="412"/>
        <item x="176"/>
        <item x="1365"/>
        <item x="567"/>
        <item x="1364"/>
        <item x="1363"/>
        <item x="1362"/>
        <item x="175"/>
        <item x="566"/>
        <item x="174"/>
        <item x="810"/>
        <item x="1361"/>
        <item x="809"/>
        <item x="808"/>
        <item x="565"/>
        <item x="173"/>
        <item x="1360"/>
        <item x="1359"/>
        <item x="807"/>
        <item x="564"/>
        <item x="172"/>
        <item x="1358"/>
        <item x="171"/>
        <item x="170"/>
        <item x="806"/>
        <item x="805"/>
        <item x="804"/>
        <item x="1357"/>
        <item x="1356"/>
        <item x="803"/>
        <item x="169"/>
        <item x="802"/>
        <item x="563"/>
        <item x="801"/>
        <item x="562"/>
        <item x="1355"/>
        <item x="168"/>
        <item x="167"/>
        <item x="800"/>
        <item x="357"/>
        <item x="1354"/>
        <item x="799"/>
        <item x="798"/>
        <item x="166"/>
        <item x="165"/>
        <item x="797"/>
        <item x="796"/>
        <item x="795"/>
        <item x="794"/>
        <item x="1205"/>
        <item x="793"/>
        <item x="164"/>
        <item x="792"/>
        <item x="561"/>
        <item x="791"/>
        <item x="790"/>
        <item x="1353"/>
        <item x="789"/>
        <item x="560"/>
        <item x="411"/>
        <item x="788"/>
        <item x="163"/>
        <item x="787"/>
        <item x="559"/>
        <item x="558"/>
        <item x="786"/>
        <item x="785"/>
        <item x="784"/>
        <item x="783"/>
        <item x="782"/>
        <item x="781"/>
        <item x="1352"/>
        <item x="1351"/>
        <item x="780"/>
        <item x="779"/>
        <item x="778"/>
        <item x="777"/>
        <item x="1204"/>
        <item x="776"/>
        <item x="775"/>
        <item x="1203"/>
        <item x="774"/>
        <item x="557"/>
        <item x="773"/>
        <item x="556"/>
        <item x="1350"/>
        <item x="772"/>
        <item x="162"/>
        <item x="555"/>
        <item x="161"/>
        <item x="410"/>
        <item x="1349"/>
        <item x="771"/>
        <item x="770"/>
        <item x="1348"/>
        <item x="356"/>
        <item x="160"/>
        <item x="554"/>
        <item x="1347"/>
        <item x="1202"/>
        <item x="769"/>
        <item x="768"/>
        <item x="553"/>
        <item x="1346"/>
        <item x="159"/>
        <item x="552"/>
        <item x="1345"/>
        <item x="767"/>
        <item x="158"/>
        <item x="1201"/>
        <item x="1344"/>
        <item x="1343"/>
        <item x="766"/>
        <item x="765"/>
        <item x="409"/>
        <item x="1342"/>
        <item x="764"/>
        <item x="763"/>
        <item x="157"/>
        <item x="762"/>
        <item x="1341"/>
        <item x="761"/>
        <item x="1340"/>
        <item x="760"/>
        <item x="759"/>
        <item x="758"/>
        <item x="1339"/>
        <item x="757"/>
        <item x="408"/>
        <item x="756"/>
        <item x="551"/>
        <item x="755"/>
        <item x="1200"/>
        <item x="1338"/>
        <item x="550"/>
        <item x="156"/>
        <item x="1337"/>
        <item x="1336"/>
        <item x="155"/>
        <item x="154"/>
        <item x="754"/>
        <item x="753"/>
        <item x="153"/>
        <item x="752"/>
        <item x="1335"/>
        <item x="152"/>
        <item x="751"/>
        <item x="750"/>
        <item x="749"/>
        <item x="748"/>
        <item x="747"/>
        <item x="746"/>
        <item x="1334"/>
        <item x="745"/>
        <item x="1333"/>
        <item x="1332"/>
        <item x="744"/>
        <item x="743"/>
        <item x="742"/>
        <item x="1199"/>
        <item x="1331"/>
        <item x="741"/>
        <item x="151"/>
        <item x="740"/>
        <item x="549"/>
        <item x="1198"/>
        <item x="1197"/>
        <item x="739"/>
        <item x="355"/>
        <item x="738"/>
        <item x="150"/>
        <item x="149"/>
        <item x="148"/>
        <item x="147"/>
        <item x="1330"/>
        <item x="1196"/>
        <item x="737"/>
        <item x="548"/>
        <item x="146"/>
        <item x="547"/>
        <item x="145"/>
        <item x="144"/>
        <item x="1329"/>
        <item x="143"/>
        <item x="736"/>
        <item x="735"/>
        <item x="244"/>
        <item x="546"/>
        <item x="1195"/>
        <item x="734"/>
        <item x="733"/>
        <item x="1328"/>
        <item x="1327"/>
        <item x="407"/>
        <item x="732"/>
        <item x="731"/>
        <item x="730"/>
        <item x="1326"/>
        <item x="729"/>
        <item x="1325"/>
        <item x="1324"/>
        <item x="728"/>
        <item x="142"/>
        <item x="1323"/>
        <item x="141"/>
        <item x="406"/>
        <item x="1322"/>
        <item x="1194"/>
        <item x="1321"/>
        <item x="1193"/>
        <item x="354"/>
        <item x="545"/>
        <item x="727"/>
        <item x="544"/>
        <item x="726"/>
        <item x="725"/>
        <item x="1192"/>
        <item x="405"/>
        <item x="724"/>
        <item x="140"/>
        <item x="723"/>
        <item x="243"/>
        <item x="1320"/>
        <item x="353"/>
        <item x="1191"/>
        <item x="1190"/>
        <item x="722"/>
        <item x="543"/>
        <item x="139"/>
        <item x="542"/>
        <item x="1189"/>
        <item x="1319"/>
        <item x="352"/>
        <item x="138"/>
        <item x="404"/>
        <item x="721"/>
        <item x="1318"/>
        <item x="1317"/>
        <item x="1188"/>
        <item x="137"/>
        <item x="351"/>
        <item x="720"/>
        <item x="719"/>
        <item x="541"/>
        <item x="718"/>
        <item x="136"/>
        <item x="350"/>
        <item x="717"/>
        <item x="1316"/>
        <item x="716"/>
        <item x="135"/>
        <item x="1315"/>
        <item x="715"/>
        <item x="540"/>
        <item x="714"/>
        <item x="1187"/>
        <item x="713"/>
        <item x="1186"/>
        <item x="712"/>
        <item x="242"/>
        <item x="539"/>
        <item x="711"/>
        <item x="710"/>
        <item x="1314"/>
        <item x="1185"/>
        <item x="709"/>
        <item x="538"/>
        <item x="1313"/>
        <item x="708"/>
        <item x="134"/>
        <item x="707"/>
        <item x="1312"/>
        <item x="1184"/>
        <item x="1183"/>
        <item x="1182"/>
        <item x="706"/>
        <item x="1181"/>
        <item x="537"/>
        <item x="1311"/>
        <item x="133"/>
        <item x="536"/>
        <item x="1180"/>
        <item x="705"/>
        <item x="349"/>
        <item x="348"/>
        <item x="704"/>
        <item x="703"/>
        <item x="132"/>
        <item x="535"/>
        <item x="1179"/>
        <item x="1178"/>
        <item x="702"/>
        <item x="701"/>
        <item x="1310"/>
        <item x="700"/>
        <item x="699"/>
        <item x="241"/>
        <item x="698"/>
        <item x="534"/>
        <item x="697"/>
        <item x="696"/>
        <item x="240"/>
        <item x="695"/>
        <item x="1309"/>
        <item x="131"/>
        <item x="694"/>
        <item x="1308"/>
        <item x="239"/>
        <item x="533"/>
        <item x="403"/>
        <item x="693"/>
        <item x="130"/>
        <item x="1307"/>
        <item x="692"/>
        <item x="1306"/>
        <item x="1305"/>
        <item x="691"/>
        <item x="690"/>
        <item x="129"/>
        <item x="689"/>
        <item x="532"/>
        <item x="688"/>
        <item x="1304"/>
        <item x="1303"/>
        <item x="687"/>
        <item x="1302"/>
        <item x="531"/>
        <item x="1301"/>
        <item x="530"/>
        <item x="128"/>
        <item x="686"/>
        <item x="1300"/>
        <item x="1299"/>
        <item x="1177"/>
        <item x="127"/>
        <item x="1176"/>
        <item x="529"/>
        <item x="685"/>
        <item x="684"/>
        <item x="1175"/>
        <item x="683"/>
        <item x="528"/>
        <item x="682"/>
        <item x="126"/>
        <item x="1298"/>
        <item x="681"/>
        <item x="1174"/>
        <item x="680"/>
        <item x="1297"/>
        <item x="1296"/>
        <item x="679"/>
        <item x="1295"/>
        <item x="678"/>
        <item x="677"/>
        <item x="527"/>
        <item x="125"/>
        <item x="1294"/>
        <item x="1293"/>
        <item x="676"/>
        <item x="238"/>
        <item x="1292"/>
        <item x="124"/>
        <item x="1291"/>
        <item x="675"/>
        <item x="674"/>
        <item x="1173"/>
        <item x="347"/>
        <item x="673"/>
        <item x="1290"/>
        <item x="526"/>
        <item x="346"/>
        <item x="672"/>
        <item x="1289"/>
        <item x="1288"/>
        <item x="1287"/>
        <item x="1286"/>
        <item x="671"/>
        <item x="1285"/>
        <item x="670"/>
        <item x="1172"/>
        <item x="1284"/>
        <item x="525"/>
        <item x="123"/>
        <item x="669"/>
        <item x="668"/>
        <item x="122"/>
        <item x="524"/>
        <item x="667"/>
        <item x="1283"/>
        <item x="1282"/>
        <item x="666"/>
        <item x="1281"/>
        <item x="523"/>
        <item x="665"/>
        <item x="664"/>
        <item x="1171"/>
        <item x="1280"/>
        <item x="1170"/>
        <item x="121"/>
        <item x="120"/>
        <item x="1169"/>
        <item x="119"/>
        <item x="663"/>
        <item x="1279"/>
        <item x="1278"/>
        <item x="1277"/>
        <item x="662"/>
        <item x="522"/>
        <item x="345"/>
        <item x="1276"/>
        <item x="1275"/>
        <item x="118"/>
        <item x="1274"/>
        <item x="661"/>
        <item x="1273"/>
        <item x="660"/>
        <item x="659"/>
        <item x="1272"/>
        <item x="658"/>
        <item x="657"/>
        <item x="117"/>
        <item x="656"/>
        <item x="116"/>
        <item x="655"/>
        <item x="115"/>
        <item x="114"/>
        <item x="113"/>
        <item x="112"/>
        <item x="344"/>
        <item x="654"/>
        <item x="521"/>
        <item x="653"/>
        <item x="652"/>
        <item x="1271"/>
        <item x="651"/>
        <item x="650"/>
        <item x="1270"/>
        <item x="1269"/>
        <item x="649"/>
        <item x="648"/>
        <item x="647"/>
        <item x="343"/>
        <item x="111"/>
        <item x="110"/>
        <item x="520"/>
        <item x="1268"/>
        <item x="1267"/>
        <item x="1266"/>
        <item x="519"/>
        <item x="646"/>
        <item x="1265"/>
        <item x="645"/>
        <item x="644"/>
        <item x="643"/>
        <item x="642"/>
        <item x="641"/>
        <item x="1168"/>
        <item x="1264"/>
        <item x="518"/>
        <item x="640"/>
        <item x="1167"/>
        <item x="639"/>
        <item x="517"/>
        <item x="638"/>
        <item x="342"/>
        <item x="1263"/>
        <item x="237"/>
        <item x="1262"/>
        <item x="1166"/>
        <item x="516"/>
        <item x="515"/>
        <item x="109"/>
        <item x="341"/>
        <item x="637"/>
        <item x="636"/>
        <item x="402"/>
        <item x="1261"/>
        <item x="340"/>
        <item x="635"/>
        <item x="236"/>
        <item x="634"/>
        <item x="339"/>
        <item x="633"/>
        <item x="514"/>
        <item x="1260"/>
        <item x="338"/>
        <item x="632"/>
        <item x="631"/>
        <item x="1259"/>
        <item x="108"/>
        <item x="630"/>
        <item x="1258"/>
        <item x="629"/>
        <item x="628"/>
        <item x="1257"/>
        <item x="1256"/>
        <item x="1165"/>
        <item x="401"/>
        <item x="337"/>
        <item x="235"/>
        <item x="107"/>
        <item x="627"/>
        <item x="513"/>
        <item x="1164"/>
        <item x="626"/>
        <item x="336"/>
        <item x="1255"/>
        <item x="625"/>
        <item x="1163"/>
        <item x="512"/>
        <item x="106"/>
        <item x="335"/>
        <item x="1254"/>
        <item x="1253"/>
        <item x="1162"/>
        <item x="1252"/>
        <item x="105"/>
        <item x="1251"/>
        <item x="104"/>
        <item x="103"/>
        <item x="624"/>
        <item x="102"/>
        <item x="1161"/>
        <item x="1160"/>
        <item x="511"/>
        <item x="510"/>
        <item x="623"/>
        <item x="400"/>
        <item x="101"/>
        <item x="622"/>
        <item x="100"/>
        <item x="621"/>
        <item x="99"/>
        <item x="1159"/>
        <item x="620"/>
        <item x="1250"/>
        <item x="619"/>
        <item x="98"/>
        <item x="618"/>
        <item x="617"/>
        <item x="97"/>
        <item x="96"/>
        <item x="1249"/>
        <item x="234"/>
        <item x="1158"/>
        <item x="334"/>
        <item x="333"/>
        <item x="233"/>
        <item x="95"/>
        <item x="332"/>
        <item x="509"/>
        <item x="616"/>
        <item x="1157"/>
        <item x="94"/>
        <item x="1248"/>
        <item x="399"/>
        <item x="331"/>
        <item x="398"/>
        <item x="615"/>
        <item x="232"/>
        <item x="614"/>
        <item x="613"/>
        <item x="397"/>
        <item x="93"/>
        <item x="1156"/>
        <item x="92"/>
        <item x="612"/>
        <item x="508"/>
        <item x="611"/>
        <item x="330"/>
        <item x="329"/>
        <item x="610"/>
        <item x="609"/>
        <item x="1155"/>
        <item x="328"/>
        <item x="327"/>
        <item x="91"/>
        <item x="507"/>
        <item x="90"/>
        <item x="396"/>
        <item x="89"/>
        <item x="608"/>
        <item x="1247"/>
        <item x="395"/>
        <item x="231"/>
        <item x="506"/>
        <item x="326"/>
        <item x="607"/>
        <item x="1154"/>
        <item x="325"/>
        <item x="1246"/>
        <item x="88"/>
        <item x="87"/>
        <item x="86"/>
        <item x="394"/>
        <item x="324"/>
        <item x="85"/>
        <item x="393"/>
        <item x="392"/>
        <item x="606"/>
        <item x="84"/>
        <item x="505"/>
        <item x="83"/>
        <item x="323"/>
        <item x="322"/>
        <item x="391"/>
        <item x="1245"/>
        <item x="1153"/>
        <item x="82"/>
        <item x="605"/>
        <item x="321"/>
        <item x="81"/>
        <item x="1152"/>
        <item x="604"/>
        <item x="320"/>
        <item x="1244"/>
        <item x="603"/>
        <item x="80"/>
        <item x="230"/>
        <item x="79"/>
        <item x="1243"/>
        <item x="504"/>
        <item x="602"/>
        <item x="319"/>
        <item x="503"/>
        <item x="1151"/>
        <item x="78"/>
        <item x="502"/>
        <item x="1242"/>
        <item x="318"/>
        <item x="1241"/>
        <item x="77"/>
        <item x="76"/>
        <item x="75"/>
        <item x="1240"/>
        <item x="501"/>
        <item x="74"/>
        <item x="229"/>
        <item x="73"/>
        <item x="1150"/>
        <item x="317"/>
        <item x="72"/>
        <item x="601"/>
        <item x="1239"/>
        <item x="1149"/>
        <item x="71"/>
        <item x="316"/>
        <item x="1238"/>
        <item x="500"/>
        <item x="228"/>
        <item x="600"/>
        <item x="70"/>
        <item x="599"/>
        <item x="315"/>
        <item x="1237"/>
        <item x="69"/>
        <item x="1148"/>
        <item x="1236"/>
        <item x="1235"/>
        <item x="1234"/>
        <item x="499"/>
        <item x="314"/>
        <item x="313"/>
        <item x="227"/>
        <item x="312"/>
        <item x="598"/>
        <item x="597"/>
        <item x="390"/>
        <item x="311"/>
        <item x="68"/>
        <item x="310"/>
        <item x="498"/>
        <item x="389"/>
        <item x="67"/>
        <item x="66"/>
        <item x="1233"/>
        <item x="596"/>
        <item x="65"/>
        <item x="1232"/>
        <item x="388"/>
        <item x="64"/>
        <item x="63"/>
        <item x="62"/>
        <item x="497"/>
        <item x="496"/>
        <item x="1231"/>
        <item x="387"/>
        <item x="309"/>
        <item x="495"/>
        <item x="61"/>
        <item x="60"/>
        <item x="1230"/>
        <item x="308"/>
        <item x="307"/>
        <item x="494"/>
        <item x="306"/>
        <item x="386"/>
        <item x="385"/>
        <item x="493"/>
        <item x="595"/>
        <item x="1147"/>
        <item x="305"/>
        <item x="492"/>
        <item x="1229"/>
        <item x="304"/>
        <item x="303"/>
        <item x="302"/>
        <item x="59"/>
        <item x="301"/>
        <item x="1228"/>
        <item x="58"/>
        <item x="57"/>
        <item x="56"/>
        <item x="491"/>
        <item x="490"/>
        <item x="300"/>
        <item x="55"/>
        <item x="54"/>
        <item x="1227"/>
        <item x="299"/>
        <item x="594"/>
        <item x="53"/>
        <item x="593"/>
        <item x="1146"/>
        <item x="1226"/>
        <item x="384"/>
        <item x="489"/>
        <item x="592"/>
        <item x="52"/>
        <item x="488"/>
        <item x="51"/>
        <item x="298"/>
        <item x="50"/>
        <item x="1145"/>
        <item x="49"/>
        <item x="1144"/>
        <item x="1143"/>
        <item x="1225"/>
        <item x="48"/>
        <item x="47"/>
        <item x="487"/>
        <item x="46"/>
        <item x="1142"/>
        <item x="486"/>
        <item x="1141"/>
        <item x="45"/>
        <item x="1224"/>
        <item x="1140"/>
        <item x="44"/>
        <item x="43"/>
        <item x="1139"/>
        <item x="42"/>
        <item x="297"/>
        <item x="41"/>
        <item x="40"/>
        <item x="1138"/>
        <item x="591"/>
        <item x="383"/>
        <item x="296"/>
        <item x="295"/>
        <item x="485"/>
        <item x="484"/>
        <item x="39"/>
        <item x="483"/>
        <item x="590"/>
        <item x="294"/>
        <item x="38"/>
        <item x="1223"/>
        <item x="589"/>
        <item x="37"/>
        <item x="482"/>
        <item x="1222"/>
        <item x="481"/>
        <item x="293"/>
        <item x="480"/>
        <item x="292"/>
        <item x="588"/>
        <item x="291"/>
        <item x="587"/>
        <item x="36"/>
        <item x="1137"/>
        <item x="382"/>
        <item x="290"/>
        <item x="479"/>
        <item x="35"/>
        <item x="381"/>
        <item x="34"/>
        <item x="289"/>
        <item x="586"/>
        <item x="288"/>
        <item x="287"/>
        <item x="478"/>
        <item x="33"/>
        <item x="477"/>
        <item x="286"/>
        <item x="32"/>
        <item x="476"/>
        <item x="475"/>
        <item x="31"/>
        <item x="474"/>
        <item x="30"/>
        <item x="1221"/>
        <item x="29"/>
        <item x="473"/>
        <item x="28"/>
        <item x="585"/>
        <item x="285"/>
        <item x="1136"/>
        <item x="284"/>
        <item x="283"/>
        <item x="27"/>
        <item x="584"/>
        <item x="380"/>
        <item x="26"/>
        <item x="583"/>
        <item x="25"/>
        <item x="1135"/>
        <item x="282"/>
        <item x="24"/>
        <item x="472"/>
        <item x="471"/>
        <item x="281"/>
        <item x="23"/>
        <item x="22"/>
        <item x="21"/>
        <item x="20"/>
        <item x="19"/>
        <item x="1134"/>
        <item x="18"/>
        <item x="17"/>
        <item x="470"/>
        <item x="582"/>
        <item x="469"/>
        <item x="280"/>
        <item x="279"/>
        <item x="16"/>
        <item x="278"/>
        <item x="277"/>
        <item x="468"/>
        <item x="15"/>
        <item x="581"/>
        <item x="467"/>
        <item x="14"/>
        <item x="276"/>
        <item x="275"/>
        <item x="1133"/>
        <item x="13"/>
        <item x="466"/>
        <item x="12"/>
        <item x="274"/>
        <item x="465"/>
        <item x="273"/>
        <item x="1132"/>
        <item x="464"/>
        <item x="11"/>
        <item x="10"/>
        <item x="272"/>
        <item x="271"/>
        <item x="463"/>
        <item x="462"/>
        <item x="9"/>
        <item x="461"/>
        <item x="270"/>
        <item x="269"/>
        <item x="268"/>
        <item x="460"/>
        <item x="459"/>
        <item x="267"/>
        <item x="379"/>
        <item x="458"/>
        <item x="266"/>
        <item x="265"/>
        <item x="264"/>
        <item x="457"/>
        <item x="263"/>
        <item x="8"/>
        <item x="262"/>
        <item x="1131"/>
        <item x="456"/>
        <item x="378"/>
        <item x="455"/>
        <item x="261"/>
        <item x="7"/>
        <item x="454"/>
        <item x="1130"/>
        <item x="260"/>
        <item x="1129"/>
        <item x="453"/>
        <item x="6"/>
        <item x="259"/>
        <item x="452"/>
        <item x="451"/>
        <item x="377"/>
        <item x="450"/>
        <item x="449"/>
        <item x="376"/>
        <item x="258"/>
        <item x="5"/>
        <item x="448"/>
        <item x="4"/>
        <item x="375"/>
        <item x="257"/>
        <item x="3"/>
        <item x="2"/>
        <item x="447"/>
        <item x="374"/>
        <item x="446"/>
        <item x="1128"/>
        <item x="373"/>
        <item x="445"/>
        <item x="444"/>
        <item x="1127"/>
        <item x="372"/>
        <item x="443"/>
        <item x="256"/>
        <item x="255"/>
        <item x="1126"/>
        <item x="1125"/>
        <item x="254"/>
        <item x="442"/>
        <item x="441"/>
        <item x="1"/>
        <item x="253"/>
        <item x="440"/>
        <item x="252"/>
        <item x="1124"/>
        <item x="251"/>
        <item x="0"/>
        <item x="371"/>
        <item x="1123"/>
        <item x="250"/>
        <item x="439"/>
        <item x="370"/>
        <item x="249"/>
        <item x="1122"/>
        <item x="248"/>
        <item x="1121"/>
        <item x="247"/>
        <item x="1120"/>
        <item x="1119"/>
        <item x="369"/>
        <item x="246"/>
        <item x="245"/>
        <item x="368"/>
        <item x="367"/>
        <item x="366"/>
        <item x="1118"/>
        <item x="1117"/>
        <item x="365"/>
        <item x="438"/>
        <item x="364"/>
        <item x="363"/>
        <item x="362"/>
        <item x="361"/>
        <item x="360"/>
        <item x="359"/>
        <item x="358"/>
        <item t="default"/>
      </items>
    </pivotField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6"/>
  </rowFields>
  <rowItems count="4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VOLUME MENSAL DE VENDA(cm3)" fld="12" baseField="0" baseItem="0"/>
    <dataField name="Soma de VALOR MENSAL DE VENDA" fld="14" baseField="0" baseItem="0" numFmtId="164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49"/>
  <sheetViews>
    <sheetView zoomScale="70" zoomScaleNormal="70" workbookViewId="0">
      <selection sqref="A1:V1746"/>
    </sheetView>
  </sheetViews>
  <sheetFormatPr defaultColWidth="25.7109375" defaultRowHeight="15" x14ac:dyDescent="0.25"/>
  <cols>
    <col min="1" max="1" width="29.7109375" bestFit="1" customWidth="1"/>
    <col min="2" max="2" width="32.5703125" bestFit="1" customWidth="1"/>
    <col min="3" max="3" width="94.28515625" bestFit="1" customWidth="1"/>
    <col min="4" max="4" width="77.85546875" bestFit="1" customWidth="1"/>
    <col min="5" max="5" width="19" customWidth="1"/>
    <col min="6" max="6" width="16.7109375" customWidth="1"/>
    <col min="7" max="7" width="29.28515625" customWidth="1"/>
    <col min="8" max="8" width="12.28515625" customWidth="1"/>
    <col min="9" max="9" width="19.42578125" customWidth="1"/>
    <col min="10" max="10" width="13.85546875" customWidth="1"/>
    <col min="11" max="11" width="14.28515625" customWidth="1"/>
    <col min="12" max="12" width="19.85546875" customWidth="1"/>
    <col min="13" max="13" width="38.5703125" style="3" customWidth="1"/>
    <col min="14" max="14" width="28.5703125" customWidth="1"/>
    <col min="15" max="15" width="31.5703125" style="14" bestFit="1" customWidth="1"/>
    <col min="16" max="16" width="21.42578125" style="3" bestFit="1" customWidth="1"/>
    <col min="17" max="17" width="15.85546875" bestFit="1" customWidth="1"/>
    <col min="18" max="18" width="12.5703125" bestFit="1" customWidth="1"/>
    <col min="19" max="19" width="32.5703125" bestFit="1" customWidth="1"/>
    <col min="20" max="20" width="25.7109375" style="23"/>
  </cols>
  <sheetData>
    <row r="1" spans="1:25" s="1" customFormat="1" x14ac:dyDescent="0.25">
      <c r="A1" s="1" t="s">
        <v>1</v>
      </c>
      <c r="B1" s="1" t="s">
        <v>4</v>
      </c>
      <c r="C1" s="1" t="s">
        <v>10</v>
      </c>
      <c r="D1" s="1" t="s">
        <v>0</v>
      </c>
      <c r="E1" s="1" t="s">
        <v>5</v>
      </c>
      <c r="F1" s="1" t="s">
        <v>2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2938</v>
      </c>
      <c r="M1" s="6" t="s">
        <v>1236</v>
      </c>
      <c r="N1" s="1" t="s">
        <v>2941</v>
      </c>
      <c r="O1" s="13" t="s">
        <v>2980</v>
      </c>
      <c r="P1" s="6" t="s">
        <v>2936</v>
      </c>
      <c r="Q1" s="1" t="s">
        <v>2937</v>
      </c>
      <c r="R1" s="1" t="s">
        <v>2940</v>
      </c>
      <c r="S1" s="1" t="s">
        <v>2939</v>
      </c>
      <c r="T1" s="21" t="s">
        <v>2984</v>
      </c>
      <c r="U1" s="1" t="s">
        <v>2985</v>
      </c>
      <c r="V1" s="1" t="s">
        <v>2986</v>
      </c>
    </row>
    <row r="2" spans="1:25" ht="15" customHeight="1" x14ac:dyDescent="0.25">
      <c r="A2" t="s">
        <v>230</v>
      </c>
      <c r="B2" t="s">
        <v>1408</v>
      </c>
      <c r="C2" t="s">
        <v>1484</v>
      </c>
      <c r="D2" t="s">
        <v>1486</v>
      </c>
      <c r="E2" t="s">
        <v>833</v>
      </c>
      <c r="F2" s="5">
        <v>39.9</v>
      </c>
      <c r="G2" t="s">
        <v>1478</v>
      </c>
      <c r="H2" s="3">
        <v>10</v>
      </c>
      <c r="I2" s="3">
        <v>8</v>
      </c>
      <c r="J2" s="3">
        <v>10</v>
      </c>
      <c r="K2" s="3">
        <v>1</v>
      </c>
      <c r="L2">
        <f t="shared" ref="L2:L65" si="0">J2*I2*H2/1000000</f>
        <v>8.0000000000000004E-4</v>
      </c>
      <c r="M2">
        <v>15.2</v>
      </c>
      <c r="N2" s="8">
        <f>M2/L2</f>
        <v>19000</v>
      </c>
      <c r="O2" s="14">
        <f t="shared" ref="O2:O65" si="1">N2*F2</f>
        <v>758100</v>
      </c>
      <c r="P2" s="3">
        <v>10</v>
      </c>
      <c r="Q2" s="8">
        <f t="shared" ref="Q2:Q65" si="2">N2/P2</f>
        <v>1900</v>
      </c>
      <c r="R2" s="8">
        <f t="shared" ref="R2:R65" si="3">(N2/30)*P2</f>
        <v>6333.3333333333339</v>
      </c>
      <c r="S2" s="8">
        <f t="shared" ref="S2:S65" si="4">Q2+R2</f>
        <v>8233.3333333333339</v>
      </c>
      <c r="T2" s="17" t="e">
        <f>O2/O1748</f>
        <v>#REF!</v>
      </c>
      <c r="U2" s="17">
        <v>4.5019999999999998E-2</v>
      </c>
      <c r="V2" s="24" t="s">
        <v>2987</v>
      </c>
      <c r="X2" t="s">
        <v>2981</v>
      </c>
      <c r="Y2" s="16">
        <v>0.7</v>
      </c>
    </row>
    <row r="3" spans="1:25" ht="15" customHeight="1" x14ac:dyDescent="0.25">
      <c r="A3" t="s">
        <v>230</v>
      </c>
      <c r="B3" t="s">
        <v>297</v>
      </c>
      <c r="C3" t="s">
        <v>1730</v>
      </c>
      <c r="D3" t="s">
        <v>1742</v>
      </c>
      <c r="E3" t="s">
        <v>298</v>
      </c>
      <c r="F3" s="5">
        <v>189.9</v>
      </c>
      <c r="G3" t="s">
        <v>301</v>
      </c>
      <c r="H3" s="3">
        <v>34</v>
      </c>
      <c r="I3" s="3">
        <v>24</v>
      </c>
      <c r="J3" s="3">
        <v>24</v>
      </c>
      <c r="K3" s="3">
        <v>19</v>
      </c>
      <c r="L3">
        <f t="shared" si="0"/>
        <v>1.9584000000000001E-2</v>
      </c>
      <c r="M3">
        <f t="shared" ref="M3:M35" si="5">L3*N3</f>
        <v>62.668800000000005</v>
      </c>
      <c r="N3" s="8">
        <v>3200</v>
      </c>
      <c r="O3" s="14">
        <f t="shared" si="1"/>
        <v>607680</v>
      </c>
      <c r="P3" s="3">
        <v>10</v>
      </c>
      <c r="Q3" s="8">
        <f t="shared" si="2"/>
        <v>320</v>
      </c>
      <c r="R3" s="8">
        <f t="shared" si="3"/>
        <v>1066.6666666666667</v>
      </c>
      <c r="S3" s="8">
        <f t="shared" si="4"/>
        <v>1386.6666666666667</v>
      </c>
      <c r="T3" s="17" t="e">
        <f t="shared" ref="T3:T66" si="6">O3/O$1748</f>
        <v>#REF!</v>
      </c>
      <c r="U3" s="17" t="e">
        <f t="shared" ref="U3:U66" si="7">U2+T3</f>
        <v>#REF!</v>
      </c>
      <c r="V3" s="24" t="s">
        <v>2987</v>
      </c>
      <c r="X3" t="s">
        <v>2982</v>
      </c>
      <c r="Y3" s="16">
        <v>0.2</v>
      </c>
    </row>
    <row r="4" spans="1:25" ht="15" customHeight="1" x14ac:dyDescent="0.25">
      <c r="A4" t="s">
        <v>230</v>
      </c>
      <c r="B4" t="s">
        <v>286</v>
      </c>
      <c r="C4" t="s">
        <v>1553</v>
      </c>
      <c r="D4" t="s">
        <v>1554</v>
      </c>
      <c r="E4" t="s">
        <v>234</v>
      </c>
      <c r="F4" s="5">
        <v>1998</v>
      </c>
      <c r="G4" t="s">
        <v>1537</v>
      </c>
      <c r="H4" s="3">
        <v>22</v>
      </c>
      <c r="I4" s="3">
        <v>4.5</v>
      </c>
      <c r="J4" s="3">
        <v>4.5</v>
      </c>
      <c r="K4" s="3">
        <v>20.350000000000001</v>
      </c>
      <c r="L4">
        <f t="shared" si="0"/>
        <v>4.4549999999999999E-4</v>
      </c>
      <c r="M4">
        <f t="shared" si="5"/>
        <v>0.10692</v>
      </c>
      <c r="N4" s="8">
        <v>240</v>
      </c>
      <c r="O4" s="14">
        <f t="shared" si="1"/>
        <v>479520</v>
      </c>
      <c r="P4" s="3">
        <v>30</v>
      </c>
      <c r="Q4" s="8">
        <f t="shared" si="2"/>
        <v>8</v>
      </c>
      <c r="R4" s="8">
        <f t="shared" si="3"/>
        <v>240</v>
      </c>
      <c r="S4" s="8">
        <f t="shared" si="4"/>
        <v>248</v>
      </c>
      <c r="T4" s="17" t="e">
        <f t="shared" si="6"/>
        <v>#REF!</v>
      </c>
      <c r="U4" s="17" t="e">
        <f t="shared" si="7"/>
        <v>#REF!</v>
      </c>
      <c r="V4" s="24" t="s">
        <v>2987</v>
      </c>
      <c r="X4" t="s">
        <v>2983</v>
      </c>
      <c r="Y4" s="16">
        <v>0.1</v>
      </c>
    </row>
    <row r="5" spans="1:25" ht="15" customHeight="1" x14ac:dyDescent="0.25">
      <c r="A5" t="s">
        <v>230</v>
      </c>
      <c r="B5" t="s">
        <v>297</v>
      </c>
      <c r="C5" t="s">
        <v>1730</v>
      </c>
      <c r="D5" t="s">
        <v>1736</v>
      </c>
      <c r="E5" t="s">
        <v>298</v>
      </c>
      <c r="F5" s="5">
        <v>289.89999999999998</v>
      </c>
      <c r="G5" t="s">
        <v>299</v>
      </c>
      <c r="H5" s="3">
        <v>34</v>
      </c>
      <c r="I5" s="3">
        <v>24</v>
      </c>
      <c r="J5" s="3">
        <v>24</v>
      </c>
      <c r="K5" s="3">
        <v>19</v>
      </c>
      <c r="L5">
        <f t="shared" si="0"/>
        <v>1.9584000000000001E-2</v>
      </c>
      <c r="M5">
        <f t="shared" si="5"/>
        <v>31.334400000000002</v>
      </c>
      <c r="N5" s="8">
        <v>1600</v>
      </c>
      <c r="O5" s="14">
        <f t="shared" si="1"/>
        <v>463839.99999999994</v>
      </c>
      <c r="P5" s="3">
        <v>10</v>
      </c>
      <c r="Q5" s="8">
        <f t="shared" si="2"/>
        <v>160</v>
      </c>
      <c r="R5" s="8">
        <f t="shared" si="3"/>
        <v>533.33333333333337</v>
      </c>
      <c r="S5" s="8">
        <f t="shared" si="4"/>
        <v>693.33333333333337</v>
      </c>
      <c r="T5" s="17" t="e">
        <f t="shared" si="6"/>
        <v>#REF!</v>
      </c>
      <c r="U5" s="17" t="e">
        <f t="shared" si="7"/>
        <v>#REF!</v>
      </c>
      <c r="V5" s="24" t="s">
        <v>2987</v>
      </c>
    </row>
    <row r="6" spans="1:25" ht="15" customHeight="1" x14ac:dyDescent="0.25">
      <c r="A6" t="s">
        <v>230</v>
      </c>
      <c r="B6" t="s">
        <v>297</v>
      </c>
      <c r="C6" t="s">
        <v>1730</v>
      </c>
      <c r="D6" t="s">
        <v>1737</v>
      </c>
      <c r="E6" t="s">
        <v>298</v>
      </c>
      <c r="F6" s="5">
        <v>283</v>
      </c>
      <c r="G6" t="s">
        <v>299</v>
      </c>
      <c r="H6" s="3">
        <v>34</v>
      </c>
      <c r="I6" s="3">
        <v>24</v>
      </c>
      <c r="J6" s="3">
        <v>24</v>
      </c>
      <c r="K6" s="3">
        <v>19</v>
      </c>
      <c r="L6">
        <f t="shared" si="0"/>
        <v>1.9584000000000001E-2</v>
      </c>
      <c r="M6">
        <f t="shared" si="5"/>
        <v>31.334400000000002</v>
      </c>
      <c r="N6" s="8">
        <v>1600</v>
      </c>
      <c r="O6" s="14">
        <f t="shared" si="1"/>
        <v>452800</v>
      </c>
      <c r="P6" s="3">
        <v>10</v>
      </c>
      <c r="Q6" s="8">
        <f t="shared" si="2"/>
        <v>160</v>
      </c>
      <c r="R6" s="8">
        <f t="shared" si="3"/>
        <v>533.33333333333337</v>
      </c>
      <c r="S6" s="8">
        <f t="shared" si="4"/>
        <v>693.33333333333337</v>
      </c>
      <c r="T6" s="17" t="e">
        <f t="shared" si="6"/>
        <v>#REF!</v>
      </c>
      <c r="U6" s="17" t="e">
        <f t="shared" si="7"/>
        <v>#REF!</v>
      </c>
      <c r="V6" s="24" t="s">
        <v>2987</v>
      </c>
    </row>
    <row r="7" spans="1:25" ht="15" customHeight="1" x14ac:dyDescent="0.25">
      <c r="A7" t="s">
        <v>230</v>
      </c>
      <c r="B7" t="s">
        <v>297</v>
      </c>
      <c r="C7" t="s">
        <v>1730</v>
      </c>
      <c r="D7" t="s">
        <v>1738</v>
      </c>
      <c r="E7" t="s">
        <v>298</v>
      </c>
      <c r="F7" s="5">
        <v>274</v>
      </c>
      <c r="G7" t="s">
        <v>299</v>
      </c>
      <c r="H7" s="3">
        <v>34</v>
      </c>
      <c r="I7" s="3">
        <v>24</v>
      </c>
      <c r="J7" s="3">
        <v>24</v>
      </c>
      <c r="K7" s="3">
        <v>19</v>
      </c>
      <c r="L7">
        <f t="shared" si="0"/>
        <v>1.9584000000000001E-2</v>
      </c>
      <c r="M7">
        <f t="shared" si="5"/>
        <v>31.334400000000002</v>
      </c>
      <c r="N7" s="8">
        <v>1600</v>
      </c>
      <c r="O7" s="14">
        <f t="shared" si="1"/>
        <v>438400</v>
      </c>
      <c r="P7" s="3">
        <v>10</v>
      </c>
      <c r="Q7" s="8">
        <f t="shared" si="2"/>
        <v>160</v>
      </c>
      <c r="R7" s="8">
        <f t="shared" si="3"/>
        <v>533.33333333333337</v>
      </c>
      <c r="S7" s="8">
        <f t="shared" si="4"/>
        <v>693.33333333333337</v>
      </c>
      <c r="T7" s="17" t="e">
        <f t="shared" si="6"/>
        <v>#REF!</v>
      </c>
      <c r="U7" s="17" t="e">
        <f t="shared" si="7"/>
        <v>#REF!</v>
      </c>
      <c r="V7" s="24" t="s">
        <v>2987</v>
      </c>
    </row>
    <row r="8" spans="1:25" ht="15" customHeight="1" x14ac:dyDescent="0.25">
      <c r="A8" t="s">
        <v>230</v>
      </c>
      <c r="B8" t="s">
        <v>297</v>
      </c>
      <c r="C8" t="s">
        <v>1747</v>
      </c>
      <c r="D8" t="s">
        <v>1754</v>
      </c>
      <c r="E8" t="s">
        <v>300</v>
      </c>
      <c r="F8" s="5">
        <v>164.9</v>
      </c>
      <c r="G8" t="s">
        <v>1753</v>
      </c>
      <c r="H8" s="3">
        <v>19</v>
      </c>
      <c r="I8" s="3">
        <v>17</v>
      </c>
      <c r="J8" s="3">
        <v>17</v>
      </c>
      <c r="K8" s="3">
        <v>5.28</v>
      </c>
      <c r="L8">
        <f t="shared" si="0"/>
        <v>5.4910000000000002E-3</v>
      </c>
      <c r="M8">
        <f t="shared" si="5"/>
        <v>13.1784</v>
      </c>
      <c r="N8" s="8">
        <v>2400</v>
      </c>
      <c r="O8" s="14">
        <f t="shared" si="1"/>
        <v>395760</v>
      </c>
      <c r="P8" s="3">
        <v>10</v>
      </c>
      <c r="Q8" s="8">
        <f t="shared" si="2"/>
        <v>240</v>
      </c>
      <c r="R8" s="8">
        <f t="shared" si="3"/>
        <v>800</v>
      </c>
      <c r="S8" s="8">
        <f t="shared" si="4"/>
        <v>1040</v>
      </c>
      <c r="T8" s="17" t="e">
        <f t="shared" si="6"/>
        <v>#REF!</v>
      </c>
      <c r="U8" s="17" t="e">
        <f t="shared" si="7"/>
        <v>#REF!</v>
      </c>
      <c r="V8" s="24" t="s">
        <v>2987</v>
      </c>
    </row>
    <row r="9" spans="1:25" ht="15" customHeight="1" x14ac:dyDescent="0.25">
      <c r="A9" t="s">
        <v>230</v>
      </c>
      <c r="B9" t="s">
        <v>297</v>
      </c>
      <c r="C9" t="s">
        <v>1730</v>
      </c>
      <c r="D9" t="s">
        <v>1739</v>
      </c>
      <c r="E9" t="s">
        <v>298</v>
      </c>
      <c r="F9" s="5">
        <v>234</v>
      </c>
      <c r="G9" t="s">
        <v>299</v>
      </c>
      <c r="H9" s="3">
        <v>34</v>
      </c>
      <c r="I9" s="3">
        <v>24</v>
      </c>
      <c r="J9" s="3">
        <v>24</v>
      </c>
      <c r="K9" s="3">
        <v>19</v>
      </c>
      <c r="L9">
        <f t="shared" si="0"/>
        <v>1.9584000000000001E-2</v>
      </c>
      <c r="M9">
        <f t="shared" si="5"/>
        <v>31.334400000000002</v>
      </c>
      <c r="N9" s="8">
        <v>1600</v>
      </c>
      <c r="O9" s="14">
        <f t="shared" si="1"/>
        <v>374400</v>
      </c>
      <c r="P9" s="3">
        <v>10</v>
      </c>
      <c r="Q9" s="8">
        <f t="shared" si="2"/>
        <v>160</v>
      </c>
      <c r="R9" s="8">
        <f t="shared" si="3"/>
        <v>533.33333333333337</v>
      </c>
      <c r="S9" s="8">
        <f t="shared" si="4"/>
        <v>693.33333333333337</v>
      </c>
      <c r="T9" s="17" t="e">
        <f t="shared" si="6"/>
        <v>#REF!</v>
      </c>
      <c r="U9" s="17" t="e">
        <f t="shared" si="7"/>
        <v>#REF!</v>
      </c>
      <c r="V9" s="24" t="s">
        <v>2987</v>
      </c>
    </row>
    <row r="10" spans="1:25" ht="15" customHeight="1" x14ac:dyDescent="0.25">
      <c r="A10" t="s">
        <v>230</v>
      </c>
      <c r="B10" t="s">
        <v>297</v>
      </c>
      <c r="C10" t="s">
        <v>1730</v>
      </c>
      <c r="D10" t="s">
        <v>1740</v>
      </c>
      <c r="E10" t="s">
        <v>298</v>
      </c>
      <c r="F10" s="5">
        <v>234</v>
      </c>
      <c r="G10" t="s">
        <v>299</v>
      </c>
      <c r="H10" s="3">
        <v>34</v>
      </c>
      <c r="I10" s="3">
        <v>24</v>
      </c>
      <c r="J10" s="3">
        <v>24</v>
      </c>
      <c r="K10" s="3">
        <v>19</v>
      </c>
      <c r="L10">
        <f t="shared" si="0"/>
        <v>1.9584000000000001E-2</v>
      </c>
      <c r="M10">
        <f t="shared" si="5"/>
        <v>31.334400000000002</v>
      </c>
      <c r="N10" s="8">
        <v>1600</v>
      </c>
      <c r="O10" s="14">
        <f t="shared" si="1"/>
        <v>374400</v>
      </c>
      <c r="P10" s="3">
        <v>10</v>
      </c>
      <c r="Q10" s="8">
        <f t="shared" si="2"/>
        <v>160</v>
      </c>
      <c r="R10" s="8">
        <f t="shared" si="3"/>
        <v>533.33333333333337</v>
      </c>
      <c r="S10" s="8">
        <f t="shared" si="4"/>
        <v>693.33333333333337</v>
      </c>
      <c r="T10" s="17" t="e">
        <f t="shared" si="6"/>
        <v>#REF!</v>
      </c>
      <c r="U10" s="17" t="e">
        <f t="shared" si="7"/>
        <v>#REF!</v>
      </c>
      <c r="V10" s="24" t="s">
        <v>2987</v>
      </c>
    </row>
    <row r="11" spans="1:25" ht="15" customHeight="1" x14ac:dyDescent="0.25">
      <c r="A11" t="s">
        <v>230</v>
      </c>
      <c r="B11" t="s">
        <v>297</v>
      </c>
      <c r="C11" t="s">
        <v>1730</v>
      </c>
      <c r="D11" t="s">
        <v>1743</v>
      </c>
      <c r="E11" t="s">
        <v>298</v>
      </c>
      <c r="F11" s="5">
        <v>105.9</v>
      </c>
      <c r="G11" t="s">
        <v>301</v>
      </c>
      <c r="H11" s="3">
        <v>34</v>
      </c>
      <c r="I11" s="3">
        <v>24</v>
      </c>
      <c r="J11" s="3">
        <v>24</v>
      </c>
      <c r="K11" s="3">
        <v>19</v>
      </c>
      <c r="L11">
        <f t="shared" si="0"/>
        <v>1.9584000000000001E-2</v>
      </c>
      <c r="M11">
        <f t="shared" si="5"/>
        <v>62.668800000000005</v>
      </c>
      <c r="N11" s="8">
        <v>3200</v>
      </c>
      <c r="O11" s="14">
        <f t="shared" si="1"/>
        <v>338880</v>
      </c>
      <c r="P11" s="3">
        <v>10</v>
      </c>
      <c r="Q11" s="8">
        <f t="shared" si="2"/>
        <v>320</v>
      </c>
      <c r="R11" s="8">
        <f t="shared" si="3"/>
        <v>1066.6666666666667</v>
      </c>
      <c r="S11" s="8">
        <f t="shared" si="4"/>
        <v>1386.6666666666667</v>
      </c>
      <c r="T11" s="17" t="e">
        <f t="shared" si="6"/>
        <v>#REF!</v>
      </c>
      <c r="U11" s="17" t="e">
        <f t="shared" si="7"/>
        <v>#REF!</v>
      </c>
      <c r="V11" s="24" t="s">
        <v>2987</v>
      </c>
    </row>
    <row r="12" spans="1:25" ht="15" customHeight="1" x14ac:dyDescent="0.25">
      <c r="A12" t="s">
        <v>230</v>
      </c>
      <c r="B12" t="s">
        <v>297</v>
      </c>
      <c r="C12" t="s">
        <v>1747</v>
      </c>
      <c r="D12" t="s">
        <v>1748</v>
      </c>
      <c r="E12" t="s">
        <v>300</v>
      </c>
      <c r="F12" s="5">
        <v>116.49</v>
      </c>
      <c r="G12" t="s">
        <v>1749</v>
      </c>
      <c r="H12" s="3">
        <v>19</v>
      </c>
      <c r="I12" s="3">
        <v>17</v>
      </c>
      <c r="J12" s="3">
        <v>17</v>
      </c>
      <c r="K12" s="3">
        <v>5.28</v>
      </c>
      <c r="L12">
        <f t="shared" si="0"/>
        <v>5.4910000000000002E-3</v>
      </c>
      <c r="M12">
        <f t="shared" si="5"/>
        <v>13.1784</v>
      </c>
      <c r="N12" s="8">
        <v>2400</v>
      </c>
      <c r="O12" s="14">
        <f t="shared" si="1"/>
        <v>279576</v>
      </c>
      <c r="P12" s="3">
        <v>10</v>
      </c>
      <c r="Q12" s="8">
        <f t="shared" si="2"/>
        <v>240</v>
      </c>
      <c r="R12" s="8">
        <f t="shared" si="3"/>
        <v>800</v>
      </c>
      <c r="S12" s="8">
        <f t="shared" si="4"/>
        <v>1040</v>
      </c>
      <c r="T12" s="17" t="e">
        <f t="shared" si="6"/>
        <v>#REF!</v>
      </c>
      <c r="U12" s="17" t="e">
        <f t="shared" si="7"/>
        <v>#REF!</v>
      </c>
      <c r="V12" s="24" t="s">
        <v>2987</v>
      </c>
    </row>
    <row r="13" spans="1:25" ht="15" customHeight="1" x14ac:dyDescent="0.25">
      <c r="A13" t="s">
        <v>230</v>
      </c>
      <c r="B13" t="s">
        <v>297</v>
      </c>
      <c r="C13" t="s">
        <v>1747</v>
      </c>
      <c r="D13" t="s">
        <v>1750</v>
      </c>
      <c r="E13" t="s">
        <v>300</v>
      </c>
      <c r="F13" s="5">
        <v>116.49</v>
      </c>
      <c r="G13" t="s">
        <v>1749</v>
      </c>
      <c r="H13" s="3">
        <v>19</v>
      </c>
      <c r="I13" s="3">
        <v>17</v>
      </c>
      <c r="J13" s="3">
        <v>17</v>
      </c>
      <c r="K13" s="3">
        <v>5.28</v>
      </c>
      <c r="L13">
        <f t="shared" si="0"/>
        <v>5.4910000000000002E-3</v>
      </c>
      <c r="M13">
        <f t="shared" si="5"/>
        <v>13.1784</v>
      </c>
      <c r="N13" s="8">
        <v>2400</v>
      </c>
      <c r="O13" s="14">
        <f t="shared" si="1"/>
        <v>279576</v>
      </c>
      <c r="P13" s="3">
        <v>10</v>
      </c>
      <c r="Q13" s="8">
        <f t="shared" si="2"/>
        <v>240</v>
      </c>
      <c r="R13" s="8">
        <f t="shared" si="3"/>
        <v>800</v>
      </c>
      <c r="S13" s="8">
        <f t="shared" si="4"/>
        <v>1040</v>
      </c>
      <c r="T13" s="17" t="e">
        <f t="shared" si="6"/>
        <v>#REF!</v>
      </c>
      <c r="U13" s="17" t="e">
        <f t="shared" si="7"/>
        <v>#REF!</v>
      </c>
      <c r="V13" s="24" t="s">
        <v>2987</v>
      </c>
    </row>
    <row r="14" spans="1:25" ht="15" customHeight="1" x14ac:dyDescent="0.25">
      <c r="A14" t="s">
        <v>230</v>
      </c>
      <c r="B14" t="s">
        <v>286</v>
      </c>
      <c r="C14" t="s">
        <v>1555</v>
      </c>
      <c r="D14" t="s">
        <v>1556</v>
      </c>
      <c r="E14" t="s">
        <v>234</v>
      </c>
      <c r="F14" s="5">
        <v>1084.4000000000001</v>
      </c>
      <c r="G14" t="s">
        <v>1557</v>
      </c>
      <c r="H14" s="3">
        <v>22</v>
      </c>
      <c r="I14" s="3">
        <v>19</v>
      </c>
      <c r="J14" s="3">
        <v>19</v>
      </c>
      <c r="K14" s="3">
        <v>20.350000000000001</v>
      </c>
      <c r="L14">
        <f t="shared" si="0"/>
        <v>7.9419999999999994E-3</v>
      </c>
      <c r="M14">
        <f t="shared" si="5"/>
        <v>1.9060799999999998</v>
      </c>
      <c r="N14" s="8">
        <v>240</v>
      </c>
      <c r="O14" s="14">
        <f t="shared" si="1"/>
        <v>260256.00000000003</v>
      </c>
      <c r="P14" s="3">
        <v>30</v>
      </c>
      <c r="Q14" s="8">
        <f t="shared" si="2"/>
        <v>8</v>
      </c>
      <c r="R14" s="8">
        <f t="shared" si="3"/>
        <v>240</v>
      </c>
      <c r="S14" s="8">
        <f t="shared" si="4"/>
        <v>248</v>
      </c>
      <c r="T14" s="17" t="e">
        <f t="shared" si="6"/>
        <v>#REF!</v>
      </c>
      <c r="U14" s="17" t="e">
        <f t="shared" si="7"/>
        <v>#REF!</v>
      </c>
      <c r="V14" s="24" t="s">
        <v>2987</v>
      </c>
    </row>
    <row r="15" spans="1:25" ht="15" customHeight="1" x14ac:dyDescent="0.25">
      <c r="A15" t="s">
        <v>230</v>
      </c>
      <c r="B15" t="s">
        <v>286</v>
      </c>
      <c r="C15" t="s">
        <v>270</v>
      </c>
      <c r="D15" t="s">
        <v>1516</v>
      </c>
      <c r="E15" t="s">
        <v>234</v>
      </c>
      <c r="F15" s="5">
        <v>844.4</v>
      </c>
      <c r="G15" t="s">
        <v>237</v>
      </c>
      <c r="H15" s="3">
        <v>22</v>
      </c>
      <c r="I15" s="3">
        <v>60</v>
      </c>
      <c r="J15" s="3">
        <v>60</v>
      </c>
      <c r="K15" s="3">
        <v>20.350000000000001</v>
      </c>
      <c r="L15">
        <f t="shared" si="0"/>
        <v>7.9200000000000007E-2</v>
      </c>
      <c r="M15">
        <f t="shared" si="5"/>
        <v>23.76</v>
      </c>
      <c r="N15" s="8">
        <v>300</v>
      </c>
      <c r="O15" s="14">
        <f t="shared" si="1"/>
        <v>253320</v>
      </c>
      <c r="P15" s="3">
        <v>30</v>
      </c>
      <c r="Q15" s="8">
        <f t="shared" si="2"/>
        <v>10</v>
      </c>
      <c r="R15" s="8">
        <f t="shared" si="3"/>
        <v>300</v>
      </c>
      <c r="S15" s="8">
        <f t="shared" si="4"/>
        <v>310</v>
      </c>
      <c r="T15" s="17" t="e">
        <f t="shared" si="6"/>
        <v>#REF!</v>
      </c>
      <c r="U15" s="17" t="e">
        <f t="shared" si="7"/>
        <v>#REF!</v>
      </c>
      <c r="V15" s="24" t="s">
        <v>2987</v>
      </c>
    </row>
    <row r="16" spans="1:25" ht="15" customHeight="1" x14ac:dyDescent="0.25">
      <c r="A16" t="s">
        <v>230</v>
      </c>
      <c r="B16" t="s">
        <v>297</v>
      </c>
      <c r="C16" t="s">
        <v>1701</v>
      </c>
      <c r="D16" t="s">
        <v>1703</v>
      </c>
      <c r="E16" t="s">
        <v>298</v>
      </c>
      <c r="F16" s="5">
        <v>200</v>
      </c>
      <c r="G16" t="s">
        <v>302</v>
      </c>
      <c r="H16" s="3">
        <v>34</v>
      </c>
      <c r="I16" s="3">
        <v>24</v>
      </c>
      <c r="J16" s="3">
        <v>24</v>
      </c>
      <c r="K16" s="3">
        <v>19</v>
      </c>
      <c r="L16">
        <f t="shared" si="0"/>
        <v>1.9584000000000001E-2</v>
      </c>
      <c r="M16">
        <f t="shared" si="5"/>
        <v>23.500800000000002</v>
      </c>
      <c r="N16" s="8">
        <v>1200</v>
      </c>
      <c r="O16" s="14">
        <f t="shared" si="1"/>
        <v>240000</v>
      </c>
      <c r="P16" s="3">
        <v>10</v>
      </c>
      <c r="Q16" s="8">
        <f t="shared" si="2"/>
        <v>120</v>
      </c>
      <c r="R16" s="8">
        <f t="shared" si="3"/>
        <v>400</v>
      </c>
      <c r="S16" s="8">
        <f t="shared" si="4"/>
        <v>520</v>
      </c>
      <c r="T16" s="17" t="e">
        <f t="shared" si="6"/>
        <v>#REF!</v>
      </c>
      <c r="U16" s="17" t="e">
        <f t="shared" si="7"/>
        <v>#REF!</v>
      </c>
      <c r="V16" s="24" t="s">
        <v>2987</v>
      </c>
    </row>
    <row r="17" spans="1:22" ht="15" customHeight="1" x14ac:dyDescent="0.25">
      <c r="A17" t="s">
        <v>230</v>
      </c>
      <c r="B17" t="s">
        <v>297</v>
      </c>
      <c r="C17" t="s">
        <v>1701</v>
      </c>
      <c r="D17" t="s">
        <v>1714</v>
      </c>
      <c r="E17" t="s">
        <v>298</v>
      </c>
      <c r="F17" s="5">
        <v>200</v>
      </c>
      <c r="G17" t="s">
        <v>301</v>
      </c>
      <c r="H17" s="3">
        <v>34</v>
      </c>
      <c r="I17" s="3">
        <v>24</v>
      </c>
      <c r="J17" s="3">
        <v>24</v>
      </c>
      <c r="K17" s="3">
        <v>19</v>
      </c>
      <c r="L17">
        <f t="shared" si="0"/>
        <v>1.9584000000000001E-2</v>
      </c>
      <c r="M17">
        <f t="shared" si="5"/>
        <v>23.500800000000002</v>
      </c>
      <c r="N17" s="8">
        <v>1200</v>
      </c>
      <c r="O17" s="14">
        <f t="shared" si="1"/>
        <v>240000</v>
      </c>
      <c r="P17" s="3">
        <v>10</v>
      </c>
      <c r="Q17" s="8">
        <f t="shared" si="2"/>
        <v>120</v>
      </c>
      <c r="R17" s="8">
        <f t="shared" si="3"/>
        <v>400</v>
      </c>
      <c r="S17" s="8">
        <f t="shared" si="4"/>
        <v>520</v>
      </c>
      <c r="T17" s="17" t="e">
        <f t="shared" si="6"/>
        <v>#REF!</v>
      </c>
      <c r="U17" s="17" t="e">
        <f t="shared" si="7"/>
        <v>#REF!</v>
      </c>
      <c r="V17" s="24" t="s">
        <v>2987</v>
      </c>
    </row>
    <row r="18" spans="1:22" ht="15" customHeight="1" x14ac:dyDescent="0.25">
      <c r="A18" t="s">
        <v>230</v>
      </c>
      <c r="B18" t="s">
        <v>297</v>
      </c>
      <c r="C18" t="s">
        <v>1701</v>
      </c>
      <c r="D18" t="s">
        <v>1711</v>
      </c>
      <c r="E18" t="s">
        <v>298</v>
      </c>
      <c r="F18" s="5">
        <v>196</v>
      </c>
      <c r="G18" t="s">
        <v>299</v>
      </c>
      <c r="H18" s="3">
        <v>34</v>
      </c>
      <c r="I18" s="3">
        <v>24</v>
      </c>
      <c r="J18" s="3">
        <v>24</v>
      </c>
      <c r="K18" s="3">
        <v>19</v>
      </c>
      <c r="L18">
        <f t="shared" si="0"/>
        <v>1.9584000000000001E-2</v>
      </c>
      <c r="M18">
        <f t="shared" si="5"/>
        <v>23.500800000000002</v>
      </c>
      <c r="N18" s="8">
        <v>1200</v>
      </c>
      <c r="O18" s="14">
        <f t="shared" si="1"/>
        <v>235200</v>
      </c>
      <c r="P18" s="3">
        <v>10</v>
      </c>
      <c r="Q18" s="8">
        <f t="shared" si="2"/>
        <v>120</v>
      </c>
      <c r="R18" s="8">
        <f t="shared" si="3"/>
        <v>400</v>
      </c>
      <c r="S18" s="8">
        <f t="shared" si="4"/>
        <v>520</v>
      </c>
      <c r="T18" s="17" t="e">
        <f t="shared" si="6"/>
        <v>#REF!</v>
      </c>
      <c r="U18" s="17" t="e">
        <f t="shared" si="7"/>
        <v>#REF!</v>
      </c>
      <c r="V18" s="24" t="s">
        <v>2987</v>
      </c>
    </row>
    <row r="19" spans="1:22" ht="15" customHeight="1" x14ac:dyDescent="0.25">
      <c r="A19" t="s">
        <v>230</v>
      </c>
      <c r="B19" t="s">
        <v>297</v>
      </c>
      <c r="C19" t="s">
        <v>1701</v>
      </c>
      <c r="D19" t="s">
        <v>1705</v>
      </c>
      <c r="E19" t="s">
        <v>298</v>
      </c>
      <c r="F19" s="5">
        <v>190</v>
      </c>
      <c r="G19" t="s">
        <v>302</v>
      </c>
      <c r="H19" s="3">
        <v>34</v>
      </c>
      <c r="I19" s="3">
        <v>24</v>
      </c>
      <c r="J19" s="3">
        <v>24</v>
      </c>
      <c r="K19" s="3">
        <v>19</v>
      </c>
      <c r="L19">
        <f t="shared" si="0"/>
        <v>1.9584000000000001E-2</v>
      </c>
      <c r="M19">
        <f t="shared" si="5"/>
        <v>23.500800000000002</v>
      </c>
      <c r="N19" s="8">
        <v>1200</v>
      </c>
      <c r="O19" s="14">
        <f t="shared" si="1"/>
        <v>228000</v>
      </c>
      <c r="P19" s="3">
        <v>10</v>
      </c>
      <c r="Q19" s="8">
        <f t="shared" si="2"/>
        <v>120</v>
      </c>
      <c r="R19" s="8">
        <f t="shared" si="3"/>
        <v>400</v>
      </c>
      <c r="S19" s="8">
        <f t="shared" si="4"/>
        <v>520</v>
      </c>
      <c r="T19" s="17" t="e">
        <f t="shared" si="6"/>
        <v>#REF!</v>
      </c>
      <c r="U19" s="17" t="e">
        <f t="shared" si="7"/>
        <v>#REF!</v>
      </c>
      <c r="V19" s="24" t="s">
        <v>2987</v>
      </c>
    </row>
    <row r="20" spans="1:22" ht="15" customHeight="1" x14ac:dyDescent="0.25">
      <c r="A20" t="s">
        <v>230</v>
      </c>
      <c r="B20" t="s">
        <v>297</v>
      </c>
      <c r="C20" t="s">
        <v>1701</v>
      </c>
      <c r="D20" t="s">
        <v>1702</v>
      </c>
      <c r="E20" t="s">
        <v>298</v>
      </c>
      <c r="F20" s="5">
        <v>180</v>
      </c>
      <c r="G20" t="s">
        <v>302</v>
      </c>
      <c r="H20" s="3">
        <v>34</v>
      </c>
      <c r="I20" s="3">
        <v>24</v>
      </c>
      <c r="J20" s="3">
        <v>24</v>
      </c>
      <c r="K20" s="3">
        <v>19</v>
      </c>
      <c r="L20">
        <f t="shared" si="0"/>
        <v>1.9584000000000001E-2</v>
      </c>
      <c r="M20">
        <f t="shared" si="5"/>
        <v>23.500800000000002</v>
      </c>
      <c r="N20" s="8">
        <v>1200</v>
      </c>
      <c r="O20" s="14">
        <f t="shared" si="1"/>
        <v>216000</v>
      </c>
      <c r="P20" s="3">
        <v>10</v>
      </c>
      <c r="Q20" s="8">
        <f t="shared" si="2"/>
        <v>120</v>
      </c>
      <c r="R20" s="8">
        <f t="shared" si="3"/>
        <v>400</v>
      </c>
      <c r="S20" s="8">
        <f t="shared" si="4"/>
        <v>520</v>
      </c>
      <c r="T20" s="17" t="e">
        <f t="shared" si="6"/>
        <v>#REF!</v>
      </c>
      <c r="U20" s="17" t="e">
        <f t="shared" si="7"/>
        <v>#REF!</v>
      </c>
      <c r="V20" s="24" t="s">
        <v>2987</v>
      </c>
    </row>
    <row r="21" spans="1:22" ht="15" customHeight="1" x14ac:dyDescent="0.25">
      <c r="A21" t="s">
        <v>230</v>
      </c>
      <c r="B21" t="s">
        <v>286</v>
      </c>
      <c r="C21" t="s">
        <v>1551</v>
      </c>
      <c r="D21" t="s">
        <v>1552</v>
      </c>
      <c r="E21" t="s">
        <v>234</v>
      </c>
      <c r="F21" s="5">
        <v>898</v>
      </c>
      <c r="G21" t="s">
        <v>1550</v>
      </c>
      <c r="H21" s="3">
        <v>22</v>
      </c>
      <c r="I21" s="3">
        <v>22.8</v>
      </c>
      <c r="J21" s="3">
        <v>11.4</v>
      </c>
      <c r="K21" s="3">
        <v>20.350000000000001</v>
      </c>
      <c r="L21">
        <f t="shared" si="0"/>
        <v>5.7182400000000003E-3</v>
      </c>
      <c r="M21">
        <f t="shared" si="5"/>
        <v>1.3723776000000001</v>
      </c>
      <c r="N21" s="8">
        <v>240</v>
      </c>
      <c r="O21" s="14">
        <f t="shared" si="1"/>
        <v>215520</v>
      </c>
      <c r="P21" s="3">
        <v>30</v>
      </c>
      <c r="Q21" s="8">
        <f t="shared" si="2"/>
        <v>8</v>
      </c>
      <c r="R21" s="8">
        <f t="shared" si="3"/>
        <v>240</v>
      </c>
      <c r="S21" s="8">
        <f t="shared" si="4"/>
        <v>248</v>
      </c>
      <c r="T21" s="17" t="e">
        <f t="shared" si="6"/>
        <v>#REF!</v>
      </c>
      <c r="U21" s="17" t="e">
        <f t="shared" si="7"/>
        <v>#REF!</v>
      </c>
      <c r="V21" s="24" t="s">
        <v>2987</v>
      </c>
    </row>
    <row r="22" spans="1:22" ht="15" customHeight="1" x14ac:dyDescent="0.25">
      <c r="A22" t="s">
        <v>230</v>
      </c>
      <c r="B22" t="s">
        <v>286</v>
      </c>
      <c r="C22" t="s">
        <v>266</v>
      </c>
      <c r="D22" t="s">
        <v>1513</v>
      </c>
      <c r="E22" t="s">
        <v>234</v>
      </c>
      <c r="F22" s="5">
        <v>685.6</v>
      </c>
      <c r="G22" t="s">
        <v>237</v>
      </c>
      <c r="H22" s="3">
        <v>22</v>
      </c>
      <c r="I22" s="3">
        <v>60</v>
      </c>
      <c r="J22" s="3">
        <v>60</v>
      </c>
      <c r="K22" s="3">
        <v>20.350000000000001</v>
      </c>
      <c r="L22">
        <f t="shared" si="0"/>
        <v>7.9200000000000007E-2</v>
      </c>
      <c r="M22">
        <f t="shared" si="5"/>
        <v>23.76</v>
      </c>
      <c r="N22" s="8">
        <v>300</v>
      </c>
      <c r="O22" s="14">
        <f t="shared" si="1"/>
        <v>205680</v>
      </c>
      <c r="P22" s="3">
        <v>30</v>
      </c>
      <c r="Q22" s="8">
        <f t="shared" si="2"/>
        <v>10</v>
      </c>
      <c r="R22" s="8">
        <f t="shared" si="3"/>
        <v>300</v>
      </c>
      <c r="S22" s="8">
        <f t="shared" si="4"/>
        <v>310</v>
      </c>
      <c r="T22" s="17" t="e">
        <f t="shared" si="6"/>
        <v>#REF!</v>
      </c>
      <c r="U22" s="17" t="e">
        <f t="shared" si="7"/>
        <v>#REF!</v>
      </c>
      <c r="V22" s="24" t="s">
        <v>2987</v>
      </c>
    </row>
    <row r="23" spans="1:22" ht="15" customHeight="1" x14ac:dyDescent="0.25">
      <c r="A23" t="s">
        <v>230</v>
      </c>
      <c r="B23" t="s">
        <v>297</v>
      </c>
      <c r="C23" t="s">
        <v>1701</v>
      </c>
      <c r="D23" t="s">
        <v>1710</v>
      </c>
      <c r="E23" t="s">
        <v>298</v>
      </c>
      <c r="F23" s="5">
        <v>170</v>
      </c>
      <c r="G23" t="s">
        <v>299</v>
      </c>
      <c r="H23" s="3">
        <v>34</v>
      </c>
      <c r="I23" s="3">
        <v>24</v>
      </c>
      <c r="J23" s="3">
        <v>24</v>
      </c>
      <c r="K23" s="3">
        <v>19</v>
      </c>
      <c r="L23">
        <f t="shared" si="0"/>
        <v>1.9584000000000001E-2</v>
      </c>
      <c r="M23">
        <f t="shared" si="5"/>
        <v>23.500800000000002</v>
      </c>
      <c r="N23" s="8">
        <v>1200</v>
      </c>
      <c r="O23" s="14">
        <f t="shared" si="1"/>
        <v>204000</v>
      </c>
      <c r="P23" s="3">
        <v>10</v>
      </c>
      <c r="Q23" s="8">
        <f t="shared" si="2"/>
        <v>120</v>
      </c>
      <c r="R23" s="8">
        <f t="shared" si="3"/>
        <v>400</v>
      </c>
      <c r="S23" s="8">
        <f t="shared" si="4"/>
        <v>520</v>
      </c>
      <c r="T23" s="17" t="e">
        <f t="shared" si="6"/>
        <v>#REF!</v>
      </c>
      <c r="U23" s="17" t="e">
        <f t="shared" si="7"/>
        <v>#REF!</v>
      </c>
      <c r="V23" s="24" t="s">
        <v>2987</v>
      </c>
    </row>
    <row r="24" spans="1:22" ht="15" customHeight="1" x14ac:dyDescent="0.25">
      <c r="A24" t="s">
        <v>230</v>
      </c>
      <c r="B24" t="s">
        <v>297</v>
      </c>
      <c r="C24" t="s">
        <v>1701</v>
      </c>
      <c r="D24" t="s">
        <v>1708</v>
      </c>
      <c r="E24" t="s">
        <v>298</v>
      </c>
      <c r="F24" s="5">
        <v>160</v>
      </c>
      <c r="G24" t="s">
        <v>302</v>
      </c>
      <c r="H24" s="3">
        <v>34</v>
      </c>
      <c r="I24" s="3">
        <v>24</v>
      </c>
      <c r="J24" s="3">
        <v>24</v>
      </c>
      <c r="K24" s="3">
        <v>19</v>
      </c>
      <c r="L24">
        <f t="shared" si="0"/>
        <v>1.9584000000000001E-2</v>
      </c>
      <c r="M24">
        <f t="shared" si="5"/>
        <v>23.500800000000002</v>
      </c>
      <c r="N24" s="8">
        <v>1200</v>
      </c>
      <c r="O24" s="14">
        <f t="shared" si="1"/>
        <v>192000</v>
      </c>
      <c r="P24" s="3">
        <v>10</v>
      </c>
      <c r="Q24" s="8">
        <f t="shared" si="2"/>
        <v>120</v>
      </c>
      <c r="R24" s="8">
        <f t="shared" si="3"/>
        <v>400</v>
      </c>
      <c r="S24" s="8">
        <f t="shared" si="4"/>
        <v>520</v>
      </c>
      <c r="T24" s="17" t="e">
        <f t="shared" si="6"/>
        <v>#REF!</v>
      </c>
      <c r="U24" s="17" t="e">
        <f t="shared" si="7"/>
        <v>#REF!</v>
      </c>
      <c r="V24" s="24" t="s">
        <v>2987</v>
      </c>
    </row>
    <row r="25" spans="1:22" ht="15" customHeight="1" x14ac:dyDescent="0.25">
      <c r="A25" t="s">
        <v>230</v>
      </c>
      <c r="B25" t="s">
        <v>297</v>
      </c>
      <c r="C25" t="s">
        <v>1701</v>
      </c>
      <c r="D25" t="s">
        <v>1712</v>
      </c>
      <c r="E25" t="s">
        <v>300</v>
      </c>
      <c r="F25" s="5">
        <v>119.9</v>
      </c>
      <c r="G25" t="s">
        <v>299</v>
      </c>
      <c r="H25" s="3">
        <v>19</v>
      </c>
      <c r="I25" s="3">
        <v>17</v>
      </c>
      <c r="J25" s="3">
        <v>17</v>
      </c>
      <c r="K25" s="3">
        <v>5.28</v>
      </c>
      <c r="L25">
        <f t="shared" si="0"/>
        <v>5.4910000000000002E-3</v>
      </c>
      <c r="M25">
        <f t="shared" si="5"/>
        <v>8.7856000000000005</v>
      </c>
      <c r="N25" s="8">
        <v>1600</v>
      </c>
      <c r="O25" s="14">
        <f t="shared" si="1"/>
        <v>191840</v>
      </c>
      <c r="P25" s="3">
        <v>10</v>
      </c>
      <c r="Q25" s="8">
        <f t="shared" si="2"/>
        <v>160</v>
      </c>
      <c r="R25" s="8">
        <f t="shared" si="3"/>
        <v>533.33333333333337</v>
      </c>
      <c r="S25" s="8">
        <f t="shared" si="4"/>
        <v>693.33333333333337</v>
      </c>
      <c r="T25" s="17" t="e">
        <f t="shared" si="6"/>
        <v>#REF!</v>
      </c>
      <c r="U25" s="17" t="e">
        <f t="shared" si="7"/>
        <v>#REF!</v>
      </c>
      <c r="V25" s="24" t="s">
        <v>2987</v>
      </c>
    </row>
    <row r="26" spans="1:22" ht="15" customHeight="1" x14ac:dyDescent="0.25">
      <c r="A26" t="s">
        <v>230</v>
      </c>
      <c r="B26" t="s">
        <v>297</v>
      </c>
      <c r="C26" t="s">
        <v>1730</v>
      </c>
      <c r="D26" t="s">
        <v>1744</v>
      </c>
      <c r="E26" t="s">
        <v>298</v>
      </c>
      <c r="F26" s="5">
        <v>105.9</v>
      </c>
      <c r="G26" t="s">
        <v>301</v>
      </c>
      <c r="H26" s="3">
        <v>34</v>
      </c>
      <c r="I26" s="3">
        <v>24</v>
      </c>
      <c r="J26" s="3">
        <v>24</v>
      </c>
      <c r="K26" s="3">
        <v>19</v>
      </c>
      <c r="L26">
        <f t="shared" si="0"/>
        <v>1.9584000000000001E-2</v>
      </c>
      <c r="M26">
        <f t="shared" si="5"/>
        <v>35.251200000000004</v>
      </c>
      <c r="N26" s="8">
        <v>1800</v>
      </c>
      <c r="O26" s="14">
        <f t="shared" si="1"/>
        <v>190620</v>
      </c>
      <c r="P26" s="3">
        <v>10</v>
      </c>
      <c r="Q26" s="8">
        <f t="shared" si="2"/>
        <v>180</v>
      </c>
      <c r="R26" s="8">
        <f t="shared" si="3"/>
        <v>600</v>
      </c>
      <c r="S26" s="8">
        <f t="shared" si="4"/>
        <v>780</v>
      </c>
      <c r="T26" s="17" t="e">
        <f t="shared" si="6"/>
        <v>#REF!</v>
      </c>
      <c r="U26" s="17" t="e">
        <f t="shared" si="7"/>
        <v>#REF!</v>
      </c>
      <c r="V26" s="24" t="s">
        <v>2987</v>
      </c>
    </row>
    <row r="27" spans="1:22" ht="15" customHeight="1" x14ac:dyDescent="0.25">
      <c r="A27" t="s">
        <v>230</v>
      </c>
      <c r="B27" t="s">
        <v>286</v>
      </c>
      <c r="C27" t="s">
        <v>1547</v>
      </c>
      <c r="D27" t="s">
        <v>1548</v>
      </c>
      <c r="E27" t="s">
        <v>234</v>
      </c>
      <c r="F27" s="5">
        <v>778</v>
      </c>
      <c r="G27" t="s">
        <v>1550</v>
      </c>
      <c r="H27" s="3">
        <v>22</v>
      </c>
      <c r="I27" s="3">
        <v>11.5</v>
      </c>
      <c r="J27" s="3">
        <v>11.5</v>
      </c>
      <c r="K27" s="3">
        <v>20.350000000000001</v>
      </c>
      <c r="L27">
        <f t="shared" si="0"/>
        <v>2.9095000000000002E-3</v>
      </c>
      <c r="M27">
        <f t="shared" si="5"/>
        <v>0.69828000000000001</v>
      </c>
      <c r="N27" s="8">
        <v>240</v>
      </c>
      <c r="O27" s="14">
        <f t="shared" si="1"/>
        <v>186720</v>
      </c>
      <c r="P27" s="3">
        <v>30</v>
      </c>
      <c r="Q27" s="8">
        <f t="shared" si="2"/>
        <v>8</v>
      </c>
      <c r="R27" s="8">
        <f t="shared" si="3"/>
        <v>240</v>
      </c>
      <c r="S27" s="8">
        <f t="shared" si="4"/>
        <v>248</v>
      </c>
      <c r="T27" s="17" t="e">
        <f t="shared" si="6"/>
        <v>#REF!</v>
      </c>
      <c r="U27" s="17" t="e">
        <f t="shared" si="7"/>
        <v>#REF!</v>
      </c>
      <c r="V27" s="24" t="s">
        <v>2987</v>
      </c>
    </row>
    <row r="28" spans="1:22" ht="15" customHeight="1" x14ac:dyDescent="0.25">
      <c r="A28" t="s">
        <v>230</v>
      </c>
      <c r="B28" t="s">
        <v>297</v>
      </c>
      <c r="C28" t="s">
        <v>1747</v>
      </c>
      <c r="D28" t="s">
        <v>1751</v>
      </c>
      <c r="E28" t="s">
        <v>300</v>
      </c>
      <c r="F28" s="5">
        <v>76.599999999999994</v>
      </c>
      <c r="G28" t="s">
        <v>1749</v>
      </c>
      <c r="H28" s="3">
        <v>19</v>
      </c>
      <c r="I28" s="3">
        <v>17</v>
      </c>
      <c r="J28" s="3">
        <v>17</v>
      </c>
      <c r="K28" s="3">
        <v>5.28</v>
      </c>
      <c r="L28">
        <f t="shared" si="0"/>
        <v>5.4910000000000002E-3</v>
      </c>
      <c r="M28">
        <f t="shared" si="5"/>
        <v>13.1784</v>
      </c>
      <c r="N28" s="8">
        <v>2400</v>
      </c>
      <c r="O28" s="14">
        <f t="shared" si="1"/>
        <v>183840</v>
      </c>
      <c r="P28" s="3">
        <v>10</v>
      </c>
      <c r="Q28" s="8">
        <f t="shared" si="2"/>
        <v>240</v>
      </c>
      <c r="R28" s="8">
        <f t="shared" si="3"/>
        <v>800</v>
      </c>
      <c r="S28" s="8">
        <f t="shared" si="4"/>
        <v>1040</v>
      </c>
      <c r="T28" s="17" t="e">
        <f t="shared" si="6"/>
        <v>#REF!</v>
      </c>
      <c r="U28" s="17" t="e">
        <f t="shared" si="7"/>
        <v>#REF!</v>
      </c>
      <c r="V28" s="24" t="s">
        <v>2987</v>
      </c>
    </row>
    <row r="29" spans="1:22" ht="15" customHeight="1" x14ac:dyDescent="0.25">
      <c r="A29" t="s">
        <v>230</v>
      </c>
      <c r="B29" t="s">
        <v>297</v>
      </c>
      <c r="C29" t="s">
        <v>1701</v>
      </c>
      <c r="D29" t="s">
        <v>1704</v>
      </c>
      <c r="E29" t="s">
        <v>298</v>
      </c>
      <c r="F29" s="5">
        <v>150</v>
      </c>
      <c r="G29" t="s">
        <v>302</v>
      </c>
      <c r="H29" s="3">
        <v>34</v>
      </c>
      <c r="I29" s="3">
        <v>24</v>
      </c>
      <c r="J29" s="3">
        <v>24</v>
      </c>
      <c r="K29" s="3">
        <v>19</v>
      </c>
      <c r="L29">
        <f t="shared" si="0"/>
        <v>1.9584000000000001E-2</v>
      </c>
      <c r="M29">
        <f t="shared" si="5"/>
        <v>23.500800000000002</v>
      </c>
      <c r="N29" s="8">
        <v>1200</v>
      </c>
      <c r="O29" s="14">
        <f t="shared" si="1"/>
        <v>180000</v>
      </c>
      <c r="P29" s="3">
        <v>10</v>
      </c>
      <c r="Q29" s="8">
        <f t="shared" si="2"/>
        <v>120</v>
      </c>
      <c r="R29" s="8">
        <f t="shared" si="3"/>
        <v>400</v>
      </c>
      <c r="S29" s="8">
        <f t="shared" si="4"/>
        <v>520</v>
      </c>
      <c r="T29" s="17" t="e">
        <f t="shared" si="6"/>
        <v>#REF!</v>
      </c>
      <c r="U29" s="17" t="e">
        <f t="shared" si="7"/>
        <v>#REF!</v>
      </c>
      <c r="V29" s="24" t="s">
        <v>2987</v>
      </c>
    </row>
    <row r="30" spans="1:22" ht="15" customHeight="1" x14ac:dyDescent="0.25">
      <c r="A30" t="s">
        <v>230</v>
      </c>
      <c r="B30" t="s">
        <v>297</v>
      </c>
      <c r="C30" t="s">
        <v>1701</v>
      </c>
      <c r="D30" t="s">
        <v>1707</v>
      </c>
      <c r="E30" t="s">
        <v>298</v>
      </c>
      <c r="F30" s="5">
        <v>150</v>
      </c>
      <c r="G30" t="s">
        <v>302</v>
      </c>
      <c r="H30" s="3">
        <v>34</v>
      </c>
      <c r="I30" s="3">
        <v>24</v>
      </c>
      <c r="J30" s="3">
        <v>24</v>
      </c>
      <c r="K30" s="3">
        <v>19</v>
      </c>
      <c r="L30">
        <f t="shared" si="0"/>
        <v>1.9584000000000001E-2</v>
      </c>
      <c r="M30">
        <f t="shared" si="5"/>
        <v>23.500800000000002</v>
      </c>
      <c r="N30" s="8">
        <v>1200</v>
      </c>
      <c r="O30" s="14">
        <f t="shared" si="1"/>
        <v>180000</v>
      </c>
      <c r="P30" s="3">
        <v>10</v>
      </c>
      <c r="Q30" s="8">
        <f t="shared" si="2"/>
        <v>120</v>
      </c>
      <c r="R30" s="8">
        <f t="shared" si="3"/>
        <v>400</v>
      </c>
      <c r="S30" s="8">
        <f t="shared" si="4"/>
        <v>520</v>
      </c>
      <c r="T30" s="17" t="e">
        <f t="shared" si="6"/>
        <v>#REF!</v>
      </c>
      <c r="U30" s="17" t="e">
        <f t="shared" si="7"/>
        <v>#REF!</v>
      </c>
      <c r="V30" s="24" t="s">
        <v>2987</v>
      </c>
    </row>
    <row r="31" spans="1:22" ht="15" customHeight="1" x14ac:dyDescent="0.25">
      <c r="A31" t="s">
        <v>230</v>
      </c>
      <c r="B31" t="s">
        <v>297</v>
      </c>
      <c r="C31" t="s">
        <v>1730</v>
      </c>
      <c r="D31" t="s">
        <v>1735</v>
      </c>
      <c r="E31" t="s">
        <v>298</v>
      </c>
      <c r="F31" s="5">
        <v>109.4</v>
      </c>
      <c r="G31" t="s">
        <v>299</v>
      </c>
      <c r="H31" s="3">
        <v>34</v>
      </c>
      <c r="I31" s="3">
        <v>24</v>
      </c>
      <c r="J31" s="3">
        <v>24</v>
      </c>
      <c r="K31" s="3">
        <v>19</v>
      </c>
      <c r="L31">
        <f t="shared" si="0"/>
        <v>1.9584000000000001E-2</v>
      </c>
      <c r="M31">
        <f t="shared" si="5"/>
        <v>31.334400000000002</v>
      </c>
      <c r="N31" s="8">
        <v>1600</v>
      </c>
      <c r="O31" s="14">
        <f t="shared" si="1"/>
        <v>175040</v>
      </c>
      <c r="P31" s="3">
        <v>10</v>
      </c>
      <c r="Q31" s="8">
        <f t="shared" si="2"/>
        <v>160</v>
      </c>
      <c r="R31" s="8">
        <f t="shared" si="3"/>
        <v>533.33333333333337</v>
      </c>
      <c r="S31" s="8">
        <f t="shared" si="4"/>
        <v>693.33333333333337</v>
      </c>
      <c r="T31" s="17" t="e">
        <f t="shared" si="6"/>
        <v>#REF!</v>
      </c>
      <c r="U31" s="17" t="e">
        <f t="shared" si="7"/>
        <v>#REF!</v>
      </c>
      <c r="V31" s="24" t="s">
        <v>2987</v>
      </c>
    </row>
    <row r="32" spans="1:22" ht="15" customHeight="1" x14ac:dyDescent="0.25">
      <c r="A32" t="s">
        <v>230</v>
      </c>
      <c r="B32" t="s">
        <v>297</v>
      </c>
      <c r="C32" t="s">
        <v>1701</v>
      </c>
      <c r="D32" t="s">
        <v>1713</v>
      </c>
      <c r="E32" t="s">
        <v>298</v>
      </c>
      <c r="F32" s="5">
        <v>145</v>
      </c>
      <c r="G32" t="s">
        <v>301</v>
      </c>
      <c r="H32" s="3">
        <v>34</v>
      </c>
      <c r="I32" s="3">
        <v>24</v>
      </c>
      <c r="J32" s="3">
        <v>24</v>
      </c>
      <c r="K32" s="3">
        <v>19</v>
      </c>
      <c r="L32">
        <f t="shared" si="0"/>
        <v>1.9584000000000001E-2</v>
      </c>
      <c r="M32">
        <f t="shared" si="5"/>
        <v>23.500800000000002</v>
      </c>
      <c r="N32" s="8">
        <v>1200</v>
      </c>
      <c r="O32" s="14">
        <f t="shared" si="1"/>
        <v>174000</v>
      </c>
      <c r="P32" s="3">
        <v>10</v>
      </c>
      <c r="Q32" s="8">
        <f t="shared" si="2"/>
        <v>120</v>
      </c>
      <c r="R32" s="8">
        <f t="shared" si="3"/>
        <v>400</v>
      </c>
      <c r="S32" s="8">
        <f t="shared" si="4"/>
        <v>520</v>
      </c>
      <c r="T32" s="17" t="e">
        <f t="shared" si="6"/>
        <v>#REF!</v>
      </c>
      <c r="U32" s="17" t="e">
        <f t="shared" si="7"/>
        <v>#REF!</v>
      </c>
      <c r="V32" s="24" t="s">
        <v>2987</v>
      </c>
    </row>
    <row r="33" spans="1:22" ht="15" customHeight="1" x14ac:dyDescent="0.25">
      <c r="A33" t="s">
        <v>230</v>
      </c>
      <c r="B33" t="s">
        <v>297</v>
      </c>
      <c r="C33" t="s">
        <v>1730</v>
      </c>
      <c r="D33" t="s">
        <v>1741</v>
      </c>
      <c r="E33" t="s">
        <v>298</v>
      </c>
      <c r="F33" s="5">
        <v>105.9</v>
      </c>
      <c r="G33" t="s">
        <v>301</v>
      </c>
      <c r="H33" s="3">
        <v>34</v>
      </c>
      <c r="I33" s="3">
        <v>24</v>
      </c>
      <c r="J33" s="3">
        <v>24</v>
      </c>
      <c r="K33" s="3">
        <v>19</v>
      </c>
      <c r="L33">
        <f t="shared" si="0"/>
        <v>1.9584000000000001E-2</v>
      </c>
      <c r="M33">
        <f t="shared" si="5"/>
        <v>31.334400000000002</v>
      </c>
      <c r="N33" s="8">
        <v>1600</v>
      </c>
      <c r="O33" s="14">
        <f t="shared" si="1"/>
        <v>169440</v>
      </c>
      <c r="P33" s="3">
        <v>10</v>
      </c>
      <c r="Q33" s="8">
        <f t="shared" si="2"/>
        <v>160</v>
      </c>
      <c r="R33" s="8">
        <f t="shared" si="3"/>
        <v>533.33333333333337</v>
      </c>
      <c r="S33" s="8">
        <f t="shared" si="4"/>
        <v>693.33333333333337</v>
      </c>
      <c r="T33" s="17" t="e">
        <f t="shared" si="6"/>
        <v>#REF!</v>
      </c>
      <c r="U33" s="17" t="e">
        <f t="shared" si="7"/>
        <v>#REF!</v>
      </c>
      <c r="V33" s="24" t="s">
        <v>2987</v>
      </c>
    </row>
    <row r="34" spans="1:22" ht="15" customHeight="1" x14ac:dyDescent="0.25">
      <c r="A34" t="s">
        <v>230</v>
      </c>
      <c r="B34" t="s">
        <v>297</v>
      </c>
      <c r="C34" t="s">
        <v>1730</v>
      </c>
      <c r="D34" t="s">
        <v>1745</v>
      </c>
      <c r="E34" t="s">
        <v>298</v>
      </c>
      <c r="F34" s="5">
        <v>105.9</v>
      </c>
      <c r="G34" t="s">
        <v>301</v>
      </c>
      <c r="H34" s="3">
        <v>34</v>
      </c>
      <c r="I34" s="3">
        <v>24</v>
      </c>
      <c r="J34" s="3">
        <v>24</v>
      </c>
      <c r="K34" s="3">
        <v>19</v>
      </c>
      <c r="L34">
        <f t="shared" si="0"/>
        <v>1.9584000000000001E-2</v>
      </c>
      <c r="M34">
        <f t="shared" si="5"/>
        <v>31.334400000000002</v>
      </c>
      <c r="N34" s="8">
        <v>1600</v>
      </c>
      <c r="O34" s="14">
        <f t="shared" si="1"/>
        <v>169440</v>
      </c>
      <c r="P34" s="3">
        <v>10</v>
      </c>
      <c r="Q34" s="8">
        <f t="shared" si="2"/>
        <v>160</v>
      </c>
      <c r="R34" s="8">
        <f t="shared" si="3"/>
        <v>533.33333333333337</v>
      </c>
      <c r="S34" s="8">
        <f t="shared" si="4"/>
        <v>693.33333333333337</v>
      </c>
      <c r="T34" s="17" t="e">
        <f t="shared" si="6"/>
        <v>#REF!</v>
      </c>
      <c r="U34" s="17" t="e">
        <f t="shared" si="7"/>
        <v>#REF!</v>
      </c>
      <c r="V34" s="24" t="s">
        <v>2987</v>
      </c>
    </row>
    <row r="35" spans="1:22" ht="15" customHeight="1" x14ac:dyDescent="0.25">
      <c r="A35" t="s">
        <v>230</v>
      </c>
      <c r="B35" t="s">
        <v>297</v>
      </c>
      <c r="C35" t="s">
        <v>1730</v>
      </c>
      <c r="D35" t="s">
        <v>1746</v>
      </c>
      <c r="E35" t="s">
        <v>298</v>
      </c>
      <c r="F35" s="5">
        <v>105.9</v>
      </c>
      <c r="G35" t="s">
        <v>301</v>
      </c>
      <c r="H35" s="3">
        <v>34</v>
      </c>
      <c r="I35" s="3">
        <v>24</v>
      </c>
      <c r="J35" s="3">
        <v>24</v>
      </c>
      <c r="K35" s="3">
        <v>19</v>
      </c>
      <c r="L35">
        <f t="shared" si="0"/>
        <v>1.9584000000000001E-2</v>
      </c>
      <c r="M35">
        <f t="shared" si="5"/>
        <v>31.334400000000002</v>
      </c>
      <c r="N35" s="8">
        <v>1600</v>
      </c>
      <c r="O35" s="14">
        <f t="shared" si="1"/>
        <v>169440</v>
      </c>
      <c r="P35" s="3">
        <v>10</v>
      </c>
      <c r="Q35" s="8">
        <f t="shared" si="2"/>
        <v>160</v>
      </c>
      <c r="R35" s="8">
        <f t="shared" si="3"/>
        <v>533.33333333333337</v>
      </c>
      <c r="S35" s="8">
        <f t="shared" si="4"/>
        <v>693.33333333333337</v>
      </c>
      <c r="T35" s="17" t="e">
        <f t="shared" si="6"/>
        <v>#REF!</v>
      </c>
      <c r="U35" s="17" t="e">
        <f t="shared" si="7"/>
        <v>#REF!</v>
      </c>
      <c r="V35" s="24" t="s">
        <v>2987</v>
      </c>
    </row>
    <row r="36" spans="1:22" ht="15" customHeight="1" x14ac:dyDescent="0.25">
      <c r="A36" t="s">
        <v>230</v>
      </c>
      <c r="B36" t="s">
        <v>1408</v>
      </c>
      <c r="C36" t="s">
        <v>1483</v>
      </c>
      <c r="D36" s="12">
        <v>65294</v>
      </c>
      <c r="E36" t="s">
        <v>833</v>
      </c>
      <c r="F36" s="5">
        <v>29.9</v>
      </c>
      <c r="G36" t="s">
        <v>1478</v>
      </c>
      <c r="H36" s="3">
        <v>10</v>
      </c>
      <c r="I36" s="3">
        <v>8</v>
      </c>
      <c r="J36" s="3">
        <v>8</v>
      </c>
      <c r="K36" s="3">
        <v>0.3</v>
      </c>
      <c r="L36">
        <f t="shared" si="0"/>
        <v>6.4000000000000005E-4</v>
      </c>
      <c r="M36">
        <v>3.5</v>
      </c>
      <c r="N36" s="8">
        <f>M36/L36</f>
        <v>5468.75</v>
      </c>
      <c r="O36" s="14">
        <f t="shared" si="1"/>
        <v>163515.625</v>
      </c>
      <c r="P36" s="3">
        <v>10</v>
      </c>
      <c r="Q36" s="8">
        <f t="shared" si="2"/>
        <v>546.875</v>
      </c>
      <c r="R36" s="8">
        <f t="shared" si="3"/>
        <v>1822.9166666666665</v>
      </c>
      <c r="S36" s="8">
        <f t="shared" si="4"/>
        <v>2369.7916666666665</v>
      </c>
      <c r="T36" s="17" t="e">
        <f t="shared" si="6"/>
        <v>#REF!</v>
      </c>
      <c r="U36" s="17" t="e">
        <f t="shared" si="7"/>
        <v>#REF!</v>
      </c>
      <c r="V36" s="24" t="s">
        <v>2987</v>
      </c>
    </row>
    <row r="37" spans="1:22" ht="15" customHeight="1" x14ac:dyDescent="0.25">
      <c r="A37" t="s">
        <v>230</v>
      </c>
      <c r="B37" t="s">
        <v>1408</v>
      </c>
      <c r="C37" t="s">
        <v>1484</v>
      </c>
      <c r="D37" t="s">
        <v>1485</v>
      </c>
      <c r="E37" t="s">
        <v>833</v>
      </c>
      <c r="F37" s="5">
        <v>49.9</v>
      </c>
      <c r="G37" t="s">
        <v>1478</v>
      </c>
      <c r="H37" s="3">
        <v>10</v>
      </c>
      <c r="I37" s="3">
        <v>8</v>
      </c>
      <c r="J37" s="3">
        <v>10</v>
      </c>
      <c r="K37" s="3">
        <v>1</v>
      </c>
      <c r="L37">
        <f t="shared" si="0"/>
        <v>8.0000000000000004E-4</v>
      </c>
      <c r="M37">
        <v>2.5</v>
      </c>
      <c r="N37" s="8">
        <f>M37/L37</f>
        <v>3125</v>
      </c>
      <c r="O37" s="14">
        <f t="shared" si="1"/>
        <v>155937.5</v>
      </c>
      <c r="P37" s="3">
        <v>10</v>
      </c>
      <c r="Q37" s="8">
        <f t="shared" si="2"/>
        <v>312.5</v>
      </c>
      <c r="R37" s="8">
        <f t="shared" si="3"/>
        <v>1041.6666666666667</v>
      </c>
      <c r="S37" s="8">
        <f t="shared" si="4"/>
        <v>1354.1666666666667</v>
      </c>
      <c r="T37" s="17" t="e">
        <f t="shared" si="6"/>
        <v>#REF!</v>
      </c>
      <c r="U37" s="17" t="e">
        <f t="shared" si="7"/>
        <v>#REF!</v>
      </c>
      <c r="V37" s="24" t="s">
        <v>2987</v>
      </c>
    </row>
    <row r="38" spans="1:22" ht="15" customHeight="1" x14ac:dyDescent="0.25">
      <c r="A38" t="s">
        <v>230</v>
      </c>
      <c r="B38" t="s">
        <v>286</v>
      </c>
      <c r="C38" t="s">
        <v>1544</v>
      </c>
      <c r="D38" t="s">
        <v>1545</v>
      </c>
      <c r="E38" t="s">
        <v>234</v>
      </c>
      <c r="F38" s="5">
        <v>630.4</v>
      </c>
      <c r="G38" t="s">
        <v>1546</v>
      </c>
      <c r="H38" s="3">
        <v>22</v>
      </c>
      <c r="I38" s="3">
        <v>17</v>
      </c>
      <c r="J38" s="3">
        <v>17</v>
      </c>
      <c r="K38" s="3">
        <v>20.350000000000001</v>
      </c>
      <c r="L38">
        <f t="shared" si="0"/>
        <v>6.3579999999999999E-3</v>
      </c>
      <c r="M38">
        <f>L38*N38</f>
        <v>1.5259199999999999</v>
      </c>
      <c r="N38" s="8">
        <v>240</v>
      </c>
      <c r="O38" s="14">
        <f t="shared" si="1"/>
        <v>151296</v>
      </c>
      <c r="P38" s="3">
        <v>30</v>
      </c>
      <c r="Q38" s="8">
        <f t="shared" si="2"/>
        <v>8</v>
      </c>
      <c r="R38" s="8">
        <f t="shared" si="3"/>
        <v>240</v>
      </c>
      <c r="S38" s="8">
        <f t="shared" si="4"/>
        <v>248</v>
      </c>
      <c r="T38" s="17" t="e">
        <f t="shared" si="6"/>
        <v>#REF!</v>
      </c>
      <c r="U38" s="17" t="e">
        <f t="shared" si="7"/>
        <v>#REF!</v>
      </c>
      <c r="V38" s="24" t="s">
        <v>2987</v>
      </c>
    </row>
    <row r="39" spans="1:22" ht="15" customHeight="1" x14ac:dyDescent="0.25">
      <c r="A39" t="s">
        <v>230</v>
      </c>
      <c r="B39" t="s">
        <v>297</v>
      </c>
      <c r="C39" t="s">
        <v>1701</v>
      </c>
      <c r="D39" t="s">
        <v>1709</v>
      </c>
      <c r="E39" t="s">
        <v>298</v>
      </c>
      <c r="F39" s="5">
        <v>120</v>
      </c>
      <c r="G39" t="s">
        <v>302</v>
      </c>
      <c r="H39" s="3">
        <v>34</v>
      </c>
      <c r="I39" s="3">
        <v>24</v>
      </c>
      <c r="J39" s="3">
        <v>24</v>
      </c>
      <c r="K39" s="3">
        <v>19</v>
      </c>
      <c r="L39">
        <f t="shared" si="0"/>
        <v>1.9584000000000001E-2</v>
      </c>
      <c r="M39">
        <f>L39*N39</f>
        <v>23.500800000000002</v>
      </c>
      <c r="N39" s="8">
        <v>1200</v>
      </c>
      <c r="O39" s="14">
        <f t="shared" si="1"/>
        <v>144000</v>
      </c>
      <c r="P39" s="3">
        <v>10</v>
      </c>
      <c r="Q39" s="8">
        <f t="shared" si="2"/>
        <v>120</v>
      </c>
      <c r="R39" s="8">
        <f t="shared" si="3"/>
        <v>400</v>
      </c>
      <c r="S39" s="8">
        <f t="shared" si="4"/>
        <v>520</v>
      </c>
      <c r="T39" s="17" t="e">
        <f t="shared" si="6"/>
        <v>#REF!</v>
      </c>
      <c r="U39" s="17" t="e">
        <f t="shared" si="7"/>
        <v>#REF!</v>
      </c>
      <c r="V39" s="24" t="s">
        <v>2987</v>
      </c>
    </row>
    <row r="40" spans="1:22" ht="15" customHeight="1" x14ac:dyDescent="0.25">
      <c r="A40" t="s">
        <v>230</v>
      </c>
      <c r="B40" t="s">
        <v>297</v>
      </c>
      <c r="C40" t="s">
        <v>1701</v>
      </c>
      <c r="D40" t="s">
        <v>1706</v>
      </c>
      <c r="E40" t="s">
        <v>300</v>
      </c>
      <c r="F40" s="5">
        <v>84.5</v>
      </c>
      <c r="G40" t="s">
        <v>302</v>
      </c>
      <c r="H40" s="3">
        <v>19</v>
      </c>
      <c r="I40" s="3">
        <v>17</v>
      </c>
      <c r="J40" s="3">
        <v>17</v>
      </c>
      <c r="K40" s="3">
        <v>5.28</v>
      </c>
      <c r="L40">
        <f t="shared" si="0"/>
        <v>5.4910000000000002E-3</v>
      </c>
      <c r="M40">
        <f>L40*N40</f>
        <v>8.7856000000000005</v>
      </c>
      <c r="N40" s="8">
        <v>1600</v>
      </c>
      <c r="O40" s="14">
        <f t="shared" si="1"/>
        <v>135200</v>
      </c>
      <c r="P40" s="3">
        <v>10</v>
      </c>
      <c r="Q40" s="8">
        <f t="shared" si="2"/>
        <v>160</v>
      </c>
      <c r="R40" s="8">
        <f t="shared" si="3"/>
        <v>533.33333333333337</v>
      </c>
      <c r="S40" s="8">
        <f t="shared" si="4"/>
        <v>693.33333333333337</v>
      </c>
      <c r="T40" s="17" t="e">
        <f t="shared" si="6"/>
        <v>#REF!</v>
      </c>
      <c r="U40" s="17" t="e">
        <f t="shared" si="7"/>
        <v>#REF!</v>
      </c>
      <c r="V40" s="24" t="s">
        <v>2987</v>
      </c>
    </row>
    <row r="41" spans="1:22" ht="15" customHeight="1" x14ac:dyDescent="0.25">
      <c r="A41" t="s">
        <v>230</v>
      </c>
      <c r="B41" t="s">
        <v>1408</v>
      </c>
      <c r="C41" t="s">
        <v>1457</v>
      </c>
      <c r="D41" t="s">
        <v>1458</v>
      </c>
      <c r="E41" t="s">
        <v>833</v>
      </c>
      <c r="F41" s="5">
        <v>149.5</v>
      </c>
      <c r="G41" t="s">
        <v>1459</v>
      </c>
      <c r="H41" s="3">
        <v>35</v>
      </c>
      <c r="I41" s="3">
        <v>20</v>
      </c>
      <c r="J41" s="3">
        <v>20</v>
      </c>
      <c r="K41" s="3">
        <v>1.2</v>
      </c>
      <c r="L41">
        <f t="shared" si="0"/>
        <v>1.4E-2</v>
      </c>
      <c r="M41">
        <v>12.5</v>
      </c>
      <c r="N41" s="8">
        <f>M41/L41</f>
        <v>892.85714285714289</v>
      </c>
      <c r="O41" s="14">
        <f t="shared" si="1"/>
        <v>133482.14285714287</v>
      </c>
      <c r="P41" s="3">
        <v>10</v>
      </c>
      <c r="Q41" s="8">
        <f t="shared" si="2"/>
        <v>89.285714285714292</v>
      </c>
      <c r="R41" s="8">
        <f t="shared" si="3"/>
        <v>297.61904761904765</v>
      </c>
      <c r="S41" s="8">
        <f t="shared" si="4"/>
        <v>386.90476190476193</v>
      </c>
      <c r="T41" s="17" t="e">
        <f t="shared" si="6"/>
        <v>#REF!</v>
      </c>
      <c r="U41" s="17" t="e">
        <f t="shared" si="7"/>
        <v>#REF!</v>
      </c>
      <c r="V41" s="24" t="s">
        <v>2987</v>
      </c>
    </row>
    <row r="42" spans="1:22" ht="15" customHeight="1" x14ac:dyDescent="0.25">
      <c r="A42" t="s">
        <v>230</v>
      </c>
      <c r="B42" t="s">
        <v>297</v>
      </c>
      <c r="C42" t="s">
        <v>1696</v>
      </c>
      <c r="D42" t="s">
        <v>1697</v>
      </c>
      <c r="E42" t="s">
        <v>300</v>
      </c>
      <c r="F42" s="5">
        <v>79.900000000000006</v>
      </c>
      <c r="G42" t="s">
        <v>299</v>
      </c>
      <c r="H42" s="3">
        <v>19</v>
      </c>
      <c r="I42" s="3">
        <v>17</v>
      </c>
      <c r="J42" s="3">
        <v>17</v>
      </c>
      <c r="K42" s="3">
        <v>5.28</v>
      </c>
      <c r="L42">
        <f t="shared" si="0"/>
        <v>5.4910000000000002E-3</v>
      </c>
      <c r="M42">
        <f>L42*N42</f>
        <v>8.7856000000000005</v>
      </c>
      <c r="N42" s="8">
        <v>1600</v>
      </c>
      <c r="O42" s="14">
        <f t="shared" si="1"/>
        <v>127840.00000000001</v>
      </c>
      <c r="P42" s="3">
        <v>10</v>
      </c>
      <c r="Q42" s="8">
        <f t="shared" si="2"/>
        <v>160</v>
      </c>
      <c r="R42" s="8">
        <f t="shared" si="3"/>
        <v>533.33333333333337</v>
      </c>
      <c r="S42" s="8">
        <f t="shared" si="4"/>
        <v>693.33333333333337</v>
      </c>
      <c r="T42" s="17" t="e">
        <f t="shared" si="6"/>
        <v>#REF!</v>
      </c>
      <c r="U42" s="17" t="e">
        <f t="shared" si="7"/>
        <v>#REF!</v>
      </c>
      <c r="V42" s="24" t="s">
        <v>2987</v>
      </c>
    </row>
    <row r="43" spans="1:22" ht="15" customHeight="1" x14ac:dyDescent="0.25">
      <c r="A43" t="s">
        <v>230</v>
      </c>
      <c r="B43" t="s">
        <v>297</v>
      </c>
      <c r="C43" t="s">
        <v>1730</v>
      </c>
      <c r="D43" t="s">
        <v>1734</v>
      </c>
      <c r="E43" t="s">
        <v>298</v>
      </c>
      <c r="F43" s="5">
        <v>105</v>
      </c>
      <c r="G43" t="s">
        <v>299</v>
      </c>
      <c r="H43" s="3">
        <v>34</v>
      </c>
      <c r="I43" s="3">
        <v>24</v>
      </c>
      <c r="J43" s="3">
        <v>24</v>
      </c>
      <c r="K43" s="3">
        <v>19</v>
      </c>
      <c r="L43">
        <f t="shared" si="0"/>
        <v>1.9584000000000001E-2</v>
      </c>
      <c r="M43">
        <f>L43*N43</f>
        <v>23.500800000000002</v>
      </c>
      <c r="N43" s="8">
        <v>1200</v>
      </c>
      <c r="O43" s="14">
        <f t="shared" si="1"/>
        <v>126000</v>
      </c>
      <c r="P43" s="3">
        <v>10</v>
      </c>
      <c r="Q43" s="8">
        <f t="shared" si="2"/>
        <v>120</v>
      </c>
      <c r="R43" s="8">
        <f t="shared" si="3"/>
        <v>400</v>
      </c>
      <c r="S43" s="8">
        <f t="shared" si="4"/>
        <v>520</v>
      </c>
      <c r="T43" s="17" t="e">
        <f t="shared" si="6"/>
        <v>#REF!</v>
      </c>
      <c r="U43" s="17" t="e">
        <f t="shared" si="7"/>
        <v>#REF!</v>
      </c>
      <c r="V43" s="24" t="s">
        <v>2987</v>
      </c>
    </row>
    <row r="44" spans="1:22" ht="15" customHeight="1" x14ac:dyDescent="0.25">
      <c r="A44" t="s">
        <v>230</v>
      </c>
      <c r="B44" t="s">
        <v>1408</v>
      </c>
      <c r="C44" t="s">
        <v>1409</v>
      </c>
      <c r="D44" t="s">
        <v>1410</v>
      </c>
      <c r="E44" t="s">
        <v>833</v>
      </c>
      <c r="F44" s="5">
        <v>78.75</v>
      </c>
      <c r="G44" t="s">
        <v>1412</v>
      </c>
      <c r="H44" s="3">
        <v>3.3</v>
      </c>
      <c r="I44" s="3">
        <v>44</v>
      </c>
      <c r="J44" s="3">
        <v>38.200000000000003</v>
      </c>
      <c r="K44" s="3">
        <v>1.58</v>
      </c>
      <c r="L44">
        <f t="shared" si="0"/>
        <v>5.5466400000000003E-3</v>
      </c>
      <c r="M44">
        <v>8.5</v>
      </c>
      <c r="N44" s="8">
        <f>M44/L44</f>
        <v>1532.4592906696666</v>
      </c>
      <c r="O44" s="14">
        <f t="shared" si="1"/>
        <v>120681.16914023625</v>
      </c>
      <c r="P44" s="3">
        <v>10</v>
      </c>
      <c r="Q44" s="8">
        <f t="shared" si="2"/>
        <v>153.24592906696665</v>
      </c>
      <c r="R44" s="8">
        <f t="shared" si="3"/>
        <v>510.81976355655559</v>
      </c>
      <c r="S44" s="8">
        <f t="shared" si="4"/>
        <v>664.06569262352218</v>
      </c>
      <c r="T44" s="17" t="e">
        <f t="shared" si="6"/>
        <v>#REF!</v>
      </c>
      <c r="U44" s="17" t="e">
        <f t="shared" si="7"/>
        <v>#REF!</v>
      </c>
      <c r="V44" s="24" t="s">
        <v>2987</v>
      </c>
    </row>
    <row r="45" spans="1:22" ht="15" customHeight="1" x14ac:dyDescent="0.25">
      <c r="A45" t="s">
        <v>230</v>
      </c>
      <c r="B45" t="s">
        <v>297</v>
      </c>
      <c r="C45" t="s">
        <v>1747</v>
      </c>
      <c r="D45" t="s">
        <v>1752</v>
      </c>
      <c r="E45" t="s">
        <v>300</v>
      </c>
      <c r="F45" s="5">
        <v>46.9</v>
      </c>
      <c r="G45" t="s">
        <v>1753</v>
      </c>
      <c r="H45" s="3">
        <v>19</v>
      </c>
      <c r="I45" s="3">
        <v>17</v>
      </c>
      <c r="J45" s="3">
        <v>17</v>
      </c>
      <c r="K45" s="3">
        <v>5.28</v>
      </c>
      <c r="L45">
        <f t="shared" si="0"/>
        <v>5.4910000000000002E-3</v>
      </c>
      <c r="M45">
        <f t="shared" ref="M45:M59" si="8">L45*N45</f>
        <v>13.1784</v>
      </c>
      <c r="N45" s="8">
        <v>2400</v>
      </c>
      <c r="O45" s="14">
        <f t="shared" si="1"/>
        <v>112560</v>
      </c>
      <c r="P45" s="3">
        <v>10</v>
      </c>
      <c r="Q45" s="8">
        <f t="shared" si="2"/>
        <v>240</v>
      </c>
      <c r="R45" s="8">
        <f t="shared" si="3"/>
        <v>800</v>
      </c>
      <c r="S45" s="8">
        <f t="shared" si="4"/>
        <v>1040</v>
      </c>
      <c r="T45" s="17" t="e">
        <f t="shared" si="6"/>
        <v>#REF!</v>
      </c>
      <c r="U45" s="17" t="e">
        <f t="shared" si="7"/>
        <v>#REF!</v>
      </c>
      <c r="V45" s="24" t="s">
        <v>2987</v>
      </c>
    </row>
    <row r="46" spans="1:22" ht="15" customHeight="1" x14ac:dyDescent="0.25">
      <c r="A46" t="s">
        <v>230</v>
      </c>
      <c r="B46" t="s">
        <v>297</v>
      </c>
      <c r="C46" t="s">
        <v>1715</v>
      </c>
      <c r="D46" t="s">
        <v>1716</v>
      </c>
      <c r="E46" t="s">
        <v>300</v>
      </c>
      <c r="F46" s="5">
        <v>69.900000000000006</v>
      </c>
      <c r="G46" t="s">
        <v>301</v>
      </c>
      <c r="H46" s="3">
        <v>19</v>
      </c>
      <c r="I46" s="3">
        <v>17</v>
      </c>
      <c r="J46" s="3">
        <v>17</v>
      </c>
      <c r="K46" s="3">
        <v>5.28</v>
      </c>
      <c r="L46">
        <f t="shared" si="0"/>
        <v>5.4910000000000002E-3</v>
      </c>
      <c r="M46">
        <f t="shared" si="8"/>
        <v>8.7856000000000005</v>
      </c>
      <c r="N46" s="8">
        <v>1600</v>
      </c>
      <c r="O46" s="14">
        <f t="shared" si="1"/>
        <v>111840.00000000001</v>
      </c>
      <c r="P46" s="3">
        <v>10</v>
      </c>
      <c r="Q46" s="8">
        <f t="shared" si="2"/>
        <v>160</v>
      </c>
      <c r="R46" s="8">
        <f t="shared" si="3"/>
        <v>533.33333333333337</v>
      </c>
      <c r="S46" s="8">
        <f t="shared" si="4"/>
        <v>693.33333333333337</v>
      </c>
      <c r="T46" s="17" t="e">
        <f t="shared" si="6"/>
        <v>#REF!</v>
      </c>
      <c r="U46" s="17" t="e">
        <f t="shared" si="7"/>
        <v>#REF!</v>
      </c>
      <c r="V46" s="24" t="s">
        <v>2987</v>
      </c>
    </row>
    <row r="47" spans="1:22" ht="15" customHeight="1" x14ac:dyDescent="0.25">
      <c r="A47" t="s">
        <v>230</v>
      </c>
      <c r="B47" t="s">
        <v>297</v>
      </c>
      <c r="C47" t="s">
        <v>1696</v>
      </c>
      <c r="D47" t="s">
        <v>1698</v>
      </c>
      <c r="E47" t="s">
        <v>298</v>
      </c>
      <c r="F47" s="5">
        <v>89.9</v>
      </c>
      <c r="G47" t="s">
        <v>299</v>
      </c>
      <c r="H47" s="3">
        <v>34</v>
      </c>
      <c r="I47" s="3">
        <v>24</v>
      </c>
      <c r="J47" s="3">
        <v>24</v>
      </c>
      <c r="K47" s="3">
        <v>31.1</v>
      </c>
      <c r="L47">
        <f t="shared" si="0"/>
        <v>1.9584000000000001E-2</v>
      </c>
      <c r="M47">
        <f t="shared" si="8"/>
        <v>23.500800000000002</v>
      </c>
      <c r="N47" s="8">
        <v>1200</v>
      </c>
      <c r="O47" s="14">
        <f t="shared" si="1"/>
        <v>107880</v>
      </c>
      <c r="P47" s="3">
        <v>10</v>
      </c>
      <c r="Q47" s="8">
        <f t="shared" si="2"/>
        <v>120</v>
      </c>
      <c r="R47" s="8">
        <f t="shared" si="3"/>
        <v>400</v>
      </c>
      <c r="S47" s="8">
        <f t="shared" si="4"/>
        <v>520</v>
      </c>
      <c r="T47" s="17" t="e">
        <f t="shared" si="6"/>
        <v>#REF!</v>
      </c>
      <c r="U47" s="17" t="e">
        <f t="shared" si="7"/>
        <v>#REF!</v>
      </c>
      <c r="V47" s="24" t="s">
        <v>2987</v>
      </c>
    </row>
    <row r="48" spans="1:22" ht="15" customHeight="1" x14ac:dyDescent="0.25">
      <c r="A48" t="s">
        <v>230</v>
      </c>
      <c r="B48" t="s">
        <v>297</v>
      </c>
      <c r="C48" t="s">
        <v>1715</v>
      </c>
      <c r="D48" t="s">
        <v>1725</v>
      </c>
      <c r="E48" t="s">
        <v>300</v>
      </c>
      <c r="F48" s="5">
        <v>86.9</v>
      </c>
      <c r="G48" t="s">
        <v>1724</v>
      </c>
      <c r="H48" s="3">
        <v>19</v>
      </c>
      <c r="I48" s="3">
        <v>17</v>
      </c>
      <c r="J48" s="3">
        <v>17</v>
      </c>
      <c r="K48" s="3">
        <v>5.28</v>
      </c>
      <c r="L48">
        <f t="shared" si="0"/>
        <v>5.4910000000000002E-3</v>
      </c>
      <c r="M48">
        <f t="shared" si="8"/>
        <v>6.5891999999999999</v>
      </c>
      <c r="N48" s="8">
        <v>1200</v>
      </c>
      <c r="O48" s="14">
        <f t="shared" si="1"/>
        <v>104280</v>
      </c>
      <c r="P48" s="3">
        <v>10</v>
      </c>
      <c r="Q48" s="8">
        <f t="shared" si="2"/>
        <v>120</v>
      </c>
      <c r="R48" s="8">
        <f t="shared" si="3"/>
        <v>400</v>
      </c>
      <c r="S48" s="8">
        <f t="shared" si="4"/>
        <v>520</v>
      </c>
      <c r="T48" s="17" t="e">
        <f t="shared" si="6"/>
        <v>#REF!</v>
      </c>
      <c r="U48" s="17" t="e">
        <f t="shared" si="7"/>
        <v>#REF!</v>
      </c>
      <c r="V48" s="24" t="s">
        <v>2987</v>
      </c>
    </row>
    <row r="49" spans="1:22" ht="15" customHeight="1" x14ac:dyDescent="0.25">
      <c r="A49" t="s">
        <v>230</v>
      </c>
      <c r="B49" t="s">
        <v>297</v>
      </c>
      <c r="C49" t="s">
        <v>1715</v>
      </c>
      <c r="D49" t="s">
        <v>1726</v>
      </c>
      <c r="E49" t="s">
        <v>300</v>
      </c>
      <c r="F49" s="5">
        <v>86.9</v>
      </c>
      <c r="G49" t="s">
        <v>1724</v>
      </c>
      <c r="H49" s="3">
        <v>19</v>
      </c>
      <c r="I49" s="3">
        <v>17</v>
      </c>
      <c r="J49" s="3">
        <v>17</v>
      </c>
      <c r="K49" s="3">
        <v>5.28</v>
      </c>
      <c r="L49">
        <f t="shared" si="0"/>
        <v>5.4910000000000002E-3</v>
      </c>
      <c r="M49">
        <f t="shared" si="8"/>
        <v>6.5891999999999999</v>
      </c>
      <c r="N49" s="8">
        <v>1200</v>
      </c>
      <c r="O49" s="14">
        <f t="shared" si="1"/>
        <v>104280</v>
      </c>
      <c r="P49" s="3">
        <v>10</v>
      </c>
      <c r="Q49" s="8">
        <f t="shared" si="2"/>
        <v>120</v>
      </c>
      <c r="R49" s="8">
        <f t="shared" si="3"/>
        <v>400</v>
      </c>
      <c r="S49" s="8">
        <f t="shared" si="4"/>
        <v>520</v>
      </c>
      <c r="T49" s="17" t="e">
        <f t="shared" si="6"/>
        <v>#REF!</v>
      </c>
      <c r="U49" s="17" t="e">
        <f t="shared" si="7"/>
        <v>#REF!</v>
      </c>
      <c r="V49" s="24" t="s">
        <v>2987</v>
      </c>
    </row>
    <row r="50" spans="1:22" ht="15" customHeight="1" x14ac:dyDescent="0.25">
      <c r="A50" t="s">
        <v>230</v>
      </c>
      <c r="B50" t="s">
        <v>297</v>
      </c>
      <c r="C50" t="s">
        <v>1715</v>
      </c>
      <c r="D50" t="s">
        <v>1717</v>
      </c>
      <c r="E50" t="s">
        <v>300</v>
      </c>
      <c r="F50" s="5">
        <v>63.9</v>
      </c>
      <c r="G50" t="s">
        <v>301</v>
      </c>
      <c r="H50" s="3">
        <v>19</v>
      </c>
      <c r="I50" s="3">
        <v>17</v>
      </c>
      <c r="J50" s="3">
        <v>17</v>
      </c>
      <c r="K50" s="3">
        <v>5.28</v>
      </c>
      <c r="L50">
        <f t="shared" si="0"/>
        <v>5.4910000000000002E-3</v>
      </c>
      <c r="M50">
        <f t="shared" si="8"/>
        <v>8.7856000000000005</v>
      </c>
      <c r="N50" s="8">
        <v>1600</v>
      </c>
      <c r="O50" s="14">
        <f t="shared" si="1"/>
        <v>102240</v>
      </c>
      <c r="P50" s="3">
        <v>10</v>
      </c>
      <c r="Q50" s="8">
        <f t="shared" si="2"/>
        <v>160</v>
      </c>
      <c r="R50" s="8">
        <f t="shared" si="3"/>
        <v>533.33333333333337</v>
      </c>
      <c r="S50" s="8">
        <f t="shared" si="4"/>
        <v>693.33333333333337</v>
      </c>
      <c r="T50" s="17" t="e">
        <f t="shared" si="6"/>
        <v>#REF!</v>
      </c>
      <c r="U50" s="17" t="e">
        <f t="shared" si="7"/>
        <v>#REF!</v>
      </c>
      <c r="V50" s="24" t="s">
        <v>2987</v>
      </c>
    </row>
    <row r="51" spans="1:22" ht="15" customHeight="1" x14ac:dyDescent="0.25">
      <c r="A51" t="s">
        <v>230</v>
      </c>
      <c r="B51" t="s">
        <v>286</v>
      </c>
      <c r="C51" t="s">
        <v>268</v>
      </c>
      <c r="D51" t="s">
        <v>1510</v>
      </c>
      <c r="E51" t="s">
        <v>234</v>
      </c>
      <c r="F51" s="5">
        <v>338</v>
      </c>
      <c r="G51" t="s">
        <v>240</v>
      </c>
      <c r="H51" s="3">
        <v>22</v>
      </c>
      <c r="I51" s="3">
        <v>50</v>
      </c>
      <c r="J51" s="3">
        <v>50</v>
      </c>
      <c r="K51" s="3">
        <v>20.350000000000001</v>
      </c>
      <c r="L51">
        <f t="shared" si="0"/>
        <v>5.5E-2</v>
      </c>
      <c r="M51">
        <f t="shared" si="8"/>
        <v>16.5</v>
      </c>
      <c r="N51" s="8">
        <v>300</v>
      </c>
      <c r="O51" s="14">
        <f t="shared" si="1"/>
        <v>101400</v>
      </c>
      <c r="P51" s="3">
        <v>30</v>
      </c>
      <c r="Q51" s="8">
        <f t="shared" si="2"/>
        <v>10</v>
      </c>
      <c r="R51" s="8">
        <f t="shared" si="3"/>
        <v>300</v>
      </c>
      <c r="S51" s="8">
        <f t="shared" si="4"/>
        <v>310</v>
      </c>
      <c r="T51" s="17" t="e">
        <f t="shared" si="6"/>
        <v>#REF!</v>
      </c>
      <c r="U51" s="17" t="e">
        <f t="shared" si="7"/>
        <v>#REF!</v>
      </c>
      <c r="V51" s="24" t="s">
        <v>2987</v>
      </c>
    </row>
    <row r="52" spans="1:22" ht="15" customHeight="1" x14ac:dyDescent="0.25">
      <c r="A52" t="s">
        <v>230</v>
      </c>
      <c r="B52" t="s">
        <v>297</v>
      </c>
      <c r="C52" t="s">
        <v>1696</v>
      </c>
      <c r="D52" t="s">
        <v>1700</v>
      </c>
      <c r="E52" t="s">
        <v>298</v>
      </c>
      <c r="F52" s="5">
        <v>83.93</v>
      </c>
      <c r="G52" t="s">
        <v>301</v>
      </c>
      <c r="H52" s="3">
        <v>34</v>
      </c>
      <c r="I52" s="3">
        <v>24</v>
      </c>
      <c r="J52" s="3">
        <v>24</v>
      </c>
      <c r="K52" s="3">
        <v>31.1</v>
      </c>
      <c r="L52">
        <f t="shared" si="0"/>
        <v>1.9584000000000001E-2</v>
      </c>
      <c r="M52">
        <f t="shared" si="8"/>
        <v>23.500800000000002</v>
      </c>
      <c r="N52" s="8">
        <v>1200</v>
      </c>
      <c r="O52" s="14">
        <f t="shared" si="1"/>
        <v>100716.00000000001</v>
      </c>
      <c r="P52" s="3">
        <v>10</v>
      </c>
      <c r="Q52" s="8">
        <f t="shared" si="2"/>
        <v>120</v>
      </c>
      <c r="R52" s="8">
        <f t="shared" si="3"/>
        <v>400</v>
      </c>
      <c r="S52" s="8">
        <f t="shared" si="4"/>
        <v>520</v>
      </c>
      <c r="T52" s="17" t="e">
        <f t="shared" si="6"/>
        <v>#REF!</v>
      </c>
      <c r="U52" s="17" t="e">
        <f t="shared" si="7"/>
        <v>#REF!</v>
      </c>
      <c r="V52" s="24" t="s">
        <v>2987</v>
      </c>
    </row>
    <row r="53" spans="1:22" ht="15" customHeight="1" x14ac:dyDescent="0.25">
      <c r="A53" t="s">
        <v>230</v>
      </c>
      <c r="B53" t="s">
        <v>286</v>
      </c>
      <c r="C53" t="s">
        <v>252</v>
      </c>
      <c r="D53" t="s">
        <v>1504</v>
      </c>
      <c r="E53" t="s">
        <v>234</v>
      </c>
      <c r="F53" s="5">
        <v>554</v>
      </c>
      <c r="G53" t="s">
        <v>237</v>
      </c>
      <c r="H53" s="3">
        <v>22</v>
      </c>
      <c r="I53" s="3">
        <v>45</v>
      </c>
      <c r="J53" s="3">
        <v>45</v>
      </c>
      <c r="K53" s="3">
        <v>20.350000000000001</v>
      </c>
      <c r="L53">
        <f t="shared" si="0"/>
        <v>4.4549999999999999E-2</v>
      </c>
      <c r="M53">
        <f t="shared" si="8"/>
        <v>8.0190000000000001</v>
      </c>
      <c r="N53" s="8">
        <v>180</v>
      </c>
      <c r="O53" s="14">
        <f t="shared" si="1"/>
        <v>99720</v>
      </c>
      <c r="P53" s="3">
        <v>30</v>
      </c>
      <c r="Q53" s="8">
        <f t="shared" si="2"/>
        <v>6</v>
      </c>
      <c r="R53" s="8">
        <f t="shared" si="3"/>
        <v>180</v>
      </c>
      <c r="S53" s="8">
        <f t="shared" si="4"/>
        <v>186</v>
      </c>
      <c r="T53" s="17" t="e">
        <f t="shared" si="6"/>
        <v>#REF!</v>
      </c>
      <c r="U53" s="17" t="e">
        <f t="shared" si="7"/>
        <v>#REF!</v>
      </c>
      <c r="V53" s="24" t="s">
        <v>2987</v>
      </c>
    </row>
    <row r="54" spans="1:22" ht="15" customHeight="1" x14ac:dyDescent="0.25">
      <c r="A54" t="s">
        <v>230</v>
      </c>
      <c r="B54" t="s">
        <v>297</v>
      </c>
      <c r="C54" t="s">
        <v>1715</v>
      </c>
      <c r="D54" t="s">
        <v>1719</v>
      </c>
      <c r="E54" t="s">
        <v>300</v>
      </c>
      <c r="F54" s="5">
        <v>81.900000000000006</v>
      </c>
      <c r="G54" t="s">
        <v>299</v>
      </c>
      <c r="H54" s="3">
        <v>19</v>
      </c>
      <c r="I54" s="3">
        <v>17</v>
      </c>
      <c r="J54" s="3">
        <v>17</v>
      </c>
      <c r="K54" s="3">
        <v>5.28</v>
      </c>
      <c r="L54">
        <f t="shared" si="0"/>
        <v>5.4910000000000002E-3</v>
      </c>
      <c r="M54">
        <f t="shared" si="8"/>
        <v>6.5891999999999999</v>
      </c>
      <c r="N54" s="8">
        <v>1200</v>
      </c>
      <c r="O54" s="14">
        <f t="shared" si="1"/>
        <v>98280</v>
      </c>
      <c r="P54" s="3">
        <v>10</v>
      </c>
      <c r="Q54" s="8">
        <f t="shared" si="2"/>
        <v>120</v>
      </c>
      <c r="R54" s="8">
        <f t="shared" si="3"/>
        <v>400</v>
      </c>
      <c r="S54" s="8">
        <f t="shared" si="4"/>
        <v>520</v>
      </c>
      <c r="T54" s="17" t="e">
        <f t="shared" si="6"/>
        <v>#REF!</v>
      </c>
      <c r="U54" s="17" t="e">
        <f t="shared" si="7"/>
        <v>#REF!</v>
      </c>
      <c r="V54" s="26" t="s">
        <v>2982</v>
      </c>
    </row>
    <row r="55" spans="1:22" ht="15" customHeight="1" x14ac:dyDescent="0.25">
      <c r="A55" t="s">
        <v>230</v>
      </c>
      <c r="B55" t="s">
        <v>297</v>
      </c>
      <c r="C55" t="s">
        <v>1715</v>
      </c>
      <c r="D55" t="s">
        <v>1727</v>
      </c>
      <c r="E55" t="s">
        <v>300</v>
      </c>
      <c r="F55" s="5">
        <v>81.900000000000006</v>
      </c>
      <c r="G55" t="s">
        <v>1724</v>
      </c>
      <c r="H55" s="3">
        <v>19</v>
      </c>
      <c r="I55" s="3">
        <v>17</v>
      </c>
      <c r="J55" s="3">
        <v>17</v>
      </c>
      <c r="K55" s="3">
        <v>5.28</v>
      </c>
      <c r="L55">
        <f t="shared" si="0"/>
        <v>5.4910000000000002E-3</v>
      </c>
      <c r="M55">
        <f t="shared" si="8"/>
        <v>6.5891999999999999</v>
      </c>
      <c r="N55" s="8">
        <v>1200</v>
      </c>
      <c r="O55" s="14">
        <f t="shared" si="1"/>
        <v>98280</v>
      </c>
      <c r="P55" s="3">
        <v>10</v>
      </c>
      <c r="Q55" s="8">
        <f t="shared" si="2"/>
        <v>120</v>
      </c>
      <c r="R55" s="8">
        <f t="shared" si="3"/>
        <v>400</v>
      </c>
      <c r="S55" s="8">
        <f t="shared" si="4"/>
        <v>520</v>
      </c>
      <c r="T55" s="17" t="e">
        <f t="shared" si="6"/>
        <v>#REF!</v>
      </c>
      <c r="U55" s="17" t="e">
        <f t="shared" si="7"/>
        <v>#REF!</v>
      </c>
      <c r="V55" s="26" t="s">
        <v>2982</v>
      </c>
    </row>
    <row r="56" spans="1:22" ht="15" customHeight="1" x14ac:dyDescent="0.25">
      <c r="A56" t="s">
        <v>230</v>
      </c>
      <c r="B56" t="s">
        <v>286</v>
      </c>
      <c r="C56" t="s">
        <v>236</v>
      </c>
      <c r="D56" t="s">
        <v>1495</v>
      </c>
      <c r="E56" t="s">
        <v>234</v>
      </c>
      <c r="F56" s="5">
        <v>538</v>
      </c>
      <c r="G56" t="s">
        <v>237</v>
      </c>
      <c r="H56" s="3">
        <v>22</v>
      </c>
      <c r="I56" s="3">
        <v>60</v>
      </c>
      <c r="J56" s="3">
        <v>60</v>
      </c>
      <c r="K56" s="3">
        <v>20.350000000000001</v>
      </c>
      <c r="L56">
        <f t="shared" si="0"/>
        <v>7.9200000000000007E-2</v>
      </c>
      <c r="M56">
        <f t="shared" si="8"/>
        <v>14.256000000000002</v>
      </c>
      <c r="N56" s="8">
        <v>180</v>
      </c>
      <c r="O56" s="14">
        <f t="shared" si="1"/>
        <v>96840</v>
      </c>
      <c r="P56" s="3">
        <v>30</v>
      </c>
      <c r="Q56" s="8">
        <f t="shared" si="2"/>
        <v>6</v>
      </c>
      <c r="R56" s="8">
        <f t="shared" si="3"/>
        <v>180</v>
      </c>
      <c r="S56" s="8">
        <f t="shared" si="4"/>
        <v>186</v>
      </c>
      <c r="T56" s="17" t="e">
        <f t="shared" si="6"/>
        <v>#REF!</v>
      </c>
      <c r="U56" s="17" t="e">
        <f t="shared" si="7"/>
        <v>#REF!</v>
      </c>
      <c r="V56" s="26" t="s">
        <v>2982</v>
      </c>
    </row>
    <row r="57" spans="1:22" ht="15" customHeight="1" x14ac:dyDescent="0.25">
      <c r="A57" t="s">
        <v>230</v>
      </c>
      <c r="B57" t="s">
        <v>297</v>
      </c>
      <c r="C57" t="s">
        <v>1715</v>
      </c>
      <c r="D57" t="s">
        <v>1720</v>
      </c>
      <c r="E57" t="s">
        <v>300</v>
      </c>
      <c r="F57" s="5">
        <v>79.900000000000006</v>
      </c>
      <c r="G57" t="s">
        <v>299</v>
      </c>
      <c r="H57" s="3">
        <v>19</v>
      </c>
      <c r="I57" s="3">
        <v>17</v>
      </c>
      <c r="J57" s="3">
        <v>17</v>
      </c>
      <c r="K57" s="3">
        <v>5.28</v>
      </c>
      <c r="L57">
        <f t="shared" si="0"/>
        <v>5.4910000000000002E-3</v>
      </c>
      <c r="M57">
        <f t="shared" si="8"/>
        <v>6.5891999999999999</v>
      </c>
      <c r="N57" s="8">
        <v>1200</v>
      </c>
      <c r="O57" s="14">
        <f t="shared" si="1"/>
        <v>95880</v>
      </c>
      <c r="P57" s="3">
        <v>10</v>
      </c>
      <c r="Q57" s="8">
        <f t="shared" si="2"/>
        <v>120</v>
      </c>
      <c r="R57" s="8">
        <f t="shared" si="3"/>
        <v>400</v>
      </c>
      <c r="S57" s="8">
        <f t="shared" si="4"/>
        <v>520</v>
      </c>
      <c r="T57" s="17" t="e">
        <f t="shared" si="6"/>
        <v>#REF!</v>
      </c>
      <c r="U57" s="17" t="e">
        <f t="shared" si="7"/>
        <v>#REF!</v>
      </c>
      <c r="V57" s="26" t="s">
        <v>2982</v>
      </c>
    </row>
    <row r="58" spans="1:22" ht="15" customHeight="1" x14ac:dyDescent="0.25">
      <c r="A58" t="s">
        <v>230</v>
      </c>
      <c r="B58" t="s">
        <v>297</v>
      </c>
      <c r="C58" t="s">
        <v>1715</v>
      </c>
      <c r="D58" t="s">
        <v>1722</v>
      </c>
      <c r="E58" t="s">
        <v>300</v>
      </c>
      <c r="F58" s="5">
        <v>79.900000000000006</v>
      </c>
      <c r="G58" t="s">
        <v>299</v>
      </c>
      <c r="H58" s="3">
        <v>19</v>
      </c>
      <c r="I58" s="3">
        <v>17</v>
      </c>
      <c r="J58" s="3">
        <v>17</v>
      </c>
      <c r="K58" s="3">
        <v>5.28</v>
      </c>
      <c r="L58">
        <f t="shared" si="0"/>
        <v>5.4910000000000002E-3</v>
      </c>
      <c r="M58">
        <f t="shared" si="8"/>
        <v>6.5891999999999999</v>
      </c>
      <c r="N58" s="8">
        <v>1200</v>
      </c>
      <c r="O58" s="14">
        <f t="shared" si="1"/>
        <v>95880</v>
      </c>
      <c r="P58" s="3">
        <v>10</v>
      </c>
      <c r="Q58" s="8">
        <f t="shared" si="2"/>
        <v>120</v>
      </c>
      <c r="R58" s="8">
        <f t="shared" si="3"/>
        <v>400</v>
      </c>
      <c r="S58" s="8">
        <f t="shared" si="4"/>
        <v>520</v>
      </c>
      <c r="T58" s="17" t="e">
        <f t="shared" si="6"/>
        <v>#REF!</v>
      </c>
      <c r="U58" s="17" t="e">
        <f t="shared" si="7"/>
        <v>#REF!</v>
      </c>
      <c r="V58" s="26" t="s">
        <v>2982</v>
      </c>
    </row>
    <row r="59" spans="1:22" ht="15" customHeight="1" x14ac:dyDescent="0.25">
      <c r="A59" t="s">
        <v>230</v>
      </c>
      <c r="B59" t="s">
        <v>297</v>
      </c>
      <c r="C59" t="s">
        <v>1715</v>
      </c>
      <c r="D59" t="s">
        <v>1723</v>
      </c>
      <c r="E59" t="s">
        <v>300</v>
      </c>
      <c r="F59" s="5">
        <v>79.900000000000006</v>
      </c>
      <c r="G59" t="s">
        <v>1724</v>
      </c>
      <c r="H59" s="3">
        <v>19</v>
      </c>
      <c r="I59" s="3">
        <v>17</v>
      </c>
      <c r="J59" s="3">
        <v>17</v>
      </c>
      <c r="K59" s="3">
        <v>5.28</v>
      </c>
      <c r="L59">
        <f t="shared" si="0"/>
        <v>5.4910000000000002E-3</v>
      </c>
      <c r="M59">
        <f t="shared" si="8"/>
        <v>6.5891999999999999</v>
      </c>
      <c r="N59" s="8">
        <v>1200</v>
      </c>
      <c r="O59" s="14">
        <f t="shared" si="1"/>
        <v>95880</v>
      </c>
      <c r="P59" s="3">
        <v>10</v>
      </c>
      <c r="Q59" s="8">
        <f t="shared" si="2"/>
        <v>120</v>
      </c>
      <c r="R59" s="8">
        <f t="shared" si="3"/>
        <v>400</v>
      </c>
      <c r="S59" s="8">
        <f t="shared" si="4"/>
        <v>520</v>
      </c>
      <c r="T59" s="17" t="e">
        <f t="shared" si="6"/>
        <v>#REF!</v>
      </c>
      <c r="U59" s="17" t="e">
        <f t="shared" si="7"/>
        <v>#REF!</v>
      </c>
      <c r="V59" s="26" t="s">
        <v>2982</v>
      </c>
    </row>
    <row r="60" spans="1:22" ht="15" customHeight="1" x14ac:dyDescent="0.25">
      <c r="A60" t="s">
        <v>230</v>
      </c>
      <c r="B60" t="s">
        <v>1408</v>
      </c>
      <c r="C60" t="s">
        <v>1481</v>
      </c>
      <c r="D60" t="s">
        <v>1482</v>
      </c>
      <c r="E60" t="s">
        <v>833</v>
      </c>
      <c r="F60" s="5">
        <v>39.9</v>
      </c>
      <c r="G60" t="s">
        <v>1478</v>
      </c>
      <c r="H60" s="3">
        <v>15</v>
      </c>
      <c r="I60" s="3">
        <v>10</v>
      </c>
      <c r="J60" s="3">
        <v>15</v>
      </c>
      <c r="K60" s="3">
        <v>0.4</v>
      </c>
      <c r="L60">
        <f t="shared" si="0"/>
        <v>2.2499999999999998E-3</v>
      </c>
      <c r="M60">
        <v>5.4</v>
      </c>
      <c r="N60" s="8">
        <f>M60/L60</f>
        <v>2400.0000000000005</v>
      </c>
      <c r="O60" s="14">
        <f t="shared" si="1"/>
        <v>95760.000000000015</v>
      </c>
      <c r="P60" s="3">
        <v>10</v>
      </c>
      <c r="Q60" s="8">
        <f t="shared" si="2"/>
        <v>240.00000000000006</v>
      </c>
      <c r="R60" s="8">
        <f t="shared" si="3"/>
        <v>800.00000000000011</v>
      </c>
      <c r="S60" s="8">
        <f t="shared" si="4"/>
        <v>1040.0000000000002</v>
      </c>
      <c r="T60" s="17" t="e">
        <f t="shared" si="6"/>
        <v>#REF!</v>
      </c>
      <c r="U60" s="17" t="e">
        <f t="shared" si="7"/>
        <v>#REF!</v>
      </c>
      <c r="V60" s="26" t="s">
        <v>2982</v>
      </c>
    </row>
    <row r="61" spans="1:22" ht="15" customHeight="1" x14ac:dyDescent="0.25">
      <c r="A61" t="s">
        <v>230</v>
      </c>
      <c r="B61" t="s">
        <v>286</v>
      </c>
      <c r="C61" t="s">
        <v>267</v>
      </c>
      <c r="D61" t="s">
        <v>1514</v>
      </c>
      <c r="E61" t="s">
        <v>234</v>
      </c>
      <c r="F61" s="5">
        <v>316.60000000000002</v>
      </c>
      <c r="G61" t="s">
        <v>240</v>
      </c>
      <c r="H61" s="3">
        <v>22</v>
      </c>
      <c r="I61" s="3">
        <v>45</v>
      </c>
      <c r="J61" s="3">
        <v>45</v>
      </c>
      <c r="K61" s="3">
        <v>20.350000000000001</v>
      </c>
      <c r="L61">
        <f t="shared" si="0"/>
        <v>4.4549999999999999E-2</v>
      </c>
      <c r="M61">
        <f>L61*N61</f>
        <v>13.365</v>
      </c>
      <c r="N61" s="8">
        <v>300</v>
      </c>
      <c r="O61" s="14">
        <f t="shared" si="1"/>
        <v>94980</v>
      </c>
      <c r="P61" s="3">
        <v>30</v>
      </c>
      <c r="Q61" s="8">
        <f t="shared" si="2"/>
        <v>10</v>
      </c>
      <c r="R61" s="8">
        <f t="shared" si="3"/>
        <v>300</v>
      </c>
      <c r="S61" s="8">
        <f t="shared" si="4"/>
        <v>310</v>
      </c>
      <c r="T61" s="17" t="e">
        <f t="shared" si="6"/>
        <v>#REF!</v>
      </c>
      <c r="U61" s="17" t="e">
        <f t="shared" si="7"/>
        <v>#REF!</v>
      </c>
      <c r="V61" s="26" t="s">
        <v>2982</v>
      </c>
    </row>
    <row r="62" spans="1:22" ht="15" customHeight="1" x14ac:dyDescent="0.25">
      <c r="A62" t="s">
        <v>230</v>
      </c>
      <c r="B62" t="s">
        <v>286</v>
      </c>
      <c r="C62" t="s">
        <v>271</v>
      </c>
      <c r="D62" t="s">
        <v>1517</v>
      </c>
      <c r="E62" t="s">
        <v>234</v>
      </c>
      <c r="F62" s="5">
        <v>312.2</v>
      </c>
      <c r="G62" t="s">
        <v>240</v>
      </c>
      <c r="H62" s="3">
        <v>22</v>
      </c>
      <c r="I62" s="3">
        <v>45</v>
      </c>
      <c r="J62" s="3">
        <v>45</v>
      </c>
      <c r="K62" s="3">
        <v>20.350000000000001</v>
      </c>
      <c r="L62">
        <f t="shared" si="0"/>
        <v>4.4549999999999999E-2</v>
      </c>
      <c r="M62">
        <f>L62*N62</f>
        <v>13.365</v>
      </c>
      <c r="N62" s="8">
        <v>300</v>
      </c>
      <c r="O62" s="14">
        <f t="shared" si="1"/>
        <v>93660</v>
      </c>
      <c r="P62" s="3">
        <v>30</v>
      </c>
      <c r="Q62" s="8">
        <f t="shared" si="2"/>
        <v>10</v>
      </c>
      <c r="R62" s="8">
        <f t="shared" si="3"/>
        <v>300</v>
      </c>
      <c r="S62" s="8">
        <f t="shared" si="4"/>
        <v>310</v>
      </c>
      <c r="T62" s="17" t="e">
        <f t="shared" si="6"/>
        <v>#REF!</v>
      </c>
      <c r="U62" s="17" t="e">
        <f t="shared" si="7"/>
        <v>#REF!</v>
      </c>
      <c r="V62" s="26" t="s">
        <v>2982</v>
      </c>
    </row>
    <row r="63" spans="1:22" ht="15" customHeight="1" x14ac:dyDescent="0.25">
      <c r="A63" t="s">
        <v>230</v>
      </c>
      <c r="B63" t="s">
        <v>297</v>
      </c>
      <c r="C63" t="s">
        <v>1715</v>
      </c>
      <c r="D63" t="s">
        <v>1718</v>
      </c>
      <c r="E63" t="s">
        <v>300</v>
      </c>
      <c r="F63" s="5">
        <v>77.900000000000006</v>
      </c>
      <c r="G63" t="s">
        <v>301</v>
      </c>
      <c r="H63" s="3">
        <v>19</v>
      </c>
      <c r="I63" s="3">
        <v>17</v>
      </c>
      <c r="J63" s="3">
        <v>17</v>
      </c>
      <c r="K63" s="3">
        <v>5.28</v>
      </c>
      <c r="L63">
        <f t="shared" si="0"/>
        <v>5.4910000000000002E-3</v>
      </c>
      <c r="M63">
        <f>L63*N63</f>
        <v>6.5891999999999999</v>
      </c>
      <c r="N63" s="8">
        <v>1200</v>
      </c>
      <c r="O63" s="14">
        <f t="shared" si="1"/>
        <v>93480</v>
      </c>
      <c r="P63" s="3">
        <v>10</v>
      </c>
      <c r="Q63" s="8">
        <f t="shared" si="2"/>
        <v>120</v>
      </c>
      <c r="R63" s="8">
        <f t="shared" si="3"/>
        <v>400</v>
      </c>
      <c r="S63" s="8">
        <f t="shared" si="4"/>
        <v>520</v>
      </c>
      <c r="T63" s="17" t="e">
        <f t="shared" si="6"/>
        <v>#REF!</v>
      </c>
      <c r="U63" s="17" t="e">
        <f t="shared" si="7"/>
        <v>#REF!</v>
      </c>
      <c r="V63" s="26" t="s">
        <v>2982</v>
      </c>
    </row>
    <row r="64" spans="1:22" ht="15" customHeight="1" x14ac:dyDescent="0.25">
      <c r="A64" t="s">
        <v>230</v>
      </c>
      <c r="B64" t="s">
        <v>1408</v>
      </c>
      <c r="C64" t="s">
        <v>1479</v>
      </c>
      <c r="D64" t="s">
        <v>1480</v>
      </c>
      <c r="E64" t="s">
        <v>833</v>
      </c>
      <c r="F64" s="5">
        <v>59.9</v>
      </c>
      <c r="G64" t="s">
        <v>1478</v>
      </c>
      <c r="H64" s="3">
        <v>15</v>
      </c>
      <c r="I64" s="3">
        <v>10</v>
      </c>
      <c r="J64" s="3">
        <v>15</v>
      </c>
      <c r="K64" s="3">
        <v>1</v>
      </c>
      <c r="L64">
        <f t="shared" si="0"/>
        <v>2.2499999999999998E-3</v>
      </c>
      <c r="M64">
        <v>3.5</v>
      </c>
      <c r="N64" s="8">
        <f>M64/L64</f>
        <v>1555.5555555555557</v>
      </c>
      <c r="O64" s="14">
        <f t="shared" si="1"/>
        <v>93177.777777777781</v>
      </c>
      <c r="P64" s="3">
        <v>10</v>
      </c>
      <c r="Q64" s="8">
        <f t="shared" si="2"/>
        <v>155.55555555555557</v>
      </c>
      <c r="R64" s="8">
        <f t="shared" si="3"/>
        <v>518.51851851851859</v>
      </c>
      <c r="S64" s="8">
        <f t="shared" si="4"/>
        <v>674.07407407407413</v>
      </c>
      <c r="T64" s="17" t="e">
        <f t="shared" si="6"/>
        <v>#REF!</v>
      </c>
      <c r="U64" s="17" t="e">
        <f t="shared" si="7"/>
        <v>#REF!</v>
      </c>
      <c r="V64" s="26" t="s">
        <v>2982</v>
      </c>
    </row>
    <row r="65" spans="1:22" ht="15" customHeight="1" x14ac:dyDescent="0.25">
      <c r="A65" t="s">
        <v>230</v>
      </c>
      <c r="B65" t="s">
        <v>292</v>
      </c>
      <c r="C65" t="s">
        <v>1653</v>
      </c>
      <c r="D65" t="s">
        <v>1654</v>
      </c>
      <c r="E65" t="s">
        <v>234</v>
      </c>
      <c r="F65" s="5">
        <v>119</v>
      </c>
      <c r="G65" t="s">
        <v>1655</v>
      </c>
      <c r="H65" s="3">
        <v>0.4</v>
      </c>
      <c r="I65" s="3">
        <v>122</v>
      </c>
      <c r="J65" s="3">
        <v>20</v>
      </c>
      <c r="K65" s="3">
        <v>9.9</v>
      </c>
      <c r="L65">
        <f t="shared" si="0"/>
        <v>9.7599999999999998E-4</v>
      </c>
      <c r="M65">
        <f t="shared" ref="M65:M72" si="9">L65*N65</f>
        <v>0.74175999999999997</v>
      </c>
      <c r="N65" s="8">
        <v>760</v>
      </c>
      <c r="O65" s="14">
        <f t="shared" si="1"/>
        <v>90440</v>
      </c>
      <c r="P65" s="3">
        <v>20</v>
      </c>
      <c r="Q65" s="8">
        <f t="shared" si="2"/>
        <v>38</v>
      </c>
      <c r="R65" s="8">
        <f t="shared" si="3"/>
        <v>506.66666666666663</v>
      </c>
      <c r="S65" s="8">
        <f t="shared" si="4"/>
        <v>544.66666666666663</v>
      </c>
      <c r="T65" s="17" t="e">
        <f t="shared" si="6"/>
        <v>#REF!</v>
      </c>
      <c r="U65" s="17" t="e">
        <f t="shared" si="7"/>
        <v>#REF!</v>
      </c>
      <c r="V65" s="26" t="s">
        <v>2982</v>
      </c>
    </row>
    <row r="66" spans="1:22" ht="15" customHeight="1" x14ac:dyDescent="0.25">
      <c r="A66" t="s">
        <v>230</v>
      </c>
      <c r="B66" t="s">
        <v>286</v>
      </c>
      <c r="C66" t="s">
        <v>269</v>
      </c>
      <c r="D66" t="s">
        <v>1515</v>
      </c>
      <c r="E66" t="s">
        <v>234</v>
      </c>
      <c r="F66" s="5">
        <v>299.39999999999998</v>
      </c>
      <c r="G66" t="s">
        <v>246</v>
      </c>
      <c r="H66" s="3">
        <v>22</v>
      </c>
      <c r="I66" s="3">
        <v>45</v>
      </c>
      <c r="J66" s="3">
        <v>45</v>
      </c>
      <c r="K66" s="3">
        <v>20.350000000000001</v>
      </c>
      <c r="L66">
        <f t="shared" ref="L66:L129" si="10">J66*I66*H66/1000000</f>
        <v>4.4549999999999999E-2</v>
      </c>
      <c r="M66">
        <f t="shared" si="9"/>
        <v>13.365</v>
      </c>
      <c r="N66" s="8">
        <v>300</v>
      </c>
      <c r="O66" s="14">
        <f t="shared" ref="O66:O129" si="11">N66*F66</f>
        <v>89820</v>
      </c>
      <c r="P66" s="3">
        <v>30</v>
      </c>
      <c r="Q66" s="8">
        <f t="shared" ref="Q66:Q129" si="12">N66/P66</f>
        <v>10</v>
      </c>
      <c r="R66" s="8">
        <f t="shared" ref="R66:R129" si="13">(N66/30)*P66</f>
        <v>300</v>
      </c>
      <c r="S66" s="8">
        <f t="shared" ref="S66:S129" si="14">Q66+R66</f>
        <v>310</v>
      </c>
      <c r="T66" s="17" t="e">
        <f t="shared" si="6"/>
        <v>#REF!</v>
      </c>
      <c r="U66" s="17" t="e">
        <f t="shared" si="7"/>
        <v>#REF!</v>
      </c>
      <c r="V66" s="26" t="s">
        <v>2982</v>
      </c>
    </row>
    <row r="67" spans="1:22" ht="15" customHeight="1" x14ac:dyDescent="0.25">
      <c r="A67" t="s">
        <v>230</v>
      </c>
      <c r="B67" t="s">
        <v>286</v>
      </c>
      <c r="C67" t="s">
        <v>244</v>
      </c>
      <c r="D67" t="s">
        <v>1498</v>
      </c>
      <c r="E67" t="s">
        <v>234</v>
      </c>
      <c r="F67" s="5">
        <v>498</v>
      </c>
      <c r="G67" t="s">
        <v>237</v>
      </c>
      <c r="H67" s="3">
        <v>22</v>
      </c>
      <c r="I67" s="3">
        <v>60</v>
      </c>
      <c r="J67" s="3">
        <v>60</v>
      </c>
      <c r="K67" s="3">
        <v>20.350000000000001</v>
      </c>
      <c r="L67">
        <f t="shared" si="10"/>
        <v>7.9200000000000007E-2</v>
      </c>
      <c r="M67">
        <f t="shared" si="9"/>
        <v>14.256000000000002</v>
      </c>
      <c r="N67" s="8">
        <v>180</v>
      </c>
      <c r="O67" s="14">
        <f t="shared" si="11"/>
        <v>89640</v>
      </c>
      <c r="P67" s="3">
        <v>30</v>
      </c>
      <c r="Q67" s="8">
        <f t="shared" si="12"/>
        <v>6</v>
      </c>
      <c r="R67" s="8">
        <f t="shared" si="13"/>
        <v>180</v>
      </c>
      <c r="S67" s="8">
        <f t="shared" si="14"/>
        <v>186</v>
      </c>
      <c r="T67" s="17" t="e">
        <f t="shared" ref="T67:T130" si="15">O67/O$1748</f>
        <v>#REF!</v>
      </c>
      <c r="U67" s="17" t="e">
        <f t="shared" ref="U67:U130" si="16">U66+T67</f>
        <v>#REF!</v>
      </c>
      <c r="V67" s="26" t="s">
        <v>2982</v>
      </c>
    </row>
    <row r="68" spans="1:22" ht="15" customHeight="1" x14ac:dyDescent="0.25">
      <c r="A68" t="s">
        <v>230</v>
      </c>
      <c r="B68" t="s">
        <v>297</v>
      </c>
      <c r="C68" t="s">
        <v>1715</v>
      </c>
      <c r="D68" t="s">
        <v>1721</v>
      </c>
      <c r="E68" t="s">
        <v>300</v>
      </c>
      <c r="F68" s="5">
        <v>69.900000000000006</v>
      </c>
      <c r="G68" t="s">
        <v>299</v>
      </c>
      <c r="H68" s="3">
        <v>19</v>
      </c>
      <c r="I68" s="3">
        <v>17</v>
      </c>
      <c r="J68" s="3">
        <v>17</v>
      </c>
      <c r="K68" s="3">
        <v>5.28</v>
      </c>
      <c r="L68">
        <f t="shared" si="10"/>
        <v>5.4910000000000002E-3</v>
      </c>
      <c r="M68">
        <f t="shared" si="9"/>
        <v>6.5891999999999999</v>
      </c>
      <c r="N68" s="8">
        <v>1200</v>
      </c>
      <c r="O68" s="14">
        <f t="shared" si="11"/>
        <v>83880</v>
      </c>
      <c r="P68" s="3">
        <v>10</v>
      </c>
      <c r="Q68" s="8">
        <f t="shared" si="12"/>
        <v>120</v>
      </c>
      <c r="R68" s="8">
        <f t="shared" si="13"/>
        <v>400</v>
      </c>
      <c r="S68" s="8">
        <f t="shared" si="14"/>
        <v>520</v>
      </c>
      <c r="T68" s="17" t="e">
        <f t="shared" si="15"/>
        <v>#REF!</v>
      </c>
      <c r="U68" s="17" t="e">
        <f t="shared" si="16"/>
        <v>#REF!</v>
      </c>
      <c r="V68" s="26" t="s">
        <v>2982</v>
      </c>
    </row>
    <row r="69" spans="1:22" ht="15" customHeight="1" x14ac:dyDescent="0.25">
      <c r="A69" t="s">
        <v>230</v>
      </c>
      <c r="B69" t="s">
        <v>286</v>
      </c>
      <c r="C69" t="s">
        <v>253</v>
      </c>
      <c r="D69" t="s">
        <v>1505</v>
      </c>
      <c r="E69" t="s">
        <v>234</v>
      </c>
      <c r="F69" s="5">
        <v>465</v>
      </c>
      <c r="G69" t="s">
        <v>254</v>
      </c>
      <c r="H69" s="3">
        <v>22</v>
      </c>
      <c r="I69" s="3">
        <v>45</v>
      </c>
      <c r="J69" s="3">
        <v>45</v>
      </c>
      <c r="K69" s="3">
        <v>20.350000000000001</v>
      </c>
      <c r="L69">
        <f t="shared" si="10"/>
        <v>4.4549999999999999E-2</v>
      </c>
      <c r="M69">
        <f t="shared" si="9"/>
        <v>8.0190000000000001</v>
      </c>
      <c r="N69" s="8">
        <v>180</v>
      </c>
      <c r="O69" s="14">
        <f t="shared" si="11"/>
        <v>83700</v>
      </c>
      <c r="P69" s="3">
        <v>30</v>
      </c>
      <c r="Q69" s="8">
        <f t="shared" si="12"/>
        <v>6</v>
      </c>
      <c r="R69" s="8">
        <f t="shared" si="13"/>
        <v>180</v>
      </c>
      <c r="S69" s="8">
        <f t="shared" si="14"/>
        <v>186</v>
      </c>
      <c r="T69" s="17" t="e">
        <f t="shared" si="15"/>
        <v>#REF!</v>
      </c>
      <c r="U69" s="17" t="e">
        <f t="shared" si="16"/>
        <v>#REF!</v>
      </c>
      <c r="V69" s="26" t="s">
        <v>2982</v>
      </c>
    </row>
    <row r="70" spans="1:22" ht="15" customHeight="1" x14ac:dyDescent="0.25">
      <c r="A70" t="s">
        <v>230</v>
      </c>
      <c r="B70" t="s">
        <v>286</v>
      </c>
      <c r="C70" t="s">
        <v>272</v>
      </c>
      <c r="D70" t="s">
        <v>273</v>
      </c>
      <c r="E70" t="s">
        <v>234</v>
      </c>
      <c r="F70" s="5">
        <v>278</v>
      </c>
      <c r="G70" t="s">
        <v>240</v>
      </c>
      <c r="H70" s="3">
        <v>22</v>
      </c>
      <c r="I70" s="3">
        <v>45</v>
      </c>
      <c r="J70" s="3">
        <v>45</v>
      </c>
      <c r="K70" s="3">
        <v>20.350000000000001</v>
      </c>
      <c r="L70">
        <f t="shared" si="10"/>
        <v>4.4549999999999999E-2</v>
      </c>
      <c r="M70">
        <f t="shared" si="9"/>
        <v>13.365</v>
      </c>
      <c r="N70" s="8">
        <v>300</v>
      </c>
      <c r="O70" s="14">
        <f t="shared" si="11"/>
        <v>83400</v>
      </c>
      <c r="P70" s="3">
        <v>30</v>
      </c>
      <c r="Q70" s="8">
        <f t="shared" si="12"/>
        <v>10</v>
      </c>
      <c r="R70" s="8">
        <f t="shared" si="13"/>
        <v>300</v>
      </c>
      <c r="S70" s="8">
        <f t="shared" si="14"/>
        <v>310</v>
      </c>
      <c r="T70" s="17" t="e">
        <f t="shared" si="15"/>
        <v>#REF!</v>
      </c>
      <c r="U70" s="17" t="e">
        <f t="shared" si="16"/>
        <v>#REF!</v>
      </c>
      <c r="V70" s="26" t="s">
        <v>2982</v>
      </c>
    </row>
    <row r="71" spans="1:22" ht="15" customHeight="1" x14ac:dyDescent="0.25">
      <c r="A71" t="s">
        <v>230</v>
      </c>
      <c r="B71" t="s">
        <v>297</v>
      </c>
      <c r="C71" t="s">
        <v>1694</v>
      </c>
      <c r="D71" t="s">
        <v>1695</v>
      </c>
      <c r="E71" t="s">
        <v>298</v>
      </c>
      <c r="F71" s="5">
        <v>66.900000000000006</v>
      </c>
      <c r="G71" t="s">
        <v>299</v>
      </c>
      <c r="H71" s="3">
        <v>34</v>
      </c>
      <c r="I71" s="3">
        <v>24</v>
      </c>
      <c r="J71" s="3">
        <v>24</v>
      </c>
      <c r="K71" s="3">
        <v>31.446000000000002</v>
      </c>
      <c r="L71">
        <f t="shared" si="10"/>
        <v>1.9584000000000001E-2</v>
      </c>
      <c r="M71">
        <f t="shared" si="9"/>
        <v>23.500800000000002</v>
      </c>
      <c r="N71" s="8">
        <v>1200</v>
      </c>
      <c r="O71" s="14">
        <f t="shared" si="11"/>
        <v>80280</v>
      </c>
      <c r="P71" s="3">
        <v>10</v>
      </c>
      <c r="Q71" s="8">
        <f t="shared" si="12"/>
        <v>120</v>
      </c>
      <c r="R71" s="8">
        <f t="shared" si="13"/>
        <v>400</v>
      </c>
      <c r="S71" s="8">
        <f t="shared" si="14"/>
        <v>520</v>
      </c>
      <c r="T71" s="17" t="e">
        <f t="shared" si="15"/>
        <v>#REF!</v>
      </c>
      <c r="U71" s="17" t="e">
        <f t="shared" si="16"/>
        <v>#REF!</v>
      </c>
      <c r="V71" s="26" t="s">
        <v>2982</v>
      </c>
    </row>
    <row r="72" spans="1:22" ht="15" customHeight="1" x14ac:dyDescent="0.25">
      <c r="A72" t="s">
        <v>230</v>
      </c>
      <c r="B72" t="s">
        <v>286</v>
      </c>
      <c r="C72" t="s">
        <v>1540</v>
      </c>
      <c r="D72" t="s">
        <v>1541</v>
      </c>
      <c r="E72" t="s">
        <v>234</v>
      </c>
      <c r="F72" s="5">
        <v>363.8</v>
      </c>
      <c r="G72" t="s">
        <v>254</v>
      </c>
      <c r="H72" s="3">
        <v>6</v>
      </c>
      <c r="I72" s="3">
        <v>80</v>
      </c>
      <c r="J72" s="3">
        <v>80</v>
      </c>
      <c r="K72" s="3">
        <v>42</v>
      </c>
      <c r="L72">
        <f t="shared" si="10"/>
        <v>3.8399999999999997E-2</v>
      </c>
      <c r="M72">
        <f t="shared" si="9"/>
        <v>7.68</v>
      </c>
      <c r="N72" s="8">
        <v>200</v>
      </c>
      <c r="O72" s="14">
        <f t="shared" si="11"/>
        <v>72760</v>
      </c>
      <c r="P72" s="3">
        <v>30</v>
      </c>
      <c r="Q72" s="8">
        <f t="shared" si="12"/>
        <v>6.666666666666667</v>
      </c>
      <c r="R72" s="8">
        <f t="shared" si="13"/>
        <v>200</v>
      </c>
      <c r="S72" s="8">
        <f t="shared" si="14"/>
        <v>206.66666666666666</v>
      </c>
      <c r="T72" s="17" t="e">
        <f t="shared" si="15"/>
        <v>#REF!</v>
      </c>
      <c r="U72" s="17" t="e">
        <f t="shared" si="16"/>
        <v>#REF!</v>
      </c>
      <c r="V72" s="26" t="s">
        <v>2982</v>
      </c>
    </row>
    <row r="73" spans="1:22" ht="15" customHeight="1" x14ac:dyDescent="0.25">
      <c r="A73" t="s">
        <v>230</v>
      </c>
      <c r="B73" t="s">
        <v>1408</v>
      </c>
      <c r="C73" t="s">
        <v>1491</v>
      </c>
      <c r="D73" t="s">
        <v>1492</v>
      </c>
      <c r="E73" t="s">
        <v>833</v>
      </c>
      <c r="F73" s="5">
        <v>30.9</v>
      </c>
      <c r="G73" t="s">
        <v>606</v>
      </c>
      <c r="H73" s="3">
        <v>14.5</v>
      </c>
      <c r="I73" s="3">
        <v>24.5</v>
      </c>
      <c r="J73" s="3">
        <v>9</v>
      </c>
      <c r="K73" s="3">
        <v>10</v>
      </c>
      <c r="L73">
        <f t="shared" si="10"/>
        <v>3.19725E-3</v>
      </c>
      <c r="M73">
        <v>7.5</v>
      </c>
      <c r="N73" s="8">
        <f>M73/L73</f>
        <v>2345.7658925639221</v>
      </c>
      <c r="O73" s="14">
        <f t="shared" si="11"/>
        <v>72484.166080225186</v>
      </c>
      <c r="P73" s="3">
        <v>10</v>
      </c>
      <c r="Q73" s="8">
        <f t="shared" si="12"/>
        <v>234.5765892563922</v>
      </c>
      <c r="R73" s="8">
        <f t="shared" si="13"/>
        <v>781.92196418797403</v>
      </c>
      <c r="S73" s="8">
        <f t="shared" si="14"/>
        <v>1016.4985534443663</v>
      </c>
      <c r="T73" s="17" t="e">
        <f t="shared" si="15"/>
        <v>#REF!</v>
      </c>
      <c r="U73" s="17" t="e">
        <f t="shared" si="16"/>
        <v>#REF!</v>
      </c>
      <c r="V73" s="26" t="s">
        <v>2982</v>
      </c>
    </row>
    <row r="74" spans="1:22" ht="15" customHeight="1" x14ac:dyDescent="0.25">
      <c r="A74" t="s">
        <v>230</v>
      </c>
      <c r="B74" t="s">
        <v>286</v>
      </c>
      <c r="C74" t="s">
        <v>264</v>
      </c>
      <c r="D74" t="s">
        <v>1511</v>
      </c>
      <c r="E74" t="s">
        <v>234</v>
      </c>
      <c r="F74" s="5">
        <v>279.39999999999998</v>
      </c>
      <c r="G74" t="s">
        <v>235</v>
      </c>
      <c r="H74" s="3">
        <v>22</v>
      </c>
      <c r="I74" s="3">
        <v>47</v>
      </c>
      <c r="J74" s="3">
        <v>47</v>
      </c>
      <c r="K74" s="3">
        <v>20.350000000000001</v>
      </c>
      <c r="L74">
        <f t="shared" si="10"/>
        <v>4.8598000000000002E-2</v>
      </c>
      <c r="M74">
        <f>L74*N74</f>
        <v>12.1495</v>
      </c>
      <c r="N74" s="8">
        <v>250</v>
      </c>
      <c r="O74" s="14">
        <f t="shared" si="11"/>
        <v>69850</v>
      </c>
      <c r="P74" s="3">
        <v>30</v>
      </c>
      <c r="Q74" s="8">
        <f t="shared" si="12"/>
        <v>8.3333333333333339</v>
      </c>
      <c r="R74" s="8">
        <f t="shared" si="13"/>
        <v>250.00000000000003</v>
      </c>
      <c r="S74" s="8">
        <f t="shared" si="14"/>
        <v>258.33333333333337</v>
      </c>
      <c r="T74" s="17" t="e">
        <f t="shared" si="15"/>
        <v>#REF!</v>
      </c>
      <c r="U74" s="17" t="e">
        <f t="shared" si="16"/>
        <v>#REF!</v>
      </c>
      <c r="V74" s="26" t="s">
        <v>2982</v>
      </c>
    </row>
    <row r="75" spans="1:22" ht="15" customHeight="1" x14ac:dyDescent="0.25">
      <c r="A75" t="s">
        <v>230</v>
      </c>
      <c r="B75" t="s">
        <v>286</v>
      </c>
      <c r="C75" t="s">
        <v>279</v>
      </c>
      <c r="D75" t="s">
        <v>1522</v>
      </c>
      <c r="E75" t="s">
        <v>234</v>
      </c>
      <c r="F75" s="5">
        <v>276</v>
      </c>
      <c r="G75" t="s">
        <v>276</v>
      </c>
      <c r="H75" s="3">
        <v>22</v>
      </c>
      <c r="I75" s="3">
        <v>32</v>
      </c>
      <c r="J75" s="3">
        <v>45</v>
      </c>
      <c r="K75" s="3">
        <v>20.350000000000001</v>
      </c>
      <c r="L75">
        <f t="shared" si="10"/>
        <v>3.168E-2</v>
      </c>
      <c r="M75">
        <f>L75*N75</f>
        <v>7.92</v>
      </c>
      <c r="N75" s="8">
        <v>250</v>
      </c>
      <c r="O75" s="14">
        <f t="shared" si="11"/>
        <v>69000</v>
      </c>
      <c r="P75" s="3">
        <v>30</v>
      </c>
      <c r="Q75" s="8">
        <f t="shared" si="12"/>
        <v>8.3333333333333339</v>
      </c>
      <c r="R75" s="8">
        <f t="shared" si="13"/>
        <v>250.00000000000003</v>
      </c>
      <c r="S75" s="8">
        <f t="shared" si="14"/>
        <v>258.33333333333337</v>
      </c>
      <c r="T75" s="17" t="e">
        <f t="shared" si="15"/>
        <v>#REF!</v>
      </c>
      <c r="U75" s="17" t="e">
        <f t="shared" si="16"/>
        <v>#REF!</v>
      </c>
      <c r="V75" s="26" t="s">
        <v>2982</v>
      </c>
    </row>
    <row r="76" spans="1:22" ht="15" customHeight="1" x14ac:dyDescent="0.25">
      <c r="A76" t="s">
        <v>230</v>
      </c>
      <c r="B76" t="s">
        <v>292</v>
      </c>
      <c r="C76" t="s">
        <v>1641</v>
      </c>
      <c r="D76" t="s">
        <v>1642</v>
      </c>
      <c r="E76" t="s">
        <v>234</v>
      </c>
      <c r="F76" s="5">
        <v>90</v>
      </c>
      <c r="G76" t="s">
        <v>1643</v>
      </c>
      <c r="H76" s="3">
        <v>0.3</v>
      </c>
      <c r="I76" s="3">
        <v>95</v>
      </c>
      <c r="J76" s="3">
        <v>18.600000000000001</v>
      </c>
      <c r="K76" s="3">
        <v>5.4</v>
      </c>
      <c r="L76">
        <f t="shared" si="10"/>
        <v>5.3010000000000004E-4</v>
      </c>
      <c r="M76">
        <f>L76*N76</f>
        <v>0.40287600000000001</v>
      </c>
      <c r="N76" s="8">
        <v>760</v>
      </c>
      <c r="O76" s="14">
        <f t="shared" si="11"/>
        <v>68400</v>
      </c>
      <c r="P76" s="3">
        <v>20</v>
      </c>
      <c r="Q76" s="8">
        <f t="shared" si="12"/>
        <v>38</v>
      </c>
      <c r="R76" s="8">
        <f t="shared" si="13"/>
        <v>506.66666666666663</v>
      </c>
      <c r="S76" s="8">
        <f t="shared" si="14"/>
        <v>544.66666666666663</v>
      </c>
      <c r="T76" s="17" t="e">
        <f t="shared" si="15"/>
        <v>#REF!</v>
      </c>
      <c r="U76" s="17" t="e">
        <f t="shared" si="16"/>
        <v>#REF!</v>
      </c>
      <c r="V76" s="26" t="s">
        <v>2982</v>
      </c>
    </row>
    <row r="77" spans="1:22" ht="15" customHeight="1" x14ac:dyDescent="0.25">
      <c r="A77" t="s">
        <v>230</v>
      </c>
      <c r="B77" t="s">
        <v>297</v>
      </c>
      <c r="C77" t="s">
        <v>1730</v>
      </c>
      <c r="D77" t="s">
        <v>1733</v>
      </c>
      <c r="E77" t="s">
        <v>300</v>
      </c>
      <c r="F77" s="5">
        <v>55.5</v>
      </c>
      <c r="G77" t="s">
        <v>299</v>
      </c>
      <c r="H77" s="3">
        <v>19</v>
      </c>
      <c r="I77" s="3">
        <v>17</v>
      </c>
      <c r="J77" s="3">
        <v>17</v>
      </c>
      <c r="K77" s="3">
        <v>5.28</v>
      </c>
      <c r="L77">
        <f t="shared" si="10"/>
        <v>5.4910000000000002E-3</v>
      </c>
      <c r="M77">
        <f>L77*N77</f>
        <v>6.5891999999999999</v>
      </c>
      <c r="N77" s="8">
        <v>1200</v>
      </c>
      <c r="O77" s="14">
        <f t="shared" si="11"/>
        <v>66600</v>
      </c>
      <c r="P77" s="3">
        <v>10</v>
      </c>
      <c r="Q77" s="8">
        <f t="shared" si="12"/>
        <v>120</v>
      </c>
      <c r="R77" s="8">
        <f t="shared" si="13"/>
        <v>400</v>
      </c>
      <c r="S77" s="8">
        <f t="shared" si="14"/>
        <v>520</v>
      </c>
      <c r="T77" s="17" t="e">
        <f t="shared" si="15"/>
        <v>#REF!</v>
      </c>
      <c r="U77" s="17" t="e">
        <f t="shared" si="16"/>
        <v>#REF!</v>
      </c>
      <c r="V77" s="26" t="s">
        <v>2982</v>
      </c>
    </row>
    <row r="78" spans="1:22" ht="15" customHeight="1" x14ac:dyDescent="0.25">
      <c r="A78" t="s">
        <v>230</v>
      </c>
      <c r="B78" t="s">
        <v>1408</v>
      </c>
      <c r="C78" t="s">
        <v>1493</v>
      </c>
      <c r="D78" t="s">
        <v>1482</v>
      </c>
      <c r="E78" t="s">
        <v>833</v>
      </c>
      <c r="F78" s="5">
        <v>24.9</v>
      </c>
      <c r="G78" t="s">
        <v>606</v>
      </c>
      <c r="H78" s="3">
        <v>14.5</v>
      </c>
      <c r="I78" s="3">
        <v>24.5</v>
      </c>
      <c r="J78" s="3">
        <v>9</v>
      </c>
      <c r="K78" s="3">
        <v>10</v>
      </c>
      <c r="L78">
        <f t="shared" si="10"/>
        <v>3.19725E-3</v>
      </c>
      <c r="M78">
        <v>8.5</v>
      </c>
      <c r="N78" s="8">
        <f>M78/L78</f>
        <v>2658.5346782391116</v>
      </c>
      <c r="O78" s="14">
        <f t="shared" si="11"/>
        <v>66197.513488153869</v>
      </c>
      <c r="P78" s="3">
        <v>10</v>
      </c>
      <c r="Q78" s="8">
        <f t="shared" si="12"/>
        <v>265.85346782391116</v>
      </c>
      <c r="R78" s="8">
        <f t="shared" si="13"/>
        <v>886.17822607970379</v>
      </c>
      <c r="S78" s="8">
        <f t="shared" si="14"/>
        <v>1152.031693903615</v>
      </c>
      <c r="T78" s="17" t="e">
        <f t="shared" si="15"/>
        <v>#REF!</v>
      </c>
      <c r="U78" s="17" t="e">
        <f t="shared" si="16"/>
        <v>#REF!</v>
      </c>
      <c r="V78" s="26" t="s">
        <v>2982</v>
      </c>
    </row>
    <row r="79" spans="1:22" ht="15" customHeight="1" x14ac:dyDescent="0.25">
      <c r="A79" t="s">
        <v>230</v>
      </c>
      <c r="B79" t="s">
        <v>297</v>
      </c>
      <c r="C79" t="s">
        <v>1730</v>
      </c>
      <c r="D79" t="s">
        <v>1732</v>
      </c>
      <c r="E79" t="s">
        <v>300</v>
      </c>
      <c r="F79" s="5">
        <v>55</v>
      </c>
      <c r="G79" t="s">
        <v>299</v>
      </c>
      <c r="H79" s="3">
        <v>19</v>
      </c>
      <c r="I79" s="3">
        <v>17</v>
      </c>
      <c r="J79" s="3">
        <v>17</v>
      </c>
      <c r="K79" s="3">
        <v>5.28</v>
      </c>
      <c r="L79">
        <f t="shared" si="10"/>
        <v>5.4910000000000002E-3</v>
      </c>
      <c r="M79">
        <f t="shared" ref="M79:M88" si="17">L79*N79</f>
        <v>6.5891999999999999</v>
      </c>
      <c r="N79" s="8">
        <v>1200</v>
      </c>
      <c r="O79" s="14">
        <f t="shared" si="11"/>
        <v>66000</v>
      </c>
      <c r="P79" s="3">
        <v>10</v>
      </c>
      <c r="Q79" s="8">
        <f t="shared" si="12"/>
        <v>120</v>
      </c>
      <c r="R79" s="8">
        <f t="shared" si="13"/>
        <v>400</v>
      </c>
      <c r="S79" s="8">
        <f t="shared" si="14"/>
        <v>520</v>
      </c>
      <c r="T79" s="17" t="e">
        <f t="shared" si="15"/>
        <v>#REF!</v>
      </c>
      <c r="U79" s="17" t="e">
        <f t="shared" si="16"/>
        <v>#REF!</v>
      </c>
      <c r="V79" s="26" t="s">
        <v>2982</v>
      </c>
    </row>
    <row r="80" spans="1:22" ht="15" customHeight="1" x14ac:dyDescent="0.25">
      <c r="A80" t="s">
        <v>230</v>
      </c>
      <c r="B80" t="s">
        <v>292</v>
      </c>
      <c r="C80" t="s">
        <v>1665</v>
      </c>
      <c r="D80" t="s">
        <v>1666</v>
      </c>
      <c r="E80" t="s">
        <v>234</v>
      </c>
      <c r="F80" s="5">
        <v>83.45</v>
      </c>
      <c r="G80" t="s">
        <v>1667</v>
      </c>
      <c r="H80" s="3">
        <v>7</v>
      </c>
      <c r="I80" s="3">
        <v>135.69999999999999</v>
      </c>
      <c r="J80" s="3">
        <v>19.7</v>
      </c>
      <c r="K80" s="3">
        <v>18</v>
      </c>
      <c r="L80">
        <f t="shared" si="10"/>
        <v>1.8713029999999995E-2</v>
      </c>
      <c r="M80">
        <f t="shared" si="17"/>
        <v>14.221902799999997</v>
      </c>
      <c r="N80" s="8">
        <v>760</v>
      </c>
      <c r="O80" s="14">
        <f t="shared" si="11"/>
        <v>63422</v>
      </c>
      <c r="P80" s="3">
        <v>20</v>
      </c>
      <c r="Q80" s="8">
        <f t="shared" si="12"/>
        <v>38</v>
      </c>
      <c r="R80" s="8">
        <f t="shared" si="13"/>
        <v>506.66666666666663</v>
      </c>
      <c r="S80" s="8">
        <f t="shared" si="14"/>
        <v>544.66666666666663</v>
      </c>
      <c r="T80" s="17" t="e">
        <f t="shared" si="15"/>
        <v>#REF!</v>
      </c>
      <c r="U80" s="17" t="e">
        <f t="shared" si="16"/>
        <v>#REF!</v>
      </c>
      <c r="V80" s="26" t="s">
        <v>2982</v>
      </c>
    </row>
    <row r="81" spans="1:22" ht="15" customHeight="1" x14ac:dyDescent="0.25">
      <c r="A81" t="s">
        <v>230</v>
      </c>
      <c r="B81" t="s">
        <v>286</v>
      </c>
      <c r="C81" t="s">
        <v>251</v>
      </c>
      <c r="D81" t="s">
        <v>1503</v>
      </c>
      <c r="E81" t="s">
        <v>234</v>
      </c>
      <c r="F81" s="5">
        <v>324.8</v>
      </c>
      <c r="G81" t="s">
        <v>240</v>
      </c>
      <c r="H81" s="3">
        <v>22</v>
      </c>
      <c r="I81" s="3">
        <v>45</v>
      </c>
      <c r="J81" s="3">
        <v>45</v>
      </c>
      <c r="K81" s="3">
        <v>20.350000000000001</v>
      </c>
      <c r="L81">
        <f t="shared" si="10"/>
        <v>4.4549999999999999E-2</v>
      </c>
      <c r="M81">
        <f t="shared" si="17"/>
        <v>8.0190000000000001</v>
      </c>
      <c r="N81" s="8">
        <v>180</v>
      </c>
      <c r="O81" s="14">
        <f t="shared" si="11"/>
        <v>58464</v>
      </c>
      <c r="P81" s="3">
        <v>30</v>
      </c>
      <c r="Q81" s="8">
        <f t="shared" si="12"/>
        <v>6</v>
      </c>
      <c r="R81" s="8">
        <f t="shared" si="13"/>
        <v>180</v>
      </c>
      <c r="S81" s="8">
        <f t="shared" si="14"/>
        <v>186</v>
      </c>
      <c r="T81" s="17" t="e">
        <f t="shared" si="15"/>
        <v>#REF!</v>
      </c>
      <c r="U81" s="17" t="e">
        <f t="shared" si="16"/>
        <v>#REF!</v>
      </c>
      <c r="V81" s="26" t="s">
        <v>2982</v>
      </c>
    </row>
    <row r="82" spans="1:22" ht="15" customHeight="1" x14ac:dyDescent="0.25">
      <c r="A82" t="s">
        <v>230</v>
      </c>
      <c r="B82" t="s">
        <v>286</v>
      </c>
      <c r="C82" t="s">
        <v>241</v>
      </c>
      <c r="D82" t="s">
        <v>242</v>
      </c>
      <c r="E82" t="s">
        <v>234</v>
      </c>
      <c r="F82" s="5">
        <v>318</v>
      </c>
      <c r="G82" t="s">
        <v>243</v>
      </c>
      <c r="H82" s="3">
        <v>22</v>
      </c>
      <c r="I82" s="3">
        <v>53</v>
      </c>
      <c r="J82" s="3">
        <v>53</v>
      </c>
      <c r="K82" s="3">
        <v>20.350000000000001</v>
      </c>
      <c r="L82">
        <f t="shared" si="10"/>
        <v>6.1797999999999999E-2</v>
      </c>
      <c r="M82">
        <f t="shared" si="17"/>
        <v>11.12364</v>
      </c>
      <c r="N82" s="8">
        <v>180</v>
      </c>
      <c r="O82" s="14">
        <f t="shared" si="11"/>
        <v>57240</v>
      </c>
      <c r="P82" s="3">
        <v>30</v>
      </c>
      <c r="Q82" s="8">
        <f t="shared" si="12"/>
        <v>6</v>
      </c>
      <c r="R82" s="8">
        <f t="shared" si="13"/>
        <v>180</v>
      </c>
      <c r="S82" s="8">
        <f t="shared" si="14"/>
        <v>186</v>
      </c>
      <c r="T82" s="17" t="e">
        <f t="shared" si="15"/>
        <v>#REF!</v>
      </c>
      <c r="U82" s="17" t="e">
        <f t="shared" si="16"/>
        <v>#REF!</v>
      </c>
      <c r="V82" s="26" t="s">
        <v>2982</v>
      </c>
    </row>
    <row r="83" spans="1:22" ht="15" customHeight="1" x14ac:dyDescent="0.25">
      <c r="A83" t="s">
        <v>230</v>
      </c>
      <c r="B83" t="s">
        <v>1637</v>
      </c>
      <c r="C83" t="s">
        <v>214</v>
      </c>
      <c r="D83" t="s">
        <v>216</v>
      </c>
      <c r="E83" t="s">
        <v>480</v>
      </c>
      <c r="F83" s="5">
        <v>1235.52</v>
      </c>
      <c r="G83" t="s">
        <v>314</v>
      </c>
      <c r="H83" s="3">
        <v>50</v>
      </c>
      <c r="I83" s="3">
        <v>150</v>
      </c>
      <c r="J83" s="3">
        <v>150</v>
      </c>
      <c r="K83" s="3">
        <v>31</v>
      </c>
      <c r="L83">
        <f t="shared" si="10"/>
        <v>1.125</v>
      </c>
      <c r="M83">
        <f t="shared" si="17"/>
        <v>50.625</v>
      </c>
      <c r="N83" s="8">
        <v>45</v>
      </c>
      <c r="O83" s="14">
        <f t="shared" si="11"/>
        <v>55598.400000000001</v>
      </c>
      <c r="P83" s="3">
        <v>40</v>
      </c>
      <c r="Q83" s="8">
        <f t="shared" si="12"/>
        <v>1.125</v>
      </c>
      <c r="R83" s="8">
        <f t="shared" si="13"/>
        <v>60</v>
      </c>
      <c r="S83" s="8">
        <f t="shared" si="14"/>
        <v>61.125</v>
      </c>
      <c r="T83" s="17" t="e">
        <f t="shared" si="15"/>
        <v>#REF!</v>
      </c>
      <c r="U83" s="17" t="e">
        <f t="shared" si="16"/>
        <v>#REF!</v>
      </c>
      <c r="V83" s="26" t="s">
        <v>2982</v>
      </c>
    </row>
    <row r="84" spans="1:22" ht="15" customHeight="1" x14ac:dyDescent="0.25">
      <c r="A84" t="s">
        <v>230</v>
      </c>
      <c r="B84" t="s">
        <v>297</v>
      </c>
      <c r="C84" t="s">
        <v>1730</v>
      </c>
      <c r="D84" t="s">
        <v>1731</v>
      </c>
      <c r="E84" t="s">
        <v>300</v>
      </c>
      <c r="F84" s="5">
        <v>45.5</v>
      </c>
      <c r="G84" t="s">
        <v>299</v>
      </c>
      <c r="H84" s="3">
        <v>19</v>
      </c>
      <c r="I84" s="3">
        <v>17</v>
      </c>
      <c r="J84" s="3">
        <v>17</v>
      </c>
      <c r="K84" s="3">
        <v>5.28</v>
      </c>
      <c r="L84">
        <f t="shared" si="10"/>
        <v>5.4910000000000002E-3</v>
      </c>
      <c r="M84">
        <f t="shared" si="17"/>
        <v>6.5891999999999999</v>
      </c>
      <c r="N84" s="8">
        <v>1200</v>
      </c>
      <c r="O84" s="14">
        <f t="shared" si="11"/>
        <v>54600</v>
      </c>
      <c r="P84" s="3">
        <v>10</v>
      </c>
      <c r="Q84" s="8">
        <f t="shared" si="12"/>
        <v>120</v>
      </c>
      <c r="R84" s="8">
        <f t="shared" si="13"/>
        <v>400</v>
      </c>
      <c r="S84" s="8">
        <f t="shared" si="14"/>
        <v>520</v>
      </c>
      <c r="T84" s="17" t="e">
        <f t="shared" si="15"/>
        <v>#REF!</v>
      </c>
      <c r="U84" s="17" t="e">
        <f t="shared" si="16"/>
        <v>#REF!</v>
      </c>
      <c r="V84" s="26" t="s">
        <v>2982</v>
      </c>
    </row>
    <row r="85" spans="1:22" ht="15" customHeight="1" x14ac:dyDescent="0.25">
      <c r="A85" t="s">
        <v>230</v>
      </c>
      <c r="B85" t="s">
        <v>292</v>
      </c>
      <c r="C85" t="s">
        <v>1668</v>
      </c>
      <c r="D85" t="s">
        <v>1669</v>
      </c>
      <c r="E85" t="s">
        <v>234</v>
      </c>
      <c r="F85" s="5">
        <v>71.150000000000006</v>
      </c>
      <c r="G85" t="s">
        <v>1670</v>
      </c>
      <c r="H85" s="3">
        <v>7</v>
      </c>
      <c r="I85" s="3">
        <v>129</v>
      </c>
      <c r="J85" s="3">
        <v>19.399999999999999</v>
      </c>
      <c r="K85" s="3">
        <v>17.5</v>
      </c>
      <c r="L85">
        <f t="shared" si="10"/>
        <v>1.7518200000000001E-2</v>
      </c>
      <c r="M85">
        <f t="shared" si="17"/>
        <v>13.313832000000001</v>
      </c>
      <c r="N85" s="8">
        <v>760</v>
      </c>
      <c r="O85" s="14">
        <f t="shared" si="11"/>
        <v>54074.000000000007</v>
      </c>
      <c r="P85" s="3">
        <v>20</v>
      </c>
      <c r="Q85" s="8">
        <f t="shared" si="12"/>
        <v>38</v>
      </c>
      <c r="R85" s="8">
        <f t="shared" si="13"/>
        <v>506.66666666666663</v>
      </c>
      <c r="S85" s="8">
        <f t="shared" si="14"/>
        <v>544.66666666666663</v>
      </c>
      <c r="T85" s="17" t="e">
        <f t="shared" si="15"/>
        <v>#REF!</v>
      </c>
      <c r="U85" s="17" t="e">
        <f t="shared" si="16"/>
        <v>#REF!</v>
      </c>
      <c r="V85" s="26" t="s">
        <v>2982</v>
      </c>
    </row>
    <row r="86" spans="1:22" ht="15" customHeight="1" x14ac:dyDescent="0.25">
      <c r="A86" t="s">
        <v>230</v>
      </c>
      <c r="B86" t="s">
        <v>297</v>
      </c>
      <c r="C86" t="s">
        <v>1715</v>
      </c>
      <c r="D86" t="s">
        <v>1728</v>
      </c>
      <c r="E86" t="s">
        <v>300</v>
      </c>
      <c r="F86" s="5">
        <v>44.9</v>
      </c>
      <c r="G86" t="s">
        <v>1729</v>
      </c>
      <c r="H86" s="3">
        <v>19</v>
      </c>
      <c r="I86" s="3">
        <v>17</v>
      </c>
      <c r="J86" s="3">
        <v>17</v>
      </c>
      <c r="K86" s="3">
        <v>5.28</v>
      </c>
      <c r="L86">
        <f t="shared" si="10"/>
        <v>5.4910000000000002E-3</v>
      </c>
      <c r="M86">
        <f t="shared" si="17"/>
        <v>6.5891999999999999</v>
      </c>
      <c r="N86" s="8">
        <v>1200</v>
      </c>
      <c r="O86" s="14">
        <f t="shared" si="11"/>
        <v>53880</v>
      </c>
      <c r="P86" s="3">
        <v>10</v>
      </c>
      <c r="Q86" s="8">
        <f t="shared" si="12"/>
        <v>120</v>
      </c>
      <c r="R86" s="8">
        <f t="shared" si="13"/>
        <v>400</v>
      </c>
      <c r="S86" s="8">
        <f t="shared" si="14"/>
        <v>520</v>
      </c>
      <c r="T86" s="17" t="e">
        <f t="shared" si="15"/>
        <v>#REF!</v>
      </c>
      <c r="U86" s="17" t="e">
        <f t="shared" si="16"/>
        <v>#REF!</v>
      </c>
      <c r="V86" s="26" t="s">
        <v>2982</v>
      </c>
    </row>
    <row r="87" spans="1:22" ht="15" customHeight="1" x14ac:dyDescent="0.25">
      <c r="A87" t="s">
        <v>230</v>
      </c>
      <c r="B87" t="s">
        <v>286</v>
      </c>
      <c r="C87" t="s">
        <v>239</v>
      </c>
      <c r="D87" t="s">
        <v>1497</v>
      </c>
      <c r="E87" t="s">
        <v>234</v>
      </c>
      <c r="F87" s="5">
        <v>298</v>
      </c>
      <c r="G87" t="s">
        <v>240</v>
      </c>
      <c r="H87" s="3">
        <v>22</v>
      </c>
      <c r="I87" s="3">
        <v>50</v>
      </c>
      <c r="J87" s="3">
        <v>50</v>
      </c>
      <c r="K87" s="3">
        <v>20.350000000000001</v>
      </c>
      <c r="L87">
        <f t="shared" si="10"/>
        <v>5.5E-2</v>
      </c>
      <c r="M87">
        <f t="shared" si="17"/>
        <v>9.9</v>
      </c>
      <c r="N87" s="8">
        <v>180</v>
      </c>
      <c r="O87" s="14">
        <f t="shared" si="11"/>
        <v>53640</v>
      </c>
      <c r="P87" s="3">
        <v>30</v>
      </c>
      <c r="Q87" s="8">
        <f t="shared" si="12"/>
        <v>6</v>
      </c>
      <c r="R87" s="8">
        <f t="shared" si="13"/>
        <v>180</v>
      </c>
      <c r="S87" s="8">
        <f t="shared" si="14"/>
        <v>186</v>
      </c>
      <c r="T87" s="17" t="e">
        <f t="shared" si="15"/>
        <v>#REF!</v>
      </c>
      <c r="U87" s="17" t="e">
        <f t="shared" si="16"/>
        <v>#REF!</v>
      </c>
      <c r="V87" s="26" t="s">
        <v>2982</v>
      </c>
    </row>
    <row r="88" spans="1:22" ht="15" customHeight="1" x14ac:dyDescent="0.25">
      <c r="A88" t="s">
        <v>230</v>
      </c>
      <c r="B88" t="s">
        <v>286</v>
      </c>
      <c r="C88" t="s">
        <v>245</v>
      </c>
      <c r="D88" t="s">
        <v>1499</v>
      </c>
      <c r="E88" t="s">
        <v>234</v>
      </c>
      <c r="F88" s="5">
        <v>298</v>
      </c>
      <c r="G88" t="s">
        <v>246</v>
      </c>
      <c r="H88" s="3">
        <v>22</v>
      </c>
      <c r="I88" s="3">
        <v>53</v>
      </c>
      <c r="J88" s="3">
        <v>53</v>
      </c>
      <c r="K88" s="3">
        <v>20.350000000000001</v>
      </c>
      <c r="L88">
        <f t="shared" si="10"/>
        <v>6.1797999999999999E-2</v>
      </c>
      <c r="M88">
        <f t="shared" si="17"/>
        <v>11.12364</v>
      </c>
      <c r="N88" s="8">
        <v>180</v>
      </c>
      <c r="O88" s="14">
        <f t="shared" si="11"/>
        <v>53640</v>
      </c>
      <c r="P88" s="3">
        <v>30</v>
      </c>
      <c r="Q88" s="8">
        <f t="shared" si="12"/>
        <v>6</v>
      </c>
      <c r="R88" s="8">
        <f t="shared" si="13"/>
        <v>180</v>
      </c>
      <c r="S88" s="8">
        <f t="shared" si="14"/>
        <v>186</v>
      </c>
      <c r="T88" s="17" t="e">
        <f t="shared" si="15"/>
        <v>#REF!</v>
      </c>
      <c r="U88" s="17" t="e">
        <f t="shared" si="16"/>
        <v>#REF!</v>
      </c>
      <c r="V88" s="26" t="s">
        <v>2982</v>
      </c>
    </row>
    <row r="89" spans="1:22" ht="15" customHeight="1" x14ac:dyDescent="0.25">
      <c r="A89" t="s">
        <v>230</v>
      </c>
      <c r="B89" t="s">
        <v>1408</v>
      </c>
      <c r="C89" t="s">
        <v>1464</v>
      </c>
      <c r="D89" t="s">
        <v>1465</v>
      </c>
      <c r="E89" t="s">
        <v>833</v>
      </c>
      <c r="F89" s="5">
        <v>126.7</v>
      </c>
      <c r="G89" t="s">
        <v>1459</v>
      </c>
      <c r="H89" s="3">
        <v>40</v>
      </c>
      <c r="I89" s="3">
        <v>25</v>
      </c>
      <c r="J89" s="3">
        <v>25</v>
      </c>
      <c r="K89" s="3">
        <v>1.2</v>
      </c>
      <c r="L89">
        <f t="shared" si="10"/>
        <v>2.5000000000000001E-2</v>
      </c>
      <c r="M89">
        <v>10.5</v>
      </c>
      <c r="N89" s="8">
        <f>M89/L89</f>
        <v>420</v>
      </c>
      <c r="O89" s="14">
        <f t="shared" si="11"/>
        <v>53214</v>
      </c>
      <c r="P89" s="3">
        <v>10</v>
      </c>
      <c r="Q89" s="8">
        <f t="shared" si="12"/>
        <v>42</v>
      </c>
      <c r="R89" s="8">
        <f t="shared" si="13"/>
        <v>140</v>
      </c>
      <c r="S89" s="8">
        <f t="shared" si="14"/>
        <v>182</v>
      </c>
      <c r="T89" s="17" t="e">
        <f t="shared" si="15"/>
        <v>#REF!</v>
      </c>
      <c r="U89" s="17" t="e">
        <f t="shared" si="16"/>
        <v>#REF!</v>
      </c>
      <c r="V89" s="26" t="s">
        <v>2982</v>
      </c>
    </row>
    <row r="90" spans="1:22" ht="15" customHeight="1" x14ac:dyDescent="0.25">
      <c r="A90" t="s">
        <v>230</v>
      </c>
      <c r="B90" t="s">
        <v>292</v>
      </c>
      <c r="C90" t="s">
        <v>1671</v>
      </c>
      <c r="D90" t="s">
        <v>1672</v>
      </c>
      <c r="E90" t="s">
        <v>234</v>
      </c>
      <c r="F90" s="5">
        <v>70</v>
      </c>
      <c r="G90" t="s">
        <v>1661</v>
      </c>
      <c r="H90" s="3">
        <v>8</v>
      </c>
      <c r="I90" s="3">
        <v>129</v>
      </c>
      <c r="J90" s="3">
        <v>19.600000000000001</v>
      </c>
      <c r="K90" s="3">
        <v>20</v>
      </c>
      <c r="L90">
        <f t="shared" si="10"/>
        <v>2.0227200000000001E-2</v>
      </c>
      <c r="M90">
        <f>L90*N90</f>
        <v>15.372672000000001</v>
      </c>
      <c r="N90" s="8">
        <v>760</v>
      </c>
      <c r="O90" s="14">
        <f t="shared" si="11"/>
        <v>53200</v>
      </c>
      <c r="P90" s="3">
        <v>20</v>
      </c>
      <c r="Q90" s="8">
        <f t="shared" si="12"/>
        <v>38</v>
      </c>
      <c r="R90" s="8">
        <f t="shared" si="13"/>
        <v>506.66666666666663</v>
      </c>
      <c r="S90" s="8">
        <f t="shared" si="14"/>
        <v>544.66666666666663</v>
      </c>
      <c r="T90" s="17" t="e">
        <f t="shared" si="15"/>
        <v>#REF!</v>
      </c>
      <c r="U90" s="17" t="e">
        <f t="shared" si="16"/>
        <v>#REF!</v>
      </c>
      <c r="V90" s="26" t="s">
        <v>2982</v>
      </c>
    </row>
    <row r="91" spans="1:22" ht="15" customHeight="1" x14ac:dyDescent="0.25">
      <c r="A91" t="s">
        <v>230</v>
      </c>
      <c r="B91" t="s">
        <v>286</v>
      </c>
      <c r="C91" t="s">
        <v>233</v>
      </c>
      <c r="D91" t="s">
        <v>1494</v>
      </c>
      <c r="E91" t="s">
        <v>234</v>
      </c>
      <c r="F91" s="5">
        <v>259.89999999999998</v>
      </c>
      <c r="G91" t="s">
        <v>235</v>
      </c>
      <c r="H91" s="3">
        <v>22</v>
      </c>
      <c r="I91" s="3">
        <v>43</v>
      </c>
      <c r="J91" s="3">
        <v>43</v>
      </c>
      <c r="K91" s="3">
        <v>20.350000000000001</v>
      </c>
      <c r="L91">
        <f t="shared" si="10"/>
        <v>4.0677999999999999E-2</v>
      </c>
      <c r="M91">
        <f>L91*N91</f>
        <v>8.1356000000000002</v>
      </c>
      <c r="N91" s="8">
        <v>200</v>
      </c>
      <c r="O91" s="14">
        <f t="shared" si="11"/>
        <v>51979.999999999993</v>
      </c>
      <c r="P91" s="3">
        <v>30</v>
      </c>
      <c r="Q91" s="8">
        <f t="shared" si="12"/>
        <v>6.666666666666667</v>
      </c>
      <c r="R91" s="8">
        <f t="shared" si="13"/>
        <v>200</v>
      </c>
      <c r="S91" s="8">
        <f t="shared" si="14"/>
        <v>206.66666666666666</v>
      </c>
      <c r="T91" s="17" t="e">
        <f t="shared" si="15"/>
        <v>#REF!</v>
      </c>
      <c r="U91" s="17" t="e">
        <f t="shared" si="16"/>
        <v>#REF!</v>
      </c>
      <c r="V91" s="26" t="s">
        <v>2982</v>
      </c>
    </row>
    <row r="92" spans="1:22" ht="15" customHeight="1" x14ac:dyDescent="0.25">
      <c r="A92" t="s">
        <v>230</v>
      </c>
      <c r="B92" t="s">
        <v>286</v>
      </c>
      <c r="C92" t="s">
        <v>256</v>
      </c>
      <c r="D92" t="s">
        <v>1507</v>
      </c>
      <c r="E92" t="s">
        <v>234</v>
      </c>
      <c r="F92" s="5">
        <v>280.2</v>
      </c>
      <c r="G92" t="s">
        <v>235</v>
      </c>
      <c r="H92" s="3">
        <v>22</v>
      </c>
      <c r="I92" s="3">
        <v>43</v>
      </c>
      <c r="J92" s="3">
        <v>43</v>
      </c>
      <c r="K92" s="3">
        <v>20.350000000000001</v>
      </c>
      <c r="L92">
        <f t="shared" si="10"/>
        <v>4.0677999999999999E-2</v>
      </c>
      <c r="M92">
        <f>L92*N92</f>
        <v>7.3220399999999994</v>
      </c>
      <c r="N92" s="8">
        <v>180</v>
      </c>
      <c r="O92" s="14">
        <f t="shared" si="11"/>
        <v>50436</v>
      </c>
      <c r="P92" s="3">
        <v>30</v>
      </c>
      <c r="Q92" s="8">
        <f t="shared" si="12"/>
        <v>6</v>
      </c>
      <c r="R92" s="8">
        <f t="shared" si="13"/>
        <v>180</v>
      </c>
      <c r="S92" s="8">
        <f t="shared" si="14"/>
        <v>186</v>
      </c>
      <c r="T92" s="17" t="e">
        <f t="shared" si="15"/>
        <v>#REF!</v>
      </c>
      <c r="U92" s="17" t="e">
        <f t="shared" si="16"/>
        <v>#REF!</v>
      </c>
      <c r="V92" s="26" t="s">
        <v>2982</v>
      </c>
    </row>
    <row r="93" spans="1:22" ht="15" customHeight="1" x14ac:dyDescent="0.25">
      <c r="A93" t="s">
        <v>230</v>
      </c>
      <c r="B93" t="s">
        <v>286</v>
      </c>
      <c r="C93" t="s">
        <v>1538</v>
      </c>
      <c r="D93" t="s">
        <v>1539</v>
      </c>
      <c r="E93" t="s">
        <v>234</v>
      </c>
      <c r="F93" s="5">
        <v>251.8</v>
      </c>
      <c r="G93" t="s">
        <v>254</v>
      </c>
      <c r="H93" s="3">
        <v>6</v>
      </c>
      <c r="I93" s="3">
        <v>80</v>
      </c>
      <c r="J93" s="3">
        <v>80</v>
      </c>
      <c r="K93" s="3">
        <v>45</v>
      </c>
      <c r="L93">
        <f t="shared" si="10"/>
        <v>3.8399999999999997E-2</v>
      </c>
      <c r="M93">
        <f>L93*N93</f>
        <v>7.68</v>
      </c>
      <c r="N93" s="8">
        <v>200</v>
      </c>
      <c r="O93" s="14">
        <f t="shared" si="11"/>
        <v>50360</v>
      </c>
      <c r="P93" s="3">
        <v>30</v>
      </c>
      <c r="Q93" s="8">
        <f t="shared" si="12"/>
        <v>6.666666666666667</v>
      </c>
      <c r="R93" s="8">
        <f t="shared" si="13"/>
        <v>200</v>
      </c>
      <c r="S93" s="8">
        <f t="shared" si="14"/>
        <v>206.66666666666666</v>
      </c>
      <c r="T93" s="17" t="e">
        <f t="shared" si="15"/>
        <v>#REF!</v>
      </c>
      <c r="U93" s="17" t="e">
        <f t="shared" si="16"/>
        <v>#REF!</v>
      </c>
      <c r="V93" s="26" t="s">
        <v>2982</v>
      </c>
    </row>
    <row r="94" spans="1:22" ht="15" customHeight="1" x14ac:dyDescent="0.25">
      <c r="A94" t="s">
        <v>230</v>
      </c>
      <c r="B94" t="s">
        <v>1408</v>
      </c>
      <c r="C94" t="s">
        <v>1476</v>
      </c>
      <c r="D94" t="s">
        <v>1477</v>
      </c>
      <c r="E94" t="s">
        <v>833</v>
      </c>
      <c r="F94" s="5">
        <v>68.27</v>
      </c>
      <c r="G94" t="s">
        <v>1478</v>
      </c>
      <c r="H94" s="3">
        <v>10</v>
      </c>
      <c r="I94" s="3">
        <v>30</v>
      </c>
      <c r="J94" s="3">
        <v>30</v>
      </c>
      <c r="K94" s="3">
        <v>2</v>
      </c>
      <c r="L94">
        <f t="shared" si="10"/>
        <v>8.9999999999999993E-3</v>
      </c>
      <c r="M94">
        <v>6.5</v>
      </c>
      <c r="N94" s="8">
        <f>M94/L94</f>
        <v>722.22222222222229</v>
      </c>
      <c r="O94" s="14">
        <f t="shared" si="11"/>
        <v>49306.111111111109</v>
      </c>
      <c r="P94" s="3">
        <v>10</v>
      </c>
      <c r="Q94" s="8">
        <f t="shared" si="12"/>
        <v>72.222222222222229</v>
      </c>
      <c r="R94" s="8">
        <f t="shared" si="13"/>
        <v>240.74074074074076</v>
      </c>
      <c r="S94" s="8">
        <f t="shared" si="14"/>
        <v>312.96296296296299</v>
      </c>
      <c r="T94" s="17" t="e">
        <f t="shared" si="15"/>
        <v>#REF!</v>
      </c>
      <c r="U94" s="17" t="e">
        <f t="shared" si="16"/>
        <v>#REF!</v>
      </c>
      <c r="V94" s="26" t="s">
        <v>2982</v>
      </c>
    </row>
    <row r="95" spans="1:22" ht="15" customHeight="1" x14ac:dyDescent="0.25">
      <c r="A95" t="s">
        <v>230</v>
      </c>
      <c r="B95" t="s">
        <v>286</v>
      </c>
      <c r="C95" t="s">
        <v>261</v>
      </c>
      <c r="D95" t="s">
        <v>1509</v>
      </c>
      <c r="E95" t="s">
        <v>234</v>
      </c>
      <c r="F95" s="5">
        <v>438</v>
      </c>
      <c r="G95" t="s">
        <v>262</v>
      </c>
      <c r="H95" s="3">
        <v>22</v>
      </c>
      <c r="I95" s="3">
        <v>44.5</v>
      </c>
      <c r="J95" s="3">
        <v>44.5</v>
      </c>
      <c r="K95" s="3">
        <v>20.350000000000001</v>
      </c>
      <c r="L95">
        <f t="shared" si="10"/>
        <v>4.35655E-2</v>
      </c>
      <c r="M95">
        <f>L95*N95</f>
        <v>4.792205</v>
      </c>
      <c r="N95" s="8">
        <v>110</v>
      </c>
      <c r="O95" s="14">
        <f t="shared" si="11"/>
        <v>48180</v>
      </c>
      <c r="P95" s="3">
        <v>30</v>
      </c>
      <c r="Q95" s="8">
        <f t="shared" si="12"/>
        <v>3.6666666666666665</v>
      </c>
      <c r="R95" s="8">
        <f t="shared" si="13"/>
        <v>110</v>
      </c>
      <c r="S95" s="8">
        <f t="shared" si="14"/>
        <v>113.66666666666667</v>
      </c>
      <c r="T95" s="17" t="e">
        <f t="shared" si="15"/>
        <v>#REF!</v>
      </c>
      <c r="U95" s="17" t="e">
        <f t="shared" si="16"/>
        <v>#REF!</v>
      </c>
      <c r="V95" s="26" t="s">
        <v>2982</v>
      </c>
    </row>
    <row r="96" spans="1:22" ht="15" customHeight="1" x14ac:dyDescent="0.25">
      <c r="A96" t="s">
        <v>230</v>
      </c>
      <c r="B96" t="s">
        <v>286</v>
      </c>
      <c r="C96" t="s">
        <v>248</v>
      </c>
      <c r="D96" t="s">
        <v>1501</v>
      </c>
      <c r="E96" t="s">
        <v>234</v>
      </c>
      <c r="F96" s="5">
        <v>265.8</v>
      </c>
      <c r="G96" t="s">
        <v>249</v>
      </c>
      <c r="H96" s="3">
        <v>22</v>
      </c>
      <c r="I96" s="3">
        <v>45</v>
      </c>
      <c r="J96" s="3">
        <v>45</v>
      </c>
      <c r="K96" s="3">
        <v>20.350000000000001</v>
      </c>
      <c r="L96">
        <f t="shared" si="10"/>
        <v>4.4549999999999999E-2</v>
      </c>
      <c r="M96">
        <f>L96*N96</f>
        <v>8.0190000000000001</v>
      </c>
      <c r="N96" s="8">
        <v>180</v>
      </c>
      <c r="O96" s="14">
        <f t="shared" si="11"/>
        <v>47844</v>
      </c>
      <c r="P96" s="3">
        <v>30</v>
      </c>
      <c r="Q96" s="8">
        <f t="shared" si="12"/>
        <v>6</v>
      </c>
      <c r="R96" s="8">
        <f t="shared" si="13"/>
        <v>180</v>
      </c>
      <c r="S96" s="8">
        <f t="shared" si="14"/>
        <v>186</v>
      </c>
      <c r="T96" s="17" t="e">
        <f t="shared" si="15"/>
        <v>#REF!</v>
      </c>
      <c r="U96" s="17" t="e">
        <f t="shared" si="16"/>
        <v>#REF!</v>
      </c>
      <c r="V96" s="26" t="s">
        <v>2982</v>
      </c>
    </row>
    <row r="97" spans="1:22" ht="15" customHeight="1" x14ac:dyDescent="0.25">
      <c r="A97" t="s">
        <v>230</v>
      </c>
      <c r="B97" t="s">
        <v>286</v>
      </c>
      <c r="C97" t="s">
        <v>247</v>
      </c>
      <c r="D97" t="s">
        <v>1500</v>
      </c>
      <c r="E97" t="s">
        <v>234</v>
      </c>
      <c r="F97" s="5">
        <v>264</v>
      </c>
      <c r="G97" t="s">
        <v>235</v>
      </c>
      <c r="H97" s="3">
        <v>22</v>
      </c>
      <c r="I97" s="3">
        <v>43</v>
      </c>
      <c r="J97" s="3">
        <v>43</v>
      </c>
      <c r="K97" s="3">
        <v>20.350000000000001</v>
      </c>
      <c r="L97">
        <f t="shared" si="10"/>
        <v>4.0677999999999999E-2</v>
      </c>
      <c r="M97">
        <f>L97*N97</f>
        <v>7.3220399999999994</v>
      </c>
      <c r="N97" s="8">
        <v>180</v>
      </c>
      <c r="O97" s="14">
        <f t="shared" si="11"/>
        <v>47520</v>
      </c>
      <c r="P97" s="3">
        <v>30</v>
      </c>
      <c r="Q97" s="8">
        <f t="shared" si="12"/>
        <v>6</v>
      </c>
      <c r="R97" s="8">
        <f t="shared" si="13"/>
        <v>180</v>
      </c>
      <c r="S97" s="8">
        <f t="shared" si="14"/>
        <v>186</v>
      </c>
      <c r="T97" s="17" t="e">
        <f t="shared" si="15"/>
        <v>#REF!</v>
      </c>
      <c r="U97" s="17" t="e">
        <f t="shared" si="16"/>
        <v>#REF!</v>
      </c>
      <c r="V97" s="26" t="s">
        <v>2982</v>
      </c>
    </row>
    <row r="98" spans="1:22" ht="15" customHeight="1" x14ac:dyDescent="0.25">
      <c r="A98" t="s">
        <v>230</v>
      </c>
      <c r="B98" t="s">
        <v>286</v>
      </c>
      <c r="C98" t="s">
        <v>1527</v>
      </c>
      <c r="D98" t="s">
        <v>1528</v>
      </c>
      <c r="E98" t="s">
        <v>234</v>
      </c>
      <c r="F98" s="5">
        <v>235.8</v>
      </c>
      <c r="G98" t="s">
        <v>1529</v>
      </c>
      <c r="H98" s="3">
        <v>6</v>
      </c>
      <c r="I98" s="3">
        <v>100</v>
      </c>
      <c r="J98" s="3">
        <v>100</v>
      </c>
      <c r="K98" s="3">
        <v>53.13</v>
      </c>
      <c r="L98">
        <f t="shared" si="10"/>
        <v>0.06</v>
      </c>
      <c r="M98">
        <f>L98*N98</f>
        <v>12</v>
      </c>
      <c r="N98" s="8">
        <v>200</v>
      </c>
      <c r="O98" s="14">
        <f t="shared" si="11"/>
        <v>47160</v>
      </c>
      <c r="P98" s="3">
        <v>30</v>
      </c>
      <c r="Q98" s="8">
        <f t="shared" si="12"/>
        <v>6.666666666666667</v>
      </c>
      <c r="R98" s="8">
        <f t="shared" si="13"/>
        <v>200</v>
      </c>
      <c r="S98" s="8">
        <f t="shared" si="14"/>
        <v>206.66666666666666</v>
      </c>
      <c r="T98" s="17" t="e">
        <f t="shared" si="15"/>
        <v>#REF!</v>
      </c>
      <c r="U98" s="17" t="e">
        <f t="shared" si="16"/>
        <v>#REF!</v>
      </c>
      <c r="V98" s="26" t="s">
        <v>2982</v>
      </c>
    </row>
    <row r="99" spans="1:22" ht="15" customHeight="1" x14ac:dyDescent="0.25">
      <c r="A99" t="s">
        <v>230</v>
      </c>
      <c r="B99" t="s">
        <v>1408</v>
      </c>
      <c r="C99" t="s">
        <v>1409</v>
      </c>
      <c r="D99" t="s">
        <v>1413</v>
      </c>
      <c r="E99" t="s">
        <v>833</v>
      </c>
      <c r="F99" s="5">
        <v>93.28</v>
      </c>
      <c r="G99" t="s">
        <v>1412</v>
      </c>
      <c r="H99" s="3">
        <v>3.3</v>
      </c>
      <c r="I99" s="3">
        <v>36</v>
      </c>
      <c r="J99" s="3">
        <v>42</v>
      </c>
      <c r="K99" s="3">
        <v>1.58</v>
      </c>
      <c r="L99">
        <f t="shared" si="10"/>
        <v>4.9895999999999994E-3</v>
      </c>
      <c r="M99">
        <v>2.5</v>
      </c>
      <c r="N99" s="8">
        <f>M99/L99</f>
        <v>501.04216770883443</v>
      </c>
      <c r="O99" s="14">
        <f t="shared" si="11"/>
        <v>46737.213403880072</v>
      </c>
      <c r="P99" s="3">
        <v>10</v>
      </c>
      <c r="Q99" s="8">
        <f t="shared" si="12"/>
        <v>50.10421677088344</v>
      </c>
      <c r="R99" s="8">
        <f t="shared" si="13"/>
        <v>167.01405590294482</v>
      </c>
      <c r="S99" s="8">
        <f t="shared" si="14"/>
        <v>217.11827267382824</v>
      </c>
      <c r="T99" s="17" t="e">
        <f t="shared" si="15"/>
        <v>#REF!</v>
      </c>
      <c r="U99" s="17" t="e">
        <f t="shared" si="16"/>
        <v>#REF!</v>
      </c>
      <c r="V99" s="26" t="s">
        <v>2982</v>
      </c>
    </row>
    <row r="100" spans="1:22" ht="15" customHeight="1" x14ac:dyDescent="0.25">
      <c r="A100" t="s">
        <v>230</v>
      </c>
      <c r="B100" t="s">
        <v>286</v>
      </c>
      <c r="C100" t="s">
        <v>250</v>
      </c>
      <c r="D100" t="s">
        <v>1502</v>
      </c>
      <c r="E100" t="s">
        <v>234</v>
      </c>
      <c r="F100" s="5">
        <v>259.60000000000002</v>
      </c>
      <c r="G100" t="s">
        <v>249</v>
      </c>
      <c r="H100" s="3">
        <v>22</v>
      </c>
      <c r="I100" s="3">
        <v>45</v>
      </c>
      <c r="J100" s="3">
        <v>45</v>
      </c>
      <c r="K100" s="3">
        <v>20.350000000000001</v>
      </c>
      <c r="L100">
        <f t="shared" si="10"/>
        <v>4.4549999999999999E-2</v>
      </c>
      <c r="M100">
        <f>L100*N100</f>
        <v>8.0190000000000001</v>
      </c>
      <c r="N100" s="8">
        <v>180</v>
      </c>
      <c r="O100" s="14">
        <f t="shared" si="11"/>
        <v>46728.000000000007</v>
      </c>
      <c r="P100" s="3">
        <v>30</v>
      </c>
      <c r="Q100" s="8">
        <f t="shared" si="12"/>
        <v>6</v>
      </c>
      <c r="R100" s="8">
        <f t="shared" si="13"/>
        <v>180</v>
      </c>
      <c r="S100" s="8">
        <f t="shared" si="14"/>
        <v>186</v>
      </c>
      <c r="T100" s="17" t="e">
        <f t="shared" si="15"/>
        <v>#REF!</v>
      </c>
      <c r="U100" s="17" t="e">
        <f t="shared" si="16"/>
        <v>#REF!</v>
      </c>
      <c r="V100" s="26" t="s">
        <v>2982</v>
      </c>
    </row>
    <row r="101" spans="1:22" ht="15" customHeight="1" x14ac:dyDescent="0.25">
      <c r="A101" t="s">
        <v>230</v>
      </c>
      <c r="B101" t="s">
        <v>286</v>
      </c>
      <c r="C101" t="s">
        <v>238</v>
      </c>
      <c r="D101" t="s">
        <v>1496</v>
      </c>
      <c r="E101" t="s">
        <v>234</v>
      </c>
      <c r="F101" s="7">
        <v>259.39999999999998</v>
      </c>
      <c r="G101" t="s">
        <v>235</v>
      </c>
      <c r="H101" s="3">
        <v>22</v>
      </c>
      <c r="I101" s="3">
        <v>43</v>
      </c>
      <c r="J101" s="3">
        <v>43</v>
      </c>
      <c r="K101" s="3">
        <v>20.350000000000001</v>
      </c>
      <c r="L101">
        <f t="shared" si="10"/>
        <v>4.0677999999999999E-2</v>
      </c>
      <c r="M101">
        <f>L101*N101</f>
        <v>7.3220399999999994</v>
      </c>
      <c r="N101" s="8">
        <v>180</v>
      </c>
      <c r="O101" s="14">
        <f t="shared" si="11"/>
        <v>46691.999999999993</v>
      </c>
      <c r="P101" s="3">
        <v>30</v>
      </c>
      <c r="Q101" s="8">
        <f t="shared" si="12"/>
        <v>6</v>
      </c>
      <c r="R101" s="8">
        <f t="shared" si="13"/>
        <v>180</v>
      </c>
      <c r="S101" s="8">
        <f t="shared" si="14"/>
        <v>186</v>
      </c>
      <c r="T101" s="17" t="e">
        <f t="shared" si="15"/>
        <v>#REF!</v>
      </c>
      <c r="U101" s="17" t="e">
        <f t="shared" si="16"/>
        <v>#REF!</v>
      </c>
      <c r="V101" s="26" t="s">
        <v>2982</v>
      </c>
    </row>
    <row r="102" spans="1:22" ht="15" customHeight="1" x14ac:dyDescent="0.25">
      <c r="A102" t="s">
        <v>230</v>
      </c>
      <c r="B102" t="s">
        <v>286</v>
      </c>
      <c r="C102" t="s">
        <v>1542</v>
      </c>
      <c r="D102" t="s">
        <v>1543</v>
      </c>
      <c r="E102" t="s">
        <v>234</v>
      </c>
      <c r="F102" s="5">
        <v>219.8</v>
      </c>
      <c r="G102" t="s">
        <v>1537</v>
      </c>
      <c r="H102" s="3">
        <v>6</v>
      </c>
      <c r="I102" s="3">
        <v>60</v>
      </c>
      <c r="J102" s="3">
        <v>120</v>
      </c>
      <c r="K102" s="3">
        <v>50</v>
      </c>
      <c r="L102">
        <f t="shared" si="10"/>
        <v>4.3200000000000002E-2</v>
      </c>
      <c r="M102">
        <f>L102*N102</f>
        <v>8.64</v>
      </c>
      <c r="N102" s="8">
        <v>200</v>
      </c>
      <c r="O102" s="14">
        <f t="shared" si="11"/>
        <v>43960</v>
      </c>
      <c r="P102" s="3">
        <v>30</v>
      </c>
      <c r="Q102" s="8">
        <f t="shared" si="12"/>
        <v>6.666666666666667</v>
      </c>
      <c r="R102" s="8">
        <f t="shared" si="13"/>
        <v>200</v>
      </c>
      <c r="S102" s="8">
        <f t="shared" si="14"/>
        <v>206.66666666666666</v>
      </c>
      <c r="T102" s="17" t="e">
        <f t="shared" si="15"/>
        <v>#REF!</v>
      </c>
      <c r="U102" s="17" t="e">
        <f t="shared" si="16"/>
        <v>#REF!</v>
      </c>
      <c r="V102" s="26" t="s">
        <v>2982</v>
      </c>
    </row>
    <row r="103" spans="1:22" ht="15" customHeight="1" x14ac:dyDescent="0.25">
      <c r="A103" t="s">
        <v>230</v>
      </c>
      <c r="B103" t="s">
        <v>1408</v>
      </c>
      <c r="C103" t="s">
        <v>1487</v>
      </c>
      <c r="D103" t="s">
        <v>1488</v>
      </c>
      <c r="E103" t="s">
        <v>833</v>
      </c>
      <c r="F103" s="5">
        <v>30.9</v>
      </c>
      <c r="G103" t="s">
        <v>606</v>
      </c>
      <c r="H103" s="3">
        <v>14.5</v>
      </c>
      <c r="I103" s="3">
        <v>24.5</v>
      </c>
      <c r="J103" s="3">
        <v>9</v>
      </c>
      <c r="K103" s="3">
        <v>10</v>
      </c>
      <c r="L103">
        <f t="shared" si="10"/>
        <v>3.19725E-3</v>
      </c>
      <c r="M103">
        <v>4.5</v>
      </c>
      <c r="N103" s="8">
        <f>M103/L103</f>
        <v>1407.4595355383533</v>
      </c>
      <c r="O103" s="14">
        <f t="shared" si="11"/>
        <v>43490.499648135112</v>
      </c>
      <c r="P103" s="3">
        <v>10</v>
      </c>
      <c r="Q103" s="8">
        <f t="shared" si="12"/>
        <v>140.74595355383534</v>
      </c>
      <c r="R103" s="8">
        <f t="shared" si="13"/>
        <v>469.15317851278445</v>
      </c>
      <c r="S103" s="8">
        <f t="shared" si="14"/>
        <v>609.89913206661981</v>
      </c>
      <c r="T103" s="17" t="e">
        <f t="shared" si="15"/>
        <v>#REF!</v>
      </c>
      <c r="U103" s="17" t="e">
        <f t="shared" si="16"/>
        <v>#REF!</v>
      </c>
      <c r="V103" s="28" t="s">
        <v>2983</v>
      </c>
    </row>
    <row r="104" spans="1:22" ht="15" customHeight="1" x14ac:dyDescent="0.25">
      <c r="A104" t="s">
        <v>230</v>
      </c>
      <c r="B104" t="s">
        <v>292</v>
      </c>
      <c r="C104" t="s">
        <v>1644</v>
      </c>
      <c r="D104" t="s">
        <v>1645</v>
      </c>
      <c r="E104" t="s">
        <v>234</v>
      </c>
      <c r="F104" s="5">
        <v>56.3</v>
      </c>
      <c r="G104" t="s">
        <v>1646</v>
      </c>
      <c r="H104" s="3">
        <v>0.3</v>
      </c>
      <c r="I104" s="3">
        <v>94</v>
      </c>
      <c r="J104" s="3">
        <v>18.399999999999999</v>
      </c>
      <c r="K104" s="3">
        <v>518.88</v>
      </c>
      <c r="L104">
        <f t="shared" si="10"/>
        <v>5.1887999999999999E-4</v>
      </c>
      <c r="M104">
        <f>L104*N104</f>
        <v>0.3943488</v>
      </c>
      <c r="N104" s="8">
        <v>760</v>
      </c>
      <c r="O104" s="14">
        <f t="shared" si="11"/>
        <v>42788</v>
      </c>
      <c r="P104" s="3">
        <v>20</v>
      </c>
      <c r="Q104" s="8">
        <f t="shared" si="12"/>
        <v>38</v>
      </c>
      <c r="R104" s="8">
        <f t="shared" si="13"/>
        <v>506.66666666666663</v>
      </c>
      <c r="S104" s="8">
        <f t="shared" si="14"/>
        <v>544.66666666666663</v>
      </c>
      <c r="T104" s="17" t="e">
        <f t="shared" si="15"/>
        <v>#REF!</v>
      </c>
      <c r="U104" s="17" t="e">
        <f t="shared" si="16"/>
        <v>#REF!</v>
      </c>
      <c r="V104" s="28" t="s">
        <v>2983</v>
      </c>
    </row>
    <row r="105" spans="1:22" ht="15" customHeight="1" x14ac:dyDescent="0.25">
      <c r="A105" t="s">
        <v>230</v>
      </c>
      <c r="B105" t="s">
        <v>286</v>
      </c>
      <c r="C105" t="s">
        <v>278</v>
      </c>
      <c r="D105" t="s">
        <v>1521</v>
      </c>
      <c r="E105" t="s">
        <v>234</v>
      </c>
      <c r="F105" s="5">
        <v>614.4</v>
      </c>
      <c r="G105" t="s">
        <v>237</v>
      </c>
      <c r="H105" s="3">
        <v>22</v>
      </c>
      <c r="I105" s="3">
        <v>60</v>
      </c>
      <c r="J105" s="3">
        <v>60</v>
      </c>
      <c r="K105" s="3">
        <v>20.350000000000001</v>
      </c>
      <c r="L105">
        <f t="shared" si="10"/>
        <v>7.9200000000000007E-2</v>
      </c>
      <c r="M105">
        <f>L105*N105</f>
        <v>5.1480000000000006</v>
      </c>
      <c r="N105" s="8">
        <v>65</v>
      </c>
      <c r="O105" s="14">
        <f t="shared" si="11"/>
        <v>39936</v>
      </c>
      <c r="P105" s="3">
        <v>30</v>
      </c>
      <c r="Q105" s="8">
        <f t="shared" si="12"/>
        <v>2.1666666666666665</v>
      </c>
      <c r="R105" s="8">
        <f t="shared" si="13"/>
        <v>65</v>
      </c>
      <c r="S105" s="8">
        <f t="shared" si="14"/>
        <v>67.166666666666671</v>
      </c>
      <c r="T105" s="17" t="e">
        <f t="shared" si="15"/>
        <v>#REF!</v>
      </c>
      <c r="U105" s="17" t="e">
        <f t="shared" si="16"/>
        <v>#REF!</v>
      </c>
      <c r="V105" s="28" t="s">
        <v>2983</v>
      </c>
    </row>
    <row r="106" spans="1:22" ht="15" customHeight="1" x14ac:dyDescent="0.25">
      <c r="A106" t="s">
        <v>230</v>
      </c>
      <c r="B106" t="s">
        <v>1637</v>
      </c>
      <c r="C106" t="s">
        <v>214</v>
      </c>
      <c r="D106" t="s">
        <v>219</v>
      </c>
      <c r="E106" t="s">
        <v>480</v>
      </c>
      <c r="F106" s="5">
        <v>877.95500000000004</v>
      </c>
      <c r="G106" t="s">
        <v>314</v>
      </c>
      <c r="H106" s="3">
        <v>50</v>
      </c>
      <c r="I106" s="3">
        <v>150</v>
      </c>
      <c r="J106" s="3">
        <v>150</v>
      </c>
      <c r="K106" s="3">
        <v>23</v>
      </c>
      <c r="L106">
        <f t="shared" si="10"/>
        <v>1.125</v>
      </c>
      <c r="M106">
        <f>L106*N106</f>
        <v>50.625</v>
      </c>
      <c r="N106" s="8">
        <v>45</v>
      </c>
      <c r="O106" s="14">
        <f t="shared" si="11"/>
        <v>39507.974999999999</v>
      </c>
      <c r="P106" s="3">
        <v>40</v>
      </c>
      <c r="Q106" s="8">
        <f t="shared" si="12"/>
        <v>1.125</v>
      </c>
      <c r="R106" s="8">
        <f t="shared" si="13"/>
        <v>60</v>
      </c>
      <c r="S106" s="8">
        <f t="shared" si="14"/>
        <v>61.125</v>
      </c>
      <c r="T106" s="17" t="e">
        <f t="shared" si="15"/>
        <v>#REF!</v>
      </c>
      <c r="U106" s="17" t="e">
        <f t="shared" si="16"/>
        <v>#REF!</v>
      </c>
      <c r="V106" s="28" t="s">
        <v>2983</v>
      </c>
    </row>
    <row r="107" spans="1:22" ht="15" customHeight="1" x14ac:dyDescent="0.25">
      <c r="A107" t="s">
        <v>230</v>
      </c>
      <c r="B107" t="s">
        <v>286</v>
      </c>
      <c r="C107" t="s">
        <v>263</v>
      </c>
      <c r="D107" t="s">
        <v>1510</v>
      </c>
      <c r="E107" t="s">
        <v>234</v>
      </c>
      <c r="F107" s="5">
        <v>338</v>
      </c>
      <c r="G107" t="s">
        <v>240</v>
      </c>
      <c r="H107" s="3">
        <v>22</v>
      </c>
      <c r="I107" s="3">
        <v>50</v>
      </c>
      <c r="J107" s="3">
        <v>50</v>
      </c>
      <c r="K107" s="3">
        <v>20.350000000000001</v>
      </c>
      <c r="L107">
        <f t="shared" si="10"/>
        <v>5.5E-2</v>
      </c>
      <c r="M107">
        <f>L107*N107</f>
        <v>6.05</v>
      </c>
      <c r="N107" s="8">
        <v>110</v>
      </c>
      <c r="O107" s="14">
        <f t="shared" si="11"/>
        <v>37180</v>
      </c>
      <c r="P107" s="3">
        <v>30</v>
      </c>
      <c r="Q107" s="8">
        <f t="shared" si="12"/>
        <v>3.6666666666666665</v>
      </c>
      <c r="R107" s="8">
        <f t="shared" si="13"/>
        <v>110</v>
      </c>
      <c r="S107" s="8">
        <f t="shared" si="14"/>
        <v>113.66666666666667</v>
      </c>
      <c r="T107" s="17" t="e">
        <f t="shared" si="15"/>
        <v>#REF!</v>
      </c>
      <c r="U107" s="17" t="e">
        <f t="shared" si="16"/>
        <v>#REF!</v>
      </c>
      <c r="V107" s="28" t="s">
        <v>2983</v>
      </c>
    </row>
    <row r="108" spans="1:22" ht="15" customHeight="1" x14ac:dyDescent="0.25">
      <c r="A108" t="s">
        <v>230</v>
      </c>
      <c r="B108" t="s">
        <v>1408</v>
      </c>
      <c r="C108" t="s">
        <v>1489</v>
      </c>
      <c r="D108" t="s">
        <v>1490</v>
      </c>
      <c r="E108" t="s">
        <v>833</v>
      </c>
      <c r="F108" s="5">
        <v>33.9</v>
      </c>
      <c r="G108" t="s">
        <v>606</v>
      </c>
      <c r="H108" s="3">
        <v>40</v>
      </c>
      <c r="I108" s="3">
        <v>15.4</v>
      </c>
      <c r="J108" s="3">
        <v>9</v>
      </c>
      <c r="K108" s="3">
        <v>10</v>
      </c>
      <c r="L108">
        <f t="shared" si="10"/>
        <v>5.5440000000000003E-3</v>
      </c>
      <c r="M108">
        <v>6</v>
      </c>
      <c r="N108" s="8">
        <f>M108/L108</f>
        <v>1082.2510822510822</v>
      </c>
      <c r="O108" s="14">
        <f t="shared" si="11"/>
        <v>36688.311688311682</v>
      </c>
      <c r="P108" s="3">
        <v>10</v>
      </c>
      <c r="Q108" s="8">
        <f t="shared" si="12"/>
        <v>108.22510822510822</v>
      </c>
      <c r="R108" s="8">
        <f t="shared" si="13"/>
        <v>360.75036075036076</v>
      </c>
      <c r="S108" s="8">
        <f t="shared" si="14"/>
        <v>468.97546897546897</v>
      </c>
      <c r="T108" s="17" t="e">
        <f t="shared" si="15"/>
        <v>#REF!</v>
      </c>
      <c r="U108" s="17" t="e">
        <f t="shared" si="16"/>
        <v>#REF!</v>
      </c>
      <c r="V108" s="28" t="s">
        <v>2983</v>
      </c>
    </row>
    <row r="109" spans="1:22" ht="15" customHeight="1" x14ac:dyDescent="0.25">
      <c r="A109" t="s">
        <v>230</v>
      </c>
      <c r="B109" t="s">
        <v>297</v>
      </c>
      <c r="C109" t="s">
        <v>1696</v>
      </c>
      <c r="D109" t="s">
        <v>1699</v>
      </c>
      <c r="E109" t="s">
        <v>298</v>
      </c>
      <c r="F109" s="5">
        <v>29.9</v>
      </c>
      <c r="G109" t="s">
        <v>301</v>
      </c>
      <c r="H109" s="3">
        <v>34</v>
      </c>
      <c r="I109" s="3">
        <v>24</v>
      </c>
      <c r="J109" s="3">
        <v>24</v>
      </c>
      <c r="K109" s="3">
        <v>31.1</v>
      </c>
      <c r="L109">
        <f t="shared" si="10"/>
        <v>1.9584000000000001E-2</v>
      </c>
      <c r="M109">
        <f t="shared" ref="M109:M114" si="18">L109*N109</f>
        <v>23.500800000000002</v>
      </c>
      <c r="N109" s="8">
        <v>1200</v>
      </c>
      <c r="O109" s="14">
        <f t="shared" si="11"/>
        <v>35880</v>
      </c>
      <c r="P109" s="3">
        <v>10</v>
      </c>
      <c r="Q109" s="8">
        <f t="shared" si="12"/>
        <v>120</v>
      </c>
      <c r="R109" s="8">
        <f t="shared" si="13"/>
        <v>400</v>
      </c>
      <c r="S109" s="8">
        <f t="shared" si="14"/>
        <v>520</v>
      </c>
      <c r="T109" s="17" t="e">
        <f t="shared" si="15"/>
        <v>#REF!</v>
      </c>
      <c r="U109" s="17" t="e">
        <f t="shared" si="16"/>
        <v>#REF!</v>
      </c>
      <c r="V109" s="28" t="s">
        <v>2983</v>
      </c>
    </row>
    <row r="110" spans="1:22" ht="15" customHeight="1" x14ac:dyDescent="0.25">
      <c r="A110" t="s">
        <v>230</v>
      </c>
      <c r="B110" t="s">
        <v>286</v>
      </c>
      <c r="C110" t="s">
        <v>255</v>
      </c>
      <c r="D110" t="s">
        <v>1506</v>
      </c>
      <c r="E110" t="s">
        <v>234</v>
      </c>
      <c r="F110" s="5">
        <v>198</v>
      </c>
      <c r="G110" t="s">
        <v>235</v>
      </c>
      <c r="H110" s="3">
        <v>22</v>
      </c>
      <c r="I110" s="3">
        <v>43</v>
      </c>
      <c r="J110" s="3">
        <v>43</v>
      </c>
      <c r="K110" s="3">
        <v>20.350000000000001</v>
      </c>
      <c r="L110">
        <f t="shared" si="10"/>
        <v>4.0677999999999999E-2</v>
      </c>
      <c r="M110">
        <f t="shared" si="18"/>
        <v>7.3220399999999994</v>
      </c>
      <c r="N110" s="8">
        <v>180</v>
      </c>
      <c r="O110" s="14">
        <f t="shared" si="11"/>
        <v>35640</v>
      </c>
      <c r="P110" s="3">
        <v>30</v>
      </c>
      <c r="Q110" s="8">
        <f t="shared" si="12"/>
        <v>6</v>
      </c>
      <c r="R110" s="8">
        <f t="shared" si="13"/>
        <v>180</v>
      </c>
      <c r="S110" s="8">
        <f t="shared" si="14"/>
        <v>186</v>
      </c>
      <c r="T110" s="17" t="e">
        <f t="shared" si="15"/>
        <v>#REF!</v>
      </c>
      <c r="U110" s="17" t="e">
        <f t="shared" si="16"/>
        <v>#REF!</v>
      </c>
      <c r="V110" s="28" t="s">
        <v>2983</v>
      </c>
    </row>
    <row r="111" spans="1:22" ht="15" customHeight="1" x14ac:dyDescent="0.25">
      <c r="A111" t="s">
        <v>230</v>
      </c>
      <c r="B111" t="s">
        <v>292</v>
      </c>
      <c r="C111" t="s">
        <v>1662</v>
      </c>
      <c r="D111" t="s">
        <v>1663</v>
      </c>
      <c r="E111" t="s">
        <v>234</v>
      </c>
      <c r="F111" s="5">
        <v>44.9</v>
      </c>
      <c r="G111" t="s">
        <v>1664</v>
      </c>
      <c r="H111" s="3">
        <v>2</v>
      </c>
      <c r="I111" s="3">
        <v>30</v>
      </c>
      <c r="J111" s="3">
        <v>30</v>
      </c>
      <c r="K111" s="3">
        <v>18</v>
      </c>
      <c r="L111">
        <f t="shared" si="10"/>
        <v>1.8E-3</v>
      </c>
      <c r="M111">
        <f t="shared" si="18"/>
        <v>1.3679999999999999</v>
      </c>
      <c r="N111" s="8">
        <v>760</v>
      </c>
      <c r="O111" s="14">
        <f t="shared" si="11"/>
        <v>34124</v>
      </c>
      <c r="P111" s="3">
        <v>20</v>
      </c>
      <c r="Q111" s="8">
        <f t="shared" si="12"/>
        <v>38</v>
      </c>
      <c r="R111" s="8">
        <f t="shared" si="13"/>
        <v>506.66666666666663</v>
      </c>
      <c r="S111" s="8">
        <f t="shared" si="14"/>
        <v>544.66666666666663</v>
      </c>
      <c r="T111" s="17" t="e">
        <f t="shared" si="15"/>
        <v>#REF!</v>
      </c>
      <c r="U111" s="17" t="e">
        <f t="shared" si="16"/>
        <v>#REF!</v>
      </c>
      <c r="V111" s="28" t="s">
        <v>2983</v>
      </c>
    </row>
    <row r="112" spans="1:22" ht="15" customHeight="1" x14ac:dyDescent="0.25">
      <c r="A112" t="s">
        <v>230</v>
      </c>
      <c r="B112" t="s">
        <v>286</v>
      </c>
      <c r="C112" t="s">
        <v>265</v>
      </c>
      <c r="D112" t="s">
        <v>1512</v>
      </c>
      <c r="E112" t="s">
        <v>234</v>
      </c>
      <c r="F112" s="5">
        <v>298.8</v>
      </c>
      <c r="G112" t="s">
        <v>260</v>
      </c>
      <c r="H112" s="3">
        <v>22</v>
      </c>
      <c r="I112" s="3">
        <v>45</v>
      </c>
      <c r="J112" s="3">
        <v>45</v>
      </c>
      <c r="K112" s="3">
        <v>20.350000000000001</v>
      </c>
      <c r="L112">
        <f t="shared" si="10"/>
        <v>4.4549999999999999E-2</v>
      </c>
      <c r="M112">
        <f t="shared" si="18"/>
        <v>4.9005000000000001</v>
      </c>
      <c r="N112" s="8">
        <v>110</v>
      </c>
      <c r="O112" s="14">
        <f t="shared" si="11"/>
        <v>32868</v>
      </c>
      <c r="P112" s="3">
        <v>30</v>
      </c>
      <c r="Q112" s="8">
        <f t="shared" si="12"/>
        <v>3.6666666666666665</v>
      </c>
      <c r="R112" s="8">
        <f t="shared" si="13"/>
        <v>110</v>
      </c>
      <c r="S112" s="8">
        <f t="shared" si="14"/>
        <v>113.66666666666667</v>
      </c>
      <c r="T112" s="17" t="e">
        <f t="shared" si="15"/>
        <v>#REF!</v>
      </c>
      <c r="U112" s="17" t="e">
        <f t="shared" si="16"/>
        <v>#REF!</v>
      </c>
      <c r="V112" s="28" t="s">
        <v>2983</v>
      </c>
    </row>
    <row r="113" spans="1:22" ht="15" customHeight="1" x14ac:dyDescent="0.25">
      <c r="A113" t="s">
        <v>230</v>
      </c>
      <c r="B113" t="s">
        <v>1637</v>
      </c>
      <c r="C113" t="s">
        <v>214</v>
      </c>
      <c r="D113" t="s">
        <v>215</v>
      </c>
      <c r="E113" t="s">
        <v>480</v>
      </c>
      <c r="F113" s="5">
        <v>1302.665</v>
      </c>
      <c r="G113" t="s">
        <v>314</v>
      </c>
      <c r="H113" s="3">
        <v>50</v>
      </c>
      <c r="I113" s="3">
        <v>150</v>
      </c>
      <c r="J113" s="3">
        <v>150</v>
      </c>
      <c r="K113" s="3">
        <v>41</v>
      </c>
      <c r="L113">
        <f t="shared" si="10"/>
        <v>1.125</v>
      </c>
      <c r="M113">
        <f t="shared" si="18"/>
        <v>28.125</v>
      </c>
      <c r="N113" s="8">
        <v>25</v>
      </c>
      <c r="O113" s="14">
        <f t="shared" si="11"/>
        <v>32566.625</v>
      </c>
      <c r="P113" s="3">
        <v>40</v>
      </c>
      <c r="Q113" s="8">
        <f t="shared" si="12"/>
        <v>0.625</v>
      </c>
      <c r="R113" s="8">
        <f t="shared" si="13"/>
        <v>33.333333333333336</v>
      </c>
      <c r="S113" s="8">
        <f t="shared" si="14"/>
        <v>33.958333333333336</v>
      </c>
      <c r="T113" s="17" t="e">
        <f t="shared" si="15"/>
        <v>#REF!</v>
      </c>
      <c r="U113" s="17" t="e">
        <f t="shared" si="16"/>
        <v>#REF!</v>
      </c>
      <c r="V113" s="28" t="s">
        <v>2983</v>
      </c>
    </row>
    <row r="114" spans="1:22" ht="15" customHeight="1" x14ac:dyDescent="0.25">
      <c r="A114" t="s">
        <v>230</v>
      </c>
      <c r="B114" t="s">
        <v>286</v>
      </c>
      <c r="C114" t="s">
        <v>274</v>
      </c>
      <c r="D114" t="s">
        <v>1518</v>
      </c>
      <c r="E114" t="s">
        <v>234</v>
      </c>
      <c r="F114" s="5">
        <v>499.2</v>
      </c>
      <c r="G114" t="s">
        <v>262</v>
      </c>
      <c r="H114" s="3">
        <v>22</v>
      </c>
      <c r="I114" s="3">
        <v>44.5</v>
      </c>
      <c r="J114" s="3">
        <v>44.5</v>
      </c>
      <c r="K114" s="3">
        <v>20.350000000000001</v>
      </c>
      <c r="L114">
        <f t="shared" si="10"/>
        <v>4.35655E-2</v>
      </c>
      <c r="M114">
        <f t="shared" si="18"/>
        <v>2.8317575000000001</v>
      </c>
      <c r="N114" s="8">
        <v>65</v>
      </c>
      <c r="O114" s="14">
        <f t="shared" si="11"/>
        <v>32448</v>
      </c>
      <c r="P114" s="3">
        <v>30</v>
      </c>
      <c r="Q114" s="8">
        <f t="shared" si="12"/>
        <v>2.1666666666666665</v>
      </c>
      <c r="R114" s="8">
        <f t="shared" si="13"/>
        <v>65</v>
      </c>
      <c r="S114" s="8">
        <f t="shared" si="14"/>
        <v>67.166666666666671</v>
      </c>
      <c r="T114" s="17" t="e">
        <f t="shared" si="15"/>
        <v>#REF!</v>
      </c>
      <c r="U114" s="17" t="e">
        <f t="shared" si="16"/>
        <v>#REF!</v>
      </c>
      <c r="V114" s="28" t="s">
        <v>2983</v>
      </c>
    </row>
    <row r="115" spans="1:22" ht="15" customHeight="1" x14ac:dyDescent="0.25">
      <c r="A115" t="s">
        <v>230</v>
      </c>
      <c r="B115" t="s">
        <v>1408</v>
      </c>
      <c r="C115" t="s">
        <v>1462</v>
      </c>
      <c r="D115" t="s">
        <v>1463</v>
      </c>
      <c r="E115" t="s">
        <v>833</v>
      </c>
      <c r="F115" s="5">
        <v>120.8</v>
      </c>
      <c r="G115" t="s">
        <v>1459</v>
      </c>
      <c r="H115" s="3">
        <v>40</v>
      </c>
      <c r="I115" s="3">
        <v>27</v>
      </c>
      <c r="J115" s="3">
        <v>27</v>
      </c>
      <c r="K115" s="3">
        <v>1.3</v>
      </c>
      <c r="L115">
        <f t="shared" si="10"/>
        <v>2.9159999999999998E-2</v>
      </c>
      <c r="M115">
        <v>7.5</v>
      </c>
      <c r="N115" s="8">
        <f>M115/L115</f>
        <v>257.20164609053501</v>
      </c>
      <c r="O115" s="14">
        <f t="shared" si="11"/>
        <v>31069.958847736627</v>
      </c>
      <c r="P115" s="3">
        <v>10</v>
      </c>
      <c r="Q115" s="8">
        <f t="shared" si="12"/>
        <v>25.720164609053501</v>
      </c>
      <c r="R115" s="8">
        <f t="shared" si="13"/>
        <v>85.733882030178336</v>
      </c>
      <c r="S115" s="8">
        <f t="shared" si="14"/>
        <v>111.45404663923183</v>
      </c>
      <c r="T115" s="17" t="e">
        <f t="shared" si="15"/>
        <v>#REF!</v>
      </c>
      <c r="U115" s="17" t="e">
        <f t="shared" si="16"/>
        <v>#REF!</v>
      </c>
      <c r="V115" s="28" t="s">
        <v>2983</v>
      </c>
    </row>
    <row r="116" spans="1:22" ht="15" customHeight="1" x14ac:dyDescent="0.25">
      <c r="A116" t="s">
        <v>230</v>
      </c>
      <c r="B116" t="s">
        <v>286</v>
      </c>
      <c r="C116" t="s">
        <v>257</v>
      </c>
      <c r="D116" t="s">
        <v>258</v>
      </c>
      <c r="E116" t="s">
        <v>234</v>
      </c>
      <c r="F116" s="5">
        <v>281.39999999999998</v>
      </c>
      <c r="G116" t="s">
        <v>235</v>
      </c>
      <c r="H116" s="3">
        <v>22</v>
      </c>
      <c r="I116" s="3">
        <v>43</v>
      </c>
      <c r="J116" s="3">
        <v>43</v>
      </c>
      <c r="K116" s="3">
        <v>20.350000000000001</v>
      </c>
      <c r="L116">
        <f t="shared" si="10"/>
        <v>4.0677999999999999E-2</v>
      </c>
      <c r="M116">
        <f t="shared" ref="M116:M121" si="19">L116*N116</f>
        <v>4.4745799999999996</v>
      </c>
      <c r="N116" s="8">
        <v>110</v>
      </c>
      <c r="O116" s="14">
        <f t="shared" si="11"/>
        <v>30953.999999999996</v>
      </c>
      <c r="P116" s="3">
        <v>30</v>
      </c>
      <c r="Q116" s="8">
        <f t="shared" si="12"/>
        <v>3.6666666666666665</v>
      </c>
      <c r="R116" s="8">
        <f t="shared" si="13"/>
        <v>110</v>
      </c>
      <c r="S116" s="8">
        <f t="shared" si="14"/>
        <v>113.66666666666667</v>
      </c>
      <c r="T116" s="17" t="e">
        <f t="shared" si="15"/>
        <v>#REF!</v>
      </c>
      <c r="U116" s="17" t="e">
        <f t="shared" si="16"/>
        <v>#REF!</v>
      </c>
      <c r="V116" s="28" t="s">
        <v>2983</v>
      </c>
    </row>
    <row r="117" spans="1:22" ht="15" customHeight="1" x14ac:dyDescent="0.25">
      <c r="A117" t="s">
        <v>230</v>
      </c>
      <c r="B117" t="s">
        <v>286</v>
      </c>
      <c r="C117" t="s">
        <v>259</v>
      </c>
      <c r="D117" t="s">
        <v>1508</v>
      </c>
      <c r="E117" t="s">
        <v>234</v>
      </c>
      <c r="F117" s="5">
        <v>279.39999999999998</v>
      </c>
      <c r="G117" t="s">
        <v>260</v>
      </c>
      <c r="H117" s="3">
        <v>22</v>
      </c>
      <c r="I117" s="3">
        <v>45</v>
      </c>
      <c r="J117" s="3">
        <v>45</v>
      </c>
      <c r="K117" s="3">
        <v>20.350000000000001</v>
      </c>
      <c r="L117">
        <f t="shared" si="10"/>
        <v>4.4549999999999999E-2</v>
      </c>
      <c r="M117">
        <f t="shared" si="19"/>
        <v>4.9005000000000001</v>
      </c>
      <c r="N117" s="8">
        <v>110</v>
      </c>
      <c r="O117" s="14">
        <f t="shared" si="11"/>
        <v>30733.999999999996</v>
      </c>
      <c r="P117" s="3">
        <v>30</v>
      </c>
      <c r="Q117" s="8">
        <f t="shared" si="12"/>
        <v>3.6666666666666665</v>
      </c>
      <c r="R117" s="8">
        <f t="shared" si="13"/>
        <v>110</v>
      </c>
      <c r="S117" s="8">
        <f t="shared" si="14"/>
        <v>113.66666666666667</v>
      </c>
      <c r="T117" s="17" t="e">
        <f t="shared" si="15"/>
        <v>#REF!</v>
      </c>
      <c r="U117" s="17" t="e">
        <f t="shared" si="16"/>
        <v>#REF!</v>
      </c>
      <c r="V117" s="28" t="s">
        <v>2983</v>
      </c>
    </row>
    <row r="118" spans="1:22" ht="15" customHeight="1" x14ac:dyDescent="0.25">
      <c r="A118" t="s">
        <v>230</v>
      </c>
      <c r="B118" t="s">
        <v>286</v>
      </c>
      <c r="C118" t="s">
        <v>264</v>
      </c>
      <c r="D118" t="s">
        <v>1511</v>
      </c>
      <c r="E118" t="s">
        <v>234</v>
      </c>
      <c r="F118" s="5">
        <v>279.39999999999998</v>
      </c>
      <c r="G118" t="s">
        <v>235</v>
      </c>
      <c r="H118" s="3">
        <v>22</v>
      </c>
      <c r="I118" s="3">
        <v>47</v>
      </c>
      <c r="J118" s="3">
        <v>47</v>
      </c>
      <c r="K118" s="3">
        <v>20.350000000000001</v>
      </c>
      <c r="L118">
        <f t="shared" si="10"/>
        <v>4.8598000000000002E-2</v>
      </c>
      <c r="M118">
        <f t="shared" si="19"/>
        <v>5.3457800000000004</v>
      </c>
      <c r="N118" s="8">
        <v>110</v>
      </c>
      <c r="O118" s="14">
        <f t="shared" si="11"/>
        <v>30733.999999999996</v>
      </c>
      <c r="P118" s="3">
        <v>30</v>
      </c>
      <c r="Q118" s="8">
        <f t="shared" si="12"/>
        <v>3.6666666666666665</v>
      </c>
      <c r="R118" s="8">
        <f t="shared" si="13"/>
        <v>110</v>
      </c>
      <c r="S118" s="8">
        <f t="shared" si="14"/>
        <v>113.66666666666667</v>
      </c>
      <c r="T118" s="17" t="e">
        <f t="shared" si="15"/>
        <v>#REF!</v>
      </c>
      <c r="U118" s="17" t="e">
        <f t="shared" si="16"/>
        <v>#REF!</v>
      </c>
      <c r="V118" s="28" t="s">
        <v>2983</v>
      </c>
    </row>
    <row r="119" spans="1:22" ht="15" customHeight="1" x14ac:dyDescent="0.25">
      <c r="A119" t="s">
        <v>230</v>
      </c>
      <c r="B119" t="s">
        <v>286</v>
      </c>
      <c r="C119" t="s">
        <v>277</v>
      </c>
      <c r="D119" t="s">
        <v>1520</v>
      </c>
      <c r="E119" t="s">
        <v>234</v>
      </c>
      <c r="F119" s="5">
        <v>466</v>
      </c>
      <c r="G119" t="s">
        <v>240</v>
      </c>
      <c r="H119" s="3">
        <v>22</v>
      </c>
      <c r="I119" s="3">
        <v>50</v>
      </c>
      <c r="J119" s="3">
        <v>50</v>
      </c>
      <c r="K119" s="3">
        <v>20.350000000000001</v>
      </c>
      <c r="L119">
        <f t="shared" si="10"/>
        <v>5.5E-2</v>
      </c>
      <c r="M119">
        <f t="shared" si="19"/>
        <v>3.5750000000000002</v>
      </c>
      <c r="N119" s="8">
        <v>65</v>
      </c>
      <c r="O119" s="14">
        <f t="shared" si="11"/>
        <v>30290</v>
      </c>
      <c r="P119" s="3">
        <v>30</v>
      </c>
      <c r="Q119" s="8">
        <f t="shared" si="12"/>
        <v>2.1666666666666665</v>
      </c>
      <c r="R119" s="8">
        <f t="shared" si="13"/>
        <v>65</v>
      </c>
      <c r="S119" s="8">
        <f t="shared" si="14"/>
        <v>67.166666666666671</v>
      </c>
      <c r="T119" s="17" t="e">
        <f t="shared" si="15"/>
        <v>#REF!</v>
      </c>
      <c r="U119" s="17" t="e">
        <f t="shared" si="16"/>
        <v>#REF!</v>
      </c>
      <c r="V119" s="28" t="s">
        <v>2983</v>
      </c>
    </row>
    <row r="120" spans="1:22" ht="15" customHeight="1" x14ac:dyDescent="0.25">
      <c r="A120" t="s">
        <v>230</v>
      </c>
      <c r="B120" t="s">
        <v>1637</v>
      </c>
      <c r="C120" t="s">
        <v>214</v>
      </c>
      <c r="D120" t="s">
        <v>217</v>
      </c>
      <c r="E120" t="s">
        <v>480</v>
      </c>
      <c r="F120" s="5">
        <v>1180.2049999999999</v>
      </c>
      <c r="G120" t="s">
        <v>314</v>
      </c>
      <c r="H120" s="3">
        <v>50</v>
      </c>
      <c r="I120" s="3">
        <v>150</v>
      </c>
      <c r="J120" s="3">
        <v>150</v>
      </c>
      <c r="K120" s="3">
        <v>36</v>
      </c>
      <c r="L120">
        <f t="shared" si="10"/>
        <v>1.125</v>
      </c>
      <c r="M120">
        <f t="shared" si="19"/>
        <v>28.125</v>
      </c>
      <c r="N120" s="8">
        <v>25</v>
      </c>
      <c r="O120" s="14">
        <f t="shared" si="11"/>
        <v>29505.125</v>
      </c>
      <c r="P120" s="3">
        <v>40</v>
      </c>
      <c r="Q120" s="8">
        <f t="shared" si="12"/>
        <v>0.625</v>
      </c>
      <c r="R120" s="8">
        <f t="shared" si="13"/>
        <v>33.333333333333336</v>
      </c>
      <c r="S120" s="8">
        <f t="shared" si="14"/>
        <v>33.958333333333336</v>
      </c>
      <c r="T120" s="17" t="e">
        <f t="shared" si="15"/>
        <v>#REF!</v>
      </c>
      <c r="U120" s="17" t="e">
        <f t="shared" si="16"/>
        <v>#REF!</v>
      </c>
      <c r="V120" s="28" t="s">
        <v>2983</v>
      </c>
    </row>
    <row r="121" spans="1:22" ht="15" customHeight="1" x14ac:dyDescent="0.25">
      <c r="A121" t="s">
        <v>230</v>
      </c>
      <c r="B121" t="s">
        <v>1637</v>
      </c>
      <c r="C121" t="s">
        <v>214</v>
      </c>
      <c r="D121" t="s">
        <v>218</v>
      </c>
      <c r="E121" t="s">
        <v>480</v>
      </c>
      <c r="F121" s="5">
        <v>1153.2950000000001</v>
      </c>
      <c r="G121" t="s">
        <v>314</v>
      </c>
      <c r="H121" s="3">
        <v>50</v>
      </c>
      <c r="I121" s="3">
        <v>150</v>
      </c>
      <c r="J121" s="3">
        <v>150</v>
      </c>
      <c r="K121" s="3">
        <v>36</v>
      </c>
      <c r="L121">
        <f t="shared" si="10"/>
        <v>1.125</v>
      </c>
      <c r="M121">
        <f t="shared" si="19"/>
        <v>28.125</v>
      </c>
      <c r="N121" s="8">
        <v>25</v>
      </c>
      <c r="O121" s="14">
        <f t="shared" si="11"/>
        <v>28832.375</v>
      </c>
      <c r="P121" s="3">
        <v>40</v>
      </c>
      <c r="Q121" s="8">
        <f t="shared" si="12"/>
        <v>0.625</v>
      </c>
      <c r="R121" s="8">
        <f t="shared" si="13"/>
        <v>33.333333333333336</v>
      </c>
      <c r="S121" s="8">
        <f t="shared" si="14"/>
        <v>33.958333333333336</v>
      </c>
      <c r="T121" s="17" t="e">
        <f t="shared" si="15"/>
        <v>#REF!</v>
      </c>
      <c r="U121" s="17" t="e">
        <f t="shared" si="16"/>
        <v>#REF!</v>
      </c>
      <c r="V121" s="28" t="s">
        <v>2983</v>
      </c>
    </row>
    <row r="122" spans="1:22" ht="15" customHeight="1" x14ac:dyDescent="0.25">
      <c r="A122" t="s">
        <v>230</v>
      </c>
      <c r="B122" t="s">
        <v>1408</v>
      </c>
      <c r="C122" t="s">
        <v>1460</v>
      </c>
      <c r="D122" t="s">
        <v>1461</v>
      </c>
      <c r="E122" t="s">
        <v>833</v>
      </c>
      <c r="F122" s="5">
        <v>47.9</v>
      </c>
      <c r="G122" t="s">
        <v>1459</v>
      </c>
      <c r="H122" s="3">
        <v>40</v>
      </c>
      <c r="I122" s="3">
        <v>25</v>
      </c>
      <c r="J122" s="3">
        <v>25</v>
      </c>
      <c r="K122" s="3">
        <v>1.1000000000000001</v>
      </c>
      <c r="L122">
        <f t="shared" si="10"/>
        <v>2.5000000000000001E-2</v>
      </c>
      <c r="M122">
        <v>14.5</v>
      </c>
      <c r="N122" s="8">
        <f>M122/L122</f>
        <v>580</v>
      </c>
      <c r="O122" s="14">
        <f t="shared" si="11"/>
        <v>27782</v>
      </c>
      <c r="P122" s="3">
        <v>10</v>
      </c>
      <c r="Q122" s="8">
        <f t="shared" si="12"/>
        <v>58</v>
      </c>
      <c r="R122" s="8">
        <f t="shared" si="13"/>
        <v>193.33333333333331</v>
      </c>
      <c r="S122" s="8">
        <f t="shared" si="14"/>
        <v>251.33333333333331</v>
      </c>
      <c r="T122" s="17" t="e">
        <f t="shared" si="15"/>
        <v>#REF!</v>
      </c>
      <c r="U122" s="17" t="e">
        <f t="shared" si="16"/>
        <v>#REF!</v>
      </c>
      <c r="V122" s="28" t="s">
        <v>2983</v>
      </c>
    </row>
    <row r="123" spans="1:22" ht="15" customHeight="1" x14ac:dyDescent="0.25">
      <c r="A123" t="s">
        <v>230</v>
      </c>
      <c r="B123" t="s">
        <v>292</v>
      </c>
      <c r="C123" t="s">
        <v>1678</v>
      </c>
      <c r="D123" t="s">
        <v>1679</v>
      </c>
      <c r="E123" t="s">
        <v>234</v>
      </c>
      <c r="F123" s="5">
        <v>34</v>
      </c>
      <c r="G123" t="s">
        <v>1680</v>
      </c>
      <c r="H123" s="3">
        <v>2</v>
      </c>
      <c r="I123" s="3">
        <v>180</v>
      </c>
      <c r="J123" s="3">
        <v>4</v>
      </c>
      <c r="K123" s="3">
        <v>16</v>
      </c>
      <c r="L123">
        <f t="shared" si="10"/>
        <v>1.4400000000000001E-3</v>
      </c>
      <c r="M123">
        <f t="shared" ref="M123:M147" si="20">L123*N123</f>
        <v>1.0944</v>
      </c>
      <c r="N123" s="8">
        <v>760</v>
      </c>
      <c r="O123" s="14">
        <f t="shared" si="11"/>
        <v>25840</v>
      </c>
      <c r="P123" s="3">
        <v>20</v>
      </c>
      <c r="Q123" s="8">
        <f t="shared" si="12"/>
        <v>38</v>
      </c>
      <c r="R123" s="8">
        <f t="shared" si="13"/>
        <v>506.66666666666663</v>
      </c>
      <c r="S123" s="8">
        <f t="shared" si="14"/>
        <v>544.66666666666663</v>
      </c>
      <c r="T123" s="17" t="e">
        <f t="shared" si="15"/>
        <v>#REF!</v>
      </c>
      <c r="U123" s="17" t="e">
        <f t="shared" si="16"/>
        <v>#REF!</v>
      </c>
      <c r="V123" s="28" t="s">
        <v>2983</v>
      </c>
    </row>
    <row r="124" spans="1:22" ht="15" customHeight="1" x14ac:dyDescent="0.25">
      <c r="A124" t="s">
        <v>230</v>
      </c>
      <c r="B124" t="s">
        <v>1637</v>
      </c>
      <c r="C124" t="s">
        <v>210</v>
      </c>
      <c r="D124" t="s">
        <v>211</v>
      </c>
      <c r="E124" t="s">
        <v>480</v>
      </c>
      <c r="F124" s="5">
        <v>519.93499999999995</v>
      </c>
      <c r="G124" t="s">
        <v>312</v>
      </c>
      <c r="H124" s="3">
        <v>60</v>
      </c>
      <c r="I124" s="3">
        <v>60</v>
      </c>
      <c r="J124" s="3">
        <v>60</v>
      </c>
      <c r="K124" s="3">
        <v>29.7</v>
      </c>
      <c r="L124">
        <f t="shared" si="10"/>
        <v>0.216</v>
      </c>
      <c r="M124">
        <f t="shared" si="20"/>
        <v>9.7200000000000006</v>
      </c>
      <c r="N124" s="8">
        <v>45</v>
      </c>
      <c r="O124" s="14">
        <f t="shared" si="11"/>
        <v>23397.074999999997</v>
      </c>
      <c r="P124" s="3">
        <v>40</v>
      </c>
      <c r="Q124" s="8">
        <f t="shared" si="12"/>
        <v>1.125</v>
      </c>
      <c r="R124" s="8">
        <f t="shared" si="13"/>
        <v>60</v>
      </c>
      <c r="S124" s="8">
        <f t="shared" si="14"/>
        <v>61.125</v>
      </c>
      <c r="T124" s="17" t="e">
        <f t="shared" si="15"/>
        <v>#REF!</v>
      </c>
      <c r="U124" s="17" t="e">
        <f t="shared" si="16"/>
        <v>#REF!</v>
      </c>
      <c r="V124" s="28" t="s">
        <v>2983</v>
      </c>
    </row>
    <row r="125" spans="1:22" ht="15" customHeight="1" x14ac:dyDescent="0.25">
      <c r="A125" t="s">
        <v>230</v>
      </c>
      <c r="B125" t="s">
        <v>292</v>
      </c>
      <c r="C125" t="s">
        <v>1647</v>
      </c>
      <c r="D125" t="s">
        <v>1648</v>
      </c>
      <c r="E125" t="s">
        <v>234</v>
      </c>
      <c r="F125" s="5">
        <v>30.6</v>
      </c>
      <c r="G125" t="s">
        <v>1649</v>
      </c>
      <c r="H125" s="3">
        <v>0.2</v>
      </c>
      <c r="I125" s="3">
        <v>30</v>
      </c>
      <c r="J125" s="3">
        <v>30</v>
      </c>
      <c r="K125" s="3">
        <v>180</v>
      </c>
      <c r="L125">
        <f t="shared" si="10"/>
        <v>1.8000000000000001E-4</v>
      </c>
      <c r="M125">
        <f t="shared" si="20"/>
        <v>0.1368</v>
      </c>
      <c r="N125" s="8">
        <v>760</v>
      </c>
      <c r="O125" s="14">
        <f t="shared" si="11"/>
        <v>23256</v>
      </c>
      <c r="P125" s="3">
        <v>20</v>
      </c>
      <c r="Q125" s="8">
        <f t="shared" si="12"/>
        <v>38</v>
      </c>
      <c r="R125" s="8">
        <f t="shared" si="13"/>
        <v>506.66666666666663</v>
      </c>
      <c r="S125" s="8">
        <f t="shared" si="14"/>
        <v>544.66666666666663</v>
      </c>
      <c r="T125" s="17" t="e">
        <f t="shared" si="15"/>
        <v>#REF!</v>
      </c>
      <c r="U125" s="17" t="e">
        <f t="shared" si="16"/>
        <v>#REF!</v>
      </c>
      <c r="V125" s="28" t="s">
        <v>2983</v>
      </c>
    </row>
    <row r="126" spans="1:22" ht="15" customHeight="1" x14ac:dyDescent="0.25">
      <c r="A126" t="s">
        <v>230</v>
      </c>
      <c r="B126" t="s">
        <v>1637</v>
      </c>
      <c r="C126" t="s">
        <v>214</v>
      </c>
      <c r="D126" t="s">
        <v>220</v>
      </c>
      <c r="E126" t="s">
        <v>480</v>
      </c>
      <c r="F126" s="5">
        <v>877.30499999999995</v>
      </c>
      <c r="G126" t="s">
        <v>315</v>
      </c>
      <c r="H126" s="3">
        <v>40</v>
      </c>
      <c r="I126" s="3">
        <v>140</v>
      </c>
      <c r="J126" s="3">
        <v>140</v>
      </c>
      <c r="K126" s="3">
        <v>39.4</v>
      </c>
      <c r="L126">
        <f t="shared" si="10"/>
        <v>0.78400000000000003</v>
      </c>
      <c r="M126">
        <f t="shared" si="20"/>
        <v>19.600000000000001</v>
      </c>
      <c r="N126" s="8">
        <v>25</v>
      </c>
      <c r="O126" s="14">
        <f t="shared" si="11"/>
        <v>21932.625</v>
      </c>
      <c r="P126" s="3">
        <v>40</v>
      </c>
      <c r="Q126" s="8">
        <f t="shared" si="12"/>
        <v>0.625</v>
      </c>
      <c r="R126" s="8">
        <f t="shared" si="13"/>
        <v>33.333333333333336</v>
      </c>
      <c r="S126" s="8">
        <f t="shared" si="14"/>
        <v>33.958333333333336</v>
      </c>
      <c r="T126" s="17" t="e">
        <f t="shared" si="15"/>
        <v>#REF!</v>
      </c>
      <c r="U126" s="17" t="e">
        <f t="shared" si="16"/>
        <v>#REF!</v>
      </c>
      <c r="V126" s="28" t="s">
        <v>2983</v>
      </c>
    </row>
    <row r="127" spans="1:22" ht="15" customHeight="1" x14ac:dyDescent="0.25">
      <c r="A127" t="s">
        <v>230</v>
      </c>
      <c r="B127" t="s">
        <v>1637</v>
      </c>
      <c r="C127" t="s">
        <v>214</v>
      </c>
      <c r="D127" t="s">
        <v>222</v>
      </c>
      <c r="E127" t="s">
        <v>480</v>
      </c>
      <c r="F127" s="5">
        <v>877.17499999999995</v>
      </c>
      <c r="G127" t="s">
        <v>315</v>
      </c>
      <c r="H127" s="3">
        <v>40</v>
      </c>
      <c r="I127" s="3">
        <v>140</v>
      </c>
      <c r="J127" s="3">
        <v>140</v>
      </c>
      <c r="K127" s="3">
        <v>37</v>
      </c>
      <c r="L127">
        <f t="shared" si="10"/>
        <v>0.78400000000000003</v>
      </c>
      <c r="M127">
        <f t="shared" si="20"/>
        <v>19.600000000000001</v>
      </c>
      <c r="N127" s="8">
        <v>25</v>
      </c>
      <c r="O127" s="14">
        <f t="shared" si="11"/>
        <v>21929.375</v>
      </c>
      <c r="P127" s="3">
        <v>40</v>
      </c>
      <c r="Q127" s="8">
        <f t="shared" si="12"/>
        <v>0.625</v>
      </c>
      <c r="R127" s="8">
        <f t="shared" si="13"/>
        <v>33.333333333333336</v>
      </c>
      <c r="S127" s="8">
        <f t="shared" si="14"/>
        <v>33.958333333333336</v>
      </c>
      <c r="T127" s="17" t="e">
        <f t="shared" si="15"/>
        <v>#REF!</v>
      </c>
      <c r="U127" s="17" t="e">
        <f t="shared" si="16"/>
        <v>#REF!</v>
      </c>
      <c r="V127" s="28" t="s">
        <v>2983</v>
      </c>
    </row>
    <row r="128" spans="1:22" ht="15" customHeight="1" x14ac:dyDescent="0.25">
      <c r="A128" t="s">
        <v>230</v>
      </c>
      <c r="B128" t="s">
        <v>1637</v>
      </c>
      <c r="C128" t="s">
        <v>214</v>
      </c>
      <c r="D128" t="s">
        <v>221</v>
      </c>
      <c r="E128" t="s">
        <v>480</v>
      </c>
      <c r="F128" s="5">
        <v>876.91499999999996</v>
      </c>
      <c r="G128" t="s">
        <v>315</v>
      </c>
      <c r="H128" s="3">
        <v>40</v>
      </c>
      <c r="I128" s="3">
        <v>140</v>
      </c>
      <c r="J128" s="3">
        <v>140</v>
      </c>
      <c r="K128" s="3">
        <v>39.9</v>
      </c>
      <c r="L128">
        <f t="shared" si="10"/>
        <v>0.78400000000000003</v>
      </c>
      <c r="M128">
        <f t="shared" si="20"/>
        <v>19.600000000000001</v>
      </c>
      <c r="N128" s="8">
        <v>25</v>
      </c>
      <c r="O128" s="14">
        <f t="shared" si="11"/>
        <v>21922.875</v>
      </c>
      <c r="P128" s="3">
        <v>40</v>
      </c>
      <c r="Q128" s="8">
        <f t="shared" si="12"/>
        <v>0.625</v>
      </c>
      <c r="R128" s="8">
        <f t="shared" si="13"/>
        <v>33.333333333333336</v>
      </c>
      <c r="S128" s="8">
        <f t="shared" si="14"/>
        <v>33.958333333333336</v>
      </c>
      <c r="T128" s="17" t="e">
        <f t="shared" si="15"/>
        <v>#REF!</v>
      </c>
      <c r="U128" s="17" t="e">
        <f t="shared" si="16"/>
        <v>#REF!</v>
      </c>
      <c r="V128" s="28" t="s">
        <v>2983</v>
      </c>
    </row>
    <row r="129" spans="1:22" ht="15" customHeight="1" x14ac:dyDescent="0.25">
      <c r="A129" t="s">
        <v>230</v>
      </c>
      <c r="B129" t="s">
        <v>1637</v>
      </c>
      <c r="C129" t="s">
        <v>214</v>
      </c>
      <c r="D129" t="s">
        <v>223</v>
      </c>
      <c r="E129" t="s">
        <v>480</v>
      </c>
      <c r="F129" s="5">
        <v>871.45500000000004</v>
      </c>
      <c r="G129" t="s">
        <v>315</v>
      </c>
      <c r="H129" s="3">
        <v>40</v>
      </c>
      <c r="I129" s="3">
        <v>140</v>
      </c>
      <c r="J129" s="3">
        <v>140</v>
      </c>
      <c r="K129" s="3">
        <v>38.5</v>
      </c>
      <c r="L129">
        <f t="shared" si="10"/>
        <v>0.78400000000000003</v>
      </c>
      <c r="M129">
        <f t="shared" si="20"/>
        <v>19.600000000000001</v>
      </c>
      <c r="N129" s="8">
        <v>25</v>
      </c>
      <c r="O129" s="14">
        <f t="shared" si="11"/>
        <v>21786.375</v>
      </c>
      <c r="P129" s="3">
        <v>40</v>
      </c>
      <c r="Q129" s="8">
        <f t="shared" si="12"/>
        <v>0.625</v>
      </c>
      <c r="R129" s="8">
        <f t="shared" si="13"/>
        <v>33.333333333333336</v>
      </c>
      <c r="S129" s="8">
        <f t="shared" si="14"/>
        <v>33.958333333333336</v>
      </c>
      <c r="T129" s="17" t="e">
        <f t="shared" si="15"/>
        <v>#REF!</v>
      </c>
      <c r="U129" s="17" t="e">
        <f t="shared" si="16"/>
        <v>#REF!</v>
      </c>
      <c r="V129" s="28" t="s">
        <v>2983</v>
      </c>
    </row>
    <row r="130" spans="1:22" ht="15" customHeight="1" x14ac:dyDescent="0.25">
      <c r="A130" t="s">
        <v>230</v>
      </c>
      <c r="B130" t="s">
        <v>292</v>
      </c>
      <c r="C130" t="s">
        <v>1690</v>
      </c>
      <c r="D130" t="s">
        <v>1691</v>
      </c>
      <c r="E130" t="s">
        <v>234</v>
      </c>
      <c r="F130" s="5">
        <v>28.6</v>
      </c>
      <c r="G130" t="s">
        <v>1692</v>
      </c>
      <c r="H130" s="3">
        <v>1</v>
      </c>
      <c r="I130" s="3">
        <v>180</v>
      </c>
      <c r="J130" s="3">
        <v>3.5</v>
      </c>
      <c r="K130" s="3">
        <v>6.3</v>
      </c>
      <c r="L130">
        <f t="shared" ref="L130:L193" si="21">J130*I130*H130/1000000</f>
        <v>6.3000000000000003E-4</v>
      </c>
      <c r="M130">
        <f t="shared" si="20"/>
        <v>0.4788</v>
      </c>
      <c r="N130" s="8">
        <v>760</v>
      </c>
      <c r="O130" s="14">
        <f t="shared" ref="O130:O193" si="22">N130*F130</f>
        <v>21736</v>
      </c>
      <c r="P130" s="3">
        <v>20</v>
      </c>
      <c r="Q130" s="8">
        <f t="shared" ref="Q130:Q193" si="23">N130/P130</f>
        <v>38</v>
      </c>
      <c r="R130" s="8">
        <f t="shared" ref="R130:R193" si="24">(N130/30)*P130</f>
        <v>506.66666666666663</v>
      </c>
      <c r="S130" s="8">
        <f t="shared" ref="S130:S193" si="25">Q130+R130</f>
        <v>544.66666666666663</v>
      </c>
      <c r="T130" s="17" t="e">
        <f t="shared" si="15"/>
        <v>#REF!</v>
      </c>
      <c r="U130" s="17" t="e">
        <f t="shared" si="16"/>
        <v>#REF!</v>
      </c>
      <c r="V130" s="28" t="s">
        <v>2983</v>
      </c>
    </row>
    <row r="131" spans="1:22" ht="15" customHeight="1" x14ac:dyDescent="0.25">
      <c r="A131" t="s">
        <v>230</v>
      </c>
      <c r="B131" t="s">
        <v>286</v>
      </c>
      <c r="C131" t="s">
        <v>1530</v>
      </c>
      <c r="D131" t="s">
        <v>1531</v>
      </c>
      <c r="E131" t="s">
        <v>234</v>
      </c>
      <c r="F131" s="5">
        <v>107.8</v>
      </c>
      <c r="G131" t="s">
        <v>1529</v>
      </c>
      <c r="H131" s="3">
        <v>6</v>
      </c>
      <c r="I131" s="3">
        <v>60</v>
      </c>
      <c r="J131" s="3">
        <v>60</v>
      </c>
      <c r="K131" s="3">
        <v>28.38</v>
      </c>
      <c r="L131">
        <f t="shared" si="21"/>
        <v>2.1600000000000001E-2</v>
      </c>
      <c r="M131">
        <f t="shared" si="20"/>
        <v>4.32</v>
      </c>
      <c r="N131" s="8">
        <v>200</v>
      </c>
      <c r="O131" s="14">
        <f t="shared" si="22"/>
        <v>21560</v>
      </c>
      <c r="P131" s="3">
        <v>30</v>
      </c>
      <c r="Q131" s="8">
        <f t="shared" si="23"/>
        <v>6.666666666666667</v>
      </c>
      <c r="R131" s="8">
        <f t="shared" si="24"/>
        <v>200</v>
      </c>
      <c r="S131" s="8">
        <f t="shared" si="25"/>
        <v>206.66666666666666</v>
      </c>
      <c r="T131" s="17" t="e">
        <f t="shared" ref="T131:T194" si="26">O131/O$1748</f>
        <v>#REF!</v>
      </c>
      <c r="U131" s="17" t="e">
        <f t="shared" ref="U131:U194" si="27">U130+T131</f>
        <v>#REF!</v>
      </c>
      <c r="V131" s="28" t="s">
        <v>2983</v>
      </c>
    </row>
    <row r="132" spans="1:22" ht="15" customHeight="1" x14ac:dyDescent="0.25">
      <c r="A132" t="s">
        <v>230</v>
      </c>
      <c r="B132" t="s">
        <v>286</v>
      </c>
      <c r="C132" t="s">
        <v>280</v>
      </c>
      <c r="D132" t="s">
        <v>1523</v>
      </c>
      <c r="E132" t="s">
        <v>234</v>
      </c>
      <c r="F132" s="5">
        <v>352.4</v>
      </c>
      <c r="G132" t="s">
        <v>246</v>
      </c>
      <c r="H132" s="3">
        <v>22</v>
      </c>
      <c r="I132" s="3">
        <v>53</v>
      </c>
      <c r="J132" s="3">
        <v>53</v>
      </c>
      <c r="K132" s="3">
        <v>20.350000000000001</v>
      </c>
      <c r="L132">
        <f t="shared" si="21"/>
        <v>6.1797999999999999E-2</v>
      </c>
      <c r="M132">
        <f t="shared" si="20"/>
        <v>3.7078799999999998</v>
      </c>
      <c r="N132" s="8">
        <v>60</v>
      </c>
      <c r="O132" s="14">
        <f t="shared" si="22"/>
        <v>21144</v>
      </c>
      <c r="P132" s="3">
        <v>30</v>
      </c>
      <c r="Q132" s="8">
        <f t="shared" si="23"/>
        <v>2</v>
      </c>
      <c r="R132" s="8">
        <f t="shared" si="24"/>
        <v>60</v>
      </c>
      <c r="S132" s="8">
        <f t="shared" si="25"/>
        <v>62</v>
      </c>
      <c r="T132" s="17" t="e">
        <f t="shared" si="26"/>
        <v>#REF!</v>
      </c>
      <c r="U132" s="17" t="e">
        <f t="shared" si="27"/>
        <v>#REF!</v>
      </c>
      <c r="V132" s="28" t="s">
        <v>2983</v>
      </c>
    </row>
    <row r="133" spans="1:22" ht="15" customHeight="1" x14ac:dyDescent="0.25">
      <c r="A133" t="s">
        <v>230</v>
      </c>
      <c r="B133" t="s">
        <v>292</v>
      </c>
      <c r="C133" t="s">
        <v>1659</v>
      </c>
      <c r="D133" t="s">
        <v>1660</v>
      </c>
      <c r="E133" t="s">
        <v>13</v>
      </c>
      <c r="F133" s="5">
        <v>26.9</v>
      </c>
      <c r="G133" t="s">
        <v>1661</v>
      </c>
      <c r="H133" s="3">
        <v>1</v>
      </c>
      <c r="I133" s="3">
        <v>70</v>
      </c>
      <c r="J133" s="3">
        <v>3.5</v>
      </c>
      <c r="K133" s="3">
        <v>5.95</v>
      </c>
      <c r="L133">
        <f t="shared" si="21"/>
        <v>2.4499999999999999E-4</v>
      </c>
      <c r="M133">
        <f t="shared" si="20"/>
        <v>0.1862</v>
      </c>
      <c r="N133" s="8">
        <v>760</v>
      </c>
      <c r="O133" s="14">
        <f t="shared" si="22"/>
        <v>20444</v>
      </c>
      <c r="P133" s="3">
        <v>20</v>
      </c>
      <c r="Q133" s="8">
        <f t="shared" si="23"/>
        <v>38</v>
      </c>
      <c r="R133" s="8">
        <f t="shared" si="24"/>
        <v>506.66666666666663</v>
      </c>
      <c r="S133" s="8">
        <f t="shared" si="25"/>
        <v>544.66666666666663</v>
      </c>
      <c r="T133" s="17" t="e">
        <f t="shared" si="26"/>
        <v>#REF!</v>
      </c>
      <c r="U133" s="17" t="e">
        <f t="shared" si="27"/>
        <v>#REF!</v>
      </c>
      <c r="V133" s="28" t="s">
        <v>2983</v>
      </c>
    </row>
    <row r="134" spans="1:22" ht="15" customHeight="1" x14ac:dyDescent="0.25">
      <c r="A134" t="s">
        <v>230</v>
      </c>
      <c r="B134" t="s">
        <v>292</v>
      </c>
      <c r="C134" t="s">
        <v>1656</v>
      </c>
      <c r="D134" t="s">
        <v>1657</v>
      </c>
      <c r="E134" t="s">
        <v>13</v>
      </c>
      <c r="F134" s="5">
        <v>26.8</v>
      </c>
      <c r="G134" t="s">
        <v>1658</v>
      </c>
      <c r="H134" s="3">
        <v>1</v>
      </c>
      <c r="I134" s="3">
        <v>180</v>
      </c>
      <c r="J134" s="3">
        <v>3.5</v>
      </c>
      <c r="K134" s="3">
        <v>6.3</v>
      </c>
      <c r="L134">
        <f t="shared" si="21"/>
        <v>6.3000000000000003E-4</v>
      </c>
      <c r="M134">
        <f t="shared" si="20"/>
        <v>0.4788</v>
      </c>
      <c r="N134" s="8">
        <v>760</v>
      </c>
      <c r="O134" s="14">
        <f t="shared" si="22"/>
        <v>20368</v>
      </c>
      <c r="P134" s="3">
        <v>20</v>
      </c>
      <c r="Q134" s="8">
        <f t="shared" si="23"/>
        <v>38</v>
      </c>
      <c r="R134" s="8">
        <f t="shared" si="24"/>
        <v>506.66666666666663</v>
      </c>
      <c r="S134" s="8">
        <f t="shared" si="25"/>
        <v>544.66666666666663</v>
      </c>
      <c r="T134" s="17" t="e">
        <f t="shared" si="26"/>
        <v>#REF!</v>
      </c>
      <c r="U134" s="17" t="e">
        <f t="shared" si="27"/>
        <v>#REF!</v>
      </c>
      <c r="V134" s="28" t="s">
        <v>2983</v>
      </c>
    </row>
    <row r="135" spans="1:22" ht="15" customHeight="1" x14ac:dyDescent="0.25">
      <c r="A135" t="s">
        <v>230</v>
      </c>
      <c r="B135" t="s">
        <v>286</v>
      </c>
      <c r="C135" t="s">
        <v>283</v>
      </c>
      <c r="D135" t="s">
        <v>1526</v>
      </c>
      <c r="E135" t="s">
        <v>234</v>
      </c>
      <c r="F135" s="5">
        <v>339.4</v>
      </c>
      <c r="G135" t="s">
        <v>243</v>
      </c>
      <c r="H135" s="3">
        <v>22</v>
      </c>
      <c r="I135" s="3">
        <v>45</v>
      </c>
      <c r="J135" s="3">
        <v>45</v>
      </c>
      <c r="K135" s="3">
        <v>20.350000000000001</v>
      </c>
      <c r="L135">
        <f t="shared" si="21"/>
        <v>4.4549999999999999E-2</v>
      </c>
      <c r="M135">
        <f t="shared" si="20"/>
        <v>2.673</v>
      </c>
      <c r="N135" s="8">
        <v>60</v>
      </c>
      <c r="O135" s="14">
        <f t="shared" si="22"/>
        <v>20364</v>
      </c>
      <c r="P135" s="3">
        <v>30</v>
      </c>
      <c r="Q135" s="8">
        <f t="shared" si="23"/>
        <v>2</v>
      </c>
      <c r="R135" s="8">
        <f t="shared" si="24"/>
        <v>60</v>
      </c>
      <c r="S135" s="8">
        <f t="shared" si="25"/>
        <v>62</v>
      </c>
      <c r="T135" s="17" t="e">
        <f t="shared" si="26"/>
        <v>#REF!</v>
      </c>
      <c r="U135" s="17" t="e">
        <f t="shared" si="27"/>
        <v>#REF!</v>
      </c>
      <c r="V135" s="28" t="s">
        <v>2983</v>
      </c>
    </row>
    <row r="136" spans="1:22" ht="15" customHeight="1" x14ac:dyDescent="0.25">
      <c r="A136" t="s">
        <v>230</v>
      </c>
      <c r="B136" t="s">
        <v>286</v>
      </c>
      <c r="C136" t="s">
        <v>282</v>
      </c>
      <c r="D136" t="s">
        <v>1525</v>
      </c>
      <c r="E136" t="s">
        <v>234</v>
      </c>
      <c r="F136" s="5">
        <v>319.39999999999998</v>
      </c>
      <c r="G136" t="s">
        <v>235</v>
      </c>
      <c r="H136" s="3">
        <v>22</v>
      </c>
      <c r="I136" s="3">
        <v>47</v>
      </c>
      <c r="J136" s="3">
        <v>47</v>
      </c>
      <c r="K136" s="3">
        <v>20.350000000000001</v>
      </c>
      <c r="L136">
        <f t="shared" si="21"/>
        <v>4.8598000000000002E-2</v>
      </c>
      <c r="M136">
        <f t="shared" si="20"/>
        <v>2.91588</v>
      </c>
      <c r="N136" s="8">
        <v>60</v>
      </c>
      <c r="O136" s="14">
        <f t="shared" si="22"/>
        <v>19164</v>
      </c>
      <c r="P136" s="3">
        <v>30</v>
      </c>
      <c r="Q136" s="8">
        <f t="shared" si="23"/>
        <v>2</v>
      </c>
      <c r="R136" s="8">
        <f t="shared" si="24"/>
        <v>60</v>
      </c>
      <c r="S136" s="8">
        <f t="shared" si="25"/>
        <v>62</v>
      </c>
      <c r="T136" s="17" t="e">
        <f t="shared" si="26"/>
        <v>#REF!</v>
      </c>
      <c r="U136" s="17" t="e">
        <f t="shared" si="27"/>
        <v>#REF!</v>
      </c>
      <c r="V136" s="28" t="s">
        <v>2983</v>
      </c>
    </row>
    <row r="137" spans="1:22" ht="15" customHeight="1" x14ac:dyDescent="0.25">
      <c r="A137" t="s">
        <v>230</v>
      </c>
      <c r="B137" t="s">
        <v>292</v>
      </c>
      <c r="C137" t="s">
        <v>1638</v>
      </c>
      <c r="D137" t="s">
        <v>1639</v>
      </c>
      <c r="E137" t="s">
        <v>234</v>
      </c>
      <c r="F137" s="5">
        <v>25</v>
      </c>
      <c r="G137" t="s">
        <v>1640</v>
      </c>
      <c r="H137" s="3">
        <v>6</v>
      </c>
      <c r="I137" s="3">
        <v>10</v>
      </c>
      <c r="J137" s="3">
        <v>8</v>
      </c>
      <c r="K137" s="3">
        <v>480</v>
      </c>
      <c r="L137">
        <f t="shared" si="21"/>
        <v>4.8000000000000001E-4</v>
      </c>
      <c r="M137">
        <f t="shared" si="20"/>
        <v>0.36480000000000001</v>
      </c>
      <c r="N137" s="8">
        <v>760</v>
      </c>
      <c r="O137" s="14">
        <f t="shared" si="22"/>
        <v>19000</v>
      </c>
      <c r="P137" s="3">
        <v>20</v>
      </c>
      <c r="Q137" s="8">
        <f t="shared" si="23"/>
        <v>38</v>
      </c>
      <c r="R137" s="8">
        <f t="shared" si="24"/>
        <v>506.66666666666663</v>
      </c>
      <c r="S137" s="8">
        <f t="shared" si="25"/>
        <v>544.66666666666663</v>
      </c>
      <c r="T137" s="17" t="e">
        <f t="shared" si="26"/>
        <v>#REF!</v>
      </c>
      <c r="U137" s="17" t="e">
        <f t="shared" si="27"/>
        <v>#REF!</v>
      </c>
      <c r="V137" s="28" t="s">
        <v>2983</v>
      </c>
    </row>
    <row r="138" spans="1:22" ht="15" customHeight="1" x14ac:dyDescent="0.25">
      <c r="A138" t="s">
        <v>230</v>
      </c>
      <c r="B138" t="s">
        <v>286</v>
      </c>
      <c r="C138" t="s">
        <v>275</v>
      </c>
      <c r="D138" t="s">
        <v>1519</v>
      </c>
      <c r="E138" t="s">
        <v>234</v>
      </c>
      <c r="F138" s="5">
        <v>276</v>
      </c>
      <c r="G138" t="s">
        <v>276</v>
      </c>
      <c r="H138" s="3">
        <v>22</v>
      </c>
      <c r="I138" s="3">
        <v>45</v>
      </c>
      <c r="J138" s="3">
        <v>45</v>
      </c>
      <c r="K138" s="3">
        <v>20.350000000000001</v>
      </c>
      <c r="L138">
        <f t="shared" si="21"/>
        <v>4.4549999999999999E-2</v>
      </c>
      <c r="M138">
        <f t="shared" si="20"/>
        <v>2.89575</v>
      </c>
      <c r="N138" s="8">
        <v>65</v>
      </c>
      <c r="O138" s="14">
        <f t="shared" si="22"/>
        <v>17940</v>
      </c>
      <c r="P138" s="3">
        <v>30</v>
      </c>
      <c r="Q138" s="8">
        <f t="shared" si="23"/>
        <v>2.1666666666666665</v>
      </c>
      <c r="R138" s="8">
        <f t="shared" si="24"/>
        <v>65</v>
      </c>
      <c r="S138" s="8">
        <f t="shared" si="25"/>
        <v>67.166666666666671</v>
      </c>
      <c r="T138" s="17" t="e">
        <f t="shared" si="26"/>
        <v>#REF!</v>
      </c>
      <c r="U138" s="17" t="e">
        <f t="shared" si="27"/>
        <v>#REF!</v>
      </c>
      <c r="V138" s="28" t="s">
        <v>2983</v>
      </c>
    </row>
    <row r="139" spans="1:22" ht="15" customHeight="1" x14ac:dyDescent="0.25">
      <c r="A139" t="s">
        <v>230</v>
      </c>
      <c r="B139" t="s">
        <v>1637</v>
      </c>
      <c r="C139" t="s">
        <v>208</v>
      </c>
      <c r="D139" t="s">
        <v>209</v>
      </c>
      <c r="E139" t="s">
        <v>480</v>
      </c>
      <c r="F139" s="5">
        <v>389.935</v>
      </c>
      <c r="G139" t="s">
        <v>312</v>
      </c>
      <c r="H139" s="3">
        <v>60</v>
      </c>
      <c r="I139" s="3">
        <v>60</v>
      </c>
      <c r="J139" s="3">
        <v>60</v>
      </c>
      <c r="K139" s="3">
        <v>28.7</v>
      </c>
      <c r="L139">
        <f t="shared" si="21"/>
        <v>0.216</v>
      </c>
      <c r="M139">
        <f t="shared" si="20"/>
        <v>9.7200000000000006</v>
      </c>
      <c r="N139" s="8">
        <v>45</v>
      </c>
      <c r="O139" s="14">
        <f t="shared" si="22"/>
        <v>17547.075000000001</v>
      </c>
      <c r="P139" s="3">
        <v>40</v>
      </c>
      <c r="Q139" s="8">
        <f t="shared" si="23"/>
        <v>1.125</v>
      </c>
      <c r="R139" s="8">
        <f t="shared" si="24"/>
        <v>60</v>
      </c>
      <c r="S139" s="8">
        <f t="shared" si="25"/>
        <v>61.125</v>
      </c>
      <c r="T139" s="17" t="e">
        <f t="shared" si="26"/>
        <v>#REF!</v>
      </c>
      <c r="U139" s="17" t="e">
        <f t="shared" si="27"/>
        <v>#REF!</v>
      </c>
      <c r="V139" s="28" t="s">
        <v>2983</v>
      </c>
    </row>
    <row r="140" spans="1:22" ht="15" customHeight="1" x14ac:dyDescent="0.25">
      <c r="A140" t="s">
        <v>230</v>
      </c>
      <c r="B140" t="s">
        <v>286</v>
      </c>
      <c r="C140" t="s">
        <v>1535</v>
      </c>
      <c r="D140" t="s">
        <v>1536</v>
      </c>
      <c r="E140" t="s">
        <v>234</v>
      </c>
      <c r="F140" s="5">
        <v>83.8</v>
      </c>
      <c r="G140" t="s">
        <v>1537</v>
      </c>
      <c r="H140" s="3">
        <v>6</v>
      </c>
      <c r="I140" s="3">
        <v>45</v>
      </c>
      <c r="J140" s="3">
        <v>45</v>
      </c>
      <c r="K140" s="3">
        <v>30</v>
      </c>
      <c r="L140">
        <f t="shared" si="21"/>
        <v>1.2149999999999999E-2</v>
      </c>
      <c r="M140">
        <f t="shared" si="20"/>
        <v>2.4299999999999997</v>
      </c>
      <c r="N140" s="8">
        <v>200</v>
      </c>
      <c r="O140" s="14">
        <f t="shared" si="22"/>
        <v>16760</v>
      </c>
      <c r="P140" s="3">
        <v>30</v>
      </c>
      <c r="Q140" s="8">
        <f t="shared" si="23"/>
        <v>6.666666666666667</v>
      </c>
      <c r="R140" s="8">
        <f t="shared" si="24"/>
        <v>200</v>
      </c>
      <c r="S140" s="8">
        <f t="shared" si="25"/>
        <v>206.66666666666666</v>
      </c>
      <c r="T140" s="17" t="e">
        <f t="shared" si="26"/>
        <v>#REF!</v>
      </c>
      <c r="U140" s="17" t="e">
        <f t="shared" si="27"/>
        <v>#REF!</v>
      </c>
      <c r="V140" s="28" t="s">
        <v>2983</v>
      </c>
    </row>
    <row r="141" spans="1:22" ht="15" customHeight="1" x14ac:dyDescent="0.25">
      <c r="A141" t="s">
        <v>230</v>
      </c>
      <c r="B141" t="s">
        <v>1637</v>
      </c>
      <c r="C141" t="s">
        <v>180</v>
      </c>
      <c r="D141" t="s">
        <v>181</v>
      </c>
      <c r="E141" t="s">
        <v>480</v>
      </c>
      <c r="F141" s="5">
        <v>362.63499999999999</v>
      </c>
      <c r="G141" t="s">
        <v>140</v>
      </c>
      <c r="H141" s="3">
        <v>50</v>
      </c>
      <c r="I141" s="3">
        <v>45</v>
      </c>
      <c r="J141" s="3">
        <v>50</v>
      </c>
      <c r="K141" s="3">
        <v>13.9</v>
      </c>
      <c r="L141">
        <f t="shared" si="21"/>
        <v>0.1125</v>
      </c>
      <c r="M141">
        <f t="shared" si="20"/>
        <v>5.0625</v>
      </c>
      <c r="N141" s="8">
        <v>45</v>
      </c>
      <c r="O141" s="14">
        <f t="shared" si="22"/>
        <v>16318.574999999999</v>
      </c>
      <c r="P141" s="3">
        <v>40</v>
      </c>
      <c r="Q141" s="8">
        <f t="shared" si="23"/>
        <v>1.125</v>
      </c>
      <c r="R141" s="8">
        <f t="shared" si="24"/>
        <v>60</v>
      </c>
      <c r="S141" s="8">
        <f t="shared" si="25"/>
        <v>61.125</v>
      </c>
      <c r="T141" s="17" t="e">
        <f t="shared" si="26"/>
        <v>#REF!</v>
      </c>
      <c r="U141" s="17" t="e">
        <f t="shared" si="27"/>
        <v>#REF!</v>
      </c>
      <c r="V141" s="28" t="s">
        <v>2983</v>
      </c>
    </row>
    <row r="142" spans="1:22" ht="15" customHeight="1" x14ac:dyDescent="0.25">
      <c r="A142" t="s">
        <v>230</v>
      </c>
      <c r="B142" t="s">
        <v>286</v>
      </c>
      <c r="C142" t="s">
        <v>281</v>
      </c>
      <c r="D142" t="s">
        <v>1524</v>
      </c>
      <c r="E142" t="s">
        <v>234</v>
      </c>
      <c r="F142" s="5">
        <v>267.39999999999998</v>
      </c>
      <c r="G142" t="s">
        <v>276</v>
      </c>
      <c r="H142" s="3">
        <v>22</v>
      </c>
      <c r="I142" s="3">
        <v>45</v>
      </c>
      <c r="J142" s="3">
        <v>45</v>
      </c>
      <c r="K142" s="3">
        <v>20.350000000000001</v>
      </c>
      <c r="L142">
        <f t="shared" si="21"/>
        <v>4.4549999999999999E-2</v>
      </c>
      <c r="M142">
        <f t="shared" si="20"/>
        <v>2.673</v>
      </c>
      <c r="N142" s="8">
        <v>60</v>
      </c>
      <c r="O142" s="14">
        <f t="shared" si="22"/>
        <v>16043.999999999998</v>
      </c>
      <c r="P142" s="3">
        <v>30</v>
      </c>
      <c r="Q142" s="8">
        <f t="shared" si="23"/>
        <v>2</v>
      </c>
      <c r="R142" s="8">
        <f t="shared" si="24"/>
        <v>60</v>
      </c>
      <c r="S142" s="8">
        <f t="shared" si="25"/>
        <v>62</v>
      </c>
      <c r="T142" s="17" t="e">
        <f t="shared" si="26"/>
        <v>#REF!</v>
      </c>
      <c r="U142" s="17" t="e">
        <f t="shared" si="27"/>
        <v>#REF!</v>
      </c>
      <c r="V142" s="28" t="s">
        <v>2983</v>
      </c>
    </row>
    <row r="143" spans="1:22" ht="15" customHeight="1" x14ac:dyDescent="0.25">
      <c r="A143" t="s">
        <v>230</v>
      </c>
      <c r="B143" t="s">
        <v>1637</v>
      </c>
      <c r="C143" t="s">
        <v>180</v>
      </c>
      <c r="D143" t="s">
        <v>187</v>
      </c>
      <c r="E143" t="s">
        <v>480</v>
      </c>
      <c r="F143" s="5">
        <v>334.685</v>
      </c>
      <c r="G143" t="s">
        <v>140</v>
      </c>
      <c r="H143" s="3">
        <v>50</v>
      </c>
      <c r="I143" s="3">
        <v>45</v>
      </c>
      <c r="J143" s="3">
        <v>50</v>
      </c>
      <c r="K143" s="3">
        <v>14.4</v>
      </c>
      <c r="L143">
        <f t="shared" si="21"/>
        <v>0.1125</v>
      </c>
      <c r="M143">
        <f t="shared" si="20"/>
        <v>5.0625</v>
      </c>
      <c r="N143" s="8">
        <v>45</v>
      </c>
      <c r="O143" s="14">
        <f t="shared" si="22"/>
        <v>15060.825000000001</v>
      </c>
      <c r="P143" s="3">
        <v>40</v>
      </c>
      <c r="Q143" s="8">
        <f t="shared" si="23"/>
        <v>1.125</v>
      </c>
      <c r="R143" s="8">
        <f t="shared" si="24"/>
        <v>60</v>
      </c>
      <c r="S143" s="8">
        <f t="shared" si="25"/>
        <v>61.125</v>
      </c>
      <c r="T143" s="17" t="e">
        <f t="shared" si="26"/>
        <v>#REF!</v>
      </c>
      <c r="U143" s="17" t="e">
        <f t="shared" si="27"/>
        <v>#REF!</v>
      </c>
      <c r="V143" s="28" t="s">
        <v>2983</v>
      </c>
    </row>
    <row r="144" spans="1:22" ht="15" customHeight="1" x14ac:dyDescent="0.25">
      <c r="A144" t="s">
        <v>230</v>
      </c>
      <c r="B144" t="s">
        <v>1637</v>
      </c>
      <c r="C144" t="s">
        <v>212</v>
      </c>
      <c r="D144" t="s">
        <v>213</v>
      </c>
      <c r="E144" t="s">
        <v>480</v>
      </c>
      <c r="F144" s="5">
        <v>328.83499999999998</v>
      </c>
      <c r="G144" t="s">
        <v>312</v>
      </c>
      <c r="H144" s="3">
        <v>60</v>
      </c>
      <c r="I144" s="3">
        <v>60</v>
      </c>
      <c r="J144" s="3">
        <v>60</v>
      </c>
      <c r="K144" s="3">
        <v>26.7</v>
      </c>
      <c r="L144">
        <f t="shared" si="21"/>
        <v>0.216</v>
      </c>
      <c r="M144">
        <f t="shared" si="20"/>
        <v>9.7200000000000006</v>
      </c>
      <c r="N144" s="8">
        <v>45</v>
      </c>
      <c r="O144" s="14">
        <f t="shared" si="22"/>
        <v>14797.574999999999</v>
      </c>
      <c r="P144" s="3">
        <v>40</v>
      </c>
      <c r="Q144" s="8">
        <f t="shared" si="23"/>
        <v>1.125</v>
      </c>
      <c r="R144" s="8">
        <f t="shared" si="24"/>
        <v>60</v>
      </c>
      <c r="S144" s="8">
        <f t="shared" si="25"/>
        <v>61.125</v>
      </c>
      <c r="T144" s="17" t="e">
        <f t="shared" si="26"/>
        <v>#REF!</v>
      </c>
      <c r="U144" s="17" t="e">
        <f t="shared" si="27"/>
        <v>#REF!</v>
      </c>
      <c r="V144" s="28" t="s">
        <v>2983</v>
      </c>
    </row>
    <row r="145" spans="1:22" ht="15" customHeight="1" x14ac:dyDescent="0.25">
      <c r="A145" t="s">
        <v>230</v>
      </c>
      <c r="B145" t="s">
        <v>1637</v>
      </c>
      <c r="C145" t="s">
        <v>180</v>
      </c>
      <c r="D145" t="s">
        <v>186</v>
      </c>
      <c r="E145" t="s">
        <v>480</v>
      </c>
      <c r="F145" s="5">
        <v>317.78500000000003</v>
      </c>
      <c r="G145" t="s">
        <v>140</v>
      </c>
      <c r="H145" s="3">
        <v>50</v>
      </c>
      <c r="I145" s="3">
        <v>45</v>
      </c>
      <c r="J145" s="3">
        <v>50</v>
      </c>
      <c r="K145" s="3">
        <v>13.4</v>
      </c>
      <c r="L145">
        <f t="shared" si="21"/>
        <v>0.1125</v>
      </c>
      <c r="M145">
        <f t="shared" si="20"/>
        <v>5.0625</v>
      </c>
      <c r="N145" s="8">
        <v>45</v>
      </c>
      <c r="O145" s="14">
        <f t="shared" si="22"/>
        <v>14300.325000000001</v>
      </c>
      <c r="P145" s="3">
        <v>40</v>
      </c>
      <c r="Q145" s="8">
        <f t="shared" si="23"/>
        <v>1.125</v>
      </c>
      <c r="R145" s="8">
        <f t="shared" si="24"/>
        <v>60</v>
      </c>
      <c r="S145" s="8">
        <f t="shared" si="25"/>
        <v>61.125</v>
      </c>
      <c r="T145" s="17" t="e">
        <f t="shared" si="26"/>
        <v>#REF!</v>
      </c>
      <c r="U145" s="17" t="e">
        <f t="shared" si="27"/>
        <v>#REF!</v>
      </c>
      <c r="V145" s="28" t="s">
        <v>2983</v>
      </c>
    </row>
    <row r="146" spans="1:22" ht="15" customHeight="1" x14ac:dyDescent="0.25">
      <c r="A146" t="s">
        <v>230</v>
      </c>
      <c r="B146" t="s">
        <v>1637</v>
      </c>
      <c r="C146" t="s">
        <v>180</v>
      </c>
      <c r="D146" t="s">
        <v>188</v>
      </c>
      <c r="E146" t="s">
        <v>480</v>
      </c>
      <c r="F146" s="5">
        <v>289.83499999999998</v>
      </c>
      <c r="G146" t="s">
        <v>140</v>
      </c>
      <c r="H146" s="3">
        <v>50</v>
      </c>
      <c r="I146" s="3">
        <v>45</v>
      </c>
      <c r="J146" s="3">
        <v>50</v>
      </c>
      <c r="K146" s="3">
        <v>12.4</v>
      </c>
      <c r="L146">
        <f t="shared" si="21"/>
        <v>0.1125</v>
      </c>
      <c r="M146">
        <f t="shared" si="20"/>
        <v>5.0625</v>
      </c>
      <c r="N146" s="8">
        <v>45</v>
      </c>
      <c r="O146" s="14">
        <f t="shared" si="22"/>
        <v>13042.574999999999</v>
      </c>
      <c r="P146" s="3">
        <v>40</v>
      </c>
      <c r="Q146" s="8">
        <f t="shared" si="23"/>
        <v>1.125</v>
      </c>
      <c r="R146" s="8">
        <f t="shared" si="24"/>
        <v>60</v>
      </c>
      <c r="S146" s="8">
        <f t="shared" si="25"/>
        <v>61.125</v>
      </c>
      <c r="T146" s="17" t="e">
        <f t="shared" si="26"/>
        <v>#REF!</v>
      </c>
      <c r="U146" s="17" t="e">
        <f t="shared" si="27"/>
        <v>#REF!</v>
      </c>
      <c r="V146" s="28" t="s">
        <v>2983</v>
      </c>
    </row>
    <row r="147" spans="1:22" ht="15" customHeight="1" x14ac:dyDescent="0.25">
      <c r="A147" t="s">
        <v>230</v>
      </c>
      <c r="B147" t="s">
        <v>1637</v>
      </c>
      <c r="C147" t="s">
        <v>184</v>
      </c>
      <c r="D147" t="s">
        <v>185</v>
      </c>
      <c r="E147" t="s">
        <v>480</v>
      </c>
      <c r="F147" s="5">
        <v>278.78500000000003</v>
      </c>
      <c r="G147" t="s">
        <v>140</v>
      </c>
      <c r="H147" s="3">
        <v>50</v>
      </c>
      <c r="I147" s="3">
        <v>45</v>
      </c>
      <c r="J147" s="3">
        <v>50</v>
      </c>
      <c r="K147" s="3">
        <v>12.8</v>
      </c>
      <c r="L147">
        <f t="shared" si="21"/>
        <v>0.1125</v>
      </c>
      <c r="M147">
        <f t="shared" si="20"/>
        <v>5.0625</v>
      </c>
      <c r="N147" s="8">
        <v>45</v>
      </c>
      <c r="O147" s="14">
        <f t="shared" si="22"/>
        <v>12545.325000000001</v>
      </c>
      <c r="P147" s="3">
        <v>40</v>
      </c>
      <c r="Q147" s="8">
        <f t="shared" si="23"/>
        <v>1.125</v>
      </c>
      <c r="R147" s="8">
        <f t="shared" si="24"/>
        <v>60</v>
      </c>
      <c r="S147" s="8">
        <f t="shared" si="25"/>
        <v>61.125</v>
      </c>
      <c r="T147" s="17" t="e">
        <f t="shared" si="26"/>
        <v>#REF!</v>
      </c>
      <c r="U147" s="17" t="e">
        <f t="shared" si="27"/>
        <v>#REF!</v>
      </c>
      <c r="V147" s="28" t="s">
        <v>2983</v>
      </c>
    </row>
    <row r="148" spans="1:22" ht="15" customHeight="1" x14ac:dyDescent="0.25">
      <c r="A148" t="s">
        <v>230</v>
      </c>
      <c r="B148" t="s">
        <v>1408</v>
      </c>
      <c r="C148" t="s">
        <v>1471</v>
      </c>
      <c r="D148" t="s">
        <v>1472</v>
      </c>
      <c r="E148" t="s">
        <v>833</v>
      </c>
      <c r="F148" s="5">
        <v>559</v>
      </c>
      <c r="G148" t="s">
        <v>1473</v>
      </c>
      <c r="H148" s="3">
        <v>90</v>
      </c>
      <c r="I148" s="3">
        <v>60</v>
      </c>
      <c r="J148" s="3">
        <v>60</v>
      </c>
      <c r="K148" s="3">
        <v>10</v>
      </c>
      <c r="L148">
        <f t="shared" si="21"/>
        <v>0.32400000000000001</v>
      </c>
      <c r="M148">
        <v>7</v>
      </c>
      <c r="N148" s="8">
        <f>M148/L148</f>
        <v>21.604938271604937</v>
      </c>
      <c r="O148" s="14">
        <f t="shared" si="22"/>
        <v>12077.160493827159</v>
      </c>
      <c r="P148" s="3">
        <v>10</v>
      </c>
      <c r="Q148" s="8">
        <f t="shared" si="23"/>
        <v>2.1604938271604937</v>
      </c>
      <c r="R148" s="8">
        <f t="shared" si="24"/>
        <v>7.2016460905349788</v>
      </c>
      <c r="S148" s="8">
        <f t="shared" si="25"/>
        <v>9.3621399176954725</v>
      </c>
      <c r="T148" s="17" t="e">
        <f t="shared" si="26"/>
        <v>#REF!</v>
      </c>
      <c r="U148" s="17" t="e">
        <f t="shared" si="27"/>
        <v>#REF!</v>
      </c>
      <c r="V148" s="28" t="s">
        <v>2983</v>
      </c>
    </row>
    <row r="149" spans="1:22" ht="15" customHeight="1" x14ac:dyDescent="0.25">
      <c r="A149" t="s">
        <v>230</v>
      </c>
      <c r="B149" t="s">
        <v>292</v>
      </c>
      <c r="C149" t="s">
        <v>1684</v>
      </c>
      <c r="D149" t="s">
        <v>1685</v>
      </c>
      <c r="E149" t="s">
        <v>234</v>
      </c>
      <c r="F149" s="5">
        <v>14.5</v>
      </c>
      <c r="G149" t="s">
        <v>1686</v>
      </c>
      <c r="H149" s="3">
        <v>1.8</v>
      </c>
      <c r="I149" s="3">
        <v>180</v>
      </c>
      <c r="J149" s="3">
        <v>8</v>
      </c>
      <c r="K149" s="3">
        <v>25</v>
      </c>
      <c r="L149">
        <f t="shared" si="21"/>
        <v>2.5920000000000001E-3</v>
      </c>
      <c r="M149">
        <f>L149*N149</f>
        <v>1.9699200000000001</v>
      </c>
      <c r="N149" s="8">
        <v>760</v>
      </c>
      <c r="O149" s="14">
        <f t="shared" si="22"/>
        <v>11020</v>
      </c>
      <c r="P149" s="3">
        <v>20</v>
      </c>
      <c r="Q149" s="8">
        <f t="shared" si="23"/>
        <v>38</v>
      </c>
      <c r="R149" s="8">
        <f t="shared" si="24"/>
        <v>506.66666666666663</v>
      </c>
      <c r="S149" s="8">
        <f t="shared" si="25"/>
        <v>544.66666666666663</v>
      </c>
      <c r="T149" s="17" t="e">
        <f t="shared" si="26"/>
        <v>#REF!</v>
      </c>
      <c r="U149" s="17" t="e">
        <f t="shared" si="27"/>
        <v>#REF!</v>
      </c>
      <c r="V149" s="28" t="s">
        <v>2983</v>
      </c>
    </row>
    <row r="150" spans="1:22" ht="15" customHeight="1" x14ac:dyDescent="0.25">
      <c r="A150" t="s">
        <v>230</v>
      </c>
      <c r="B150" t="s">
        <v>1408</v>
      </c>
      <c r="C150" t="s">
        <v>1424</v>
      </c>
      <c r="D150" t="s">
        <v>1425</v>
      </c>
      <c r="E150" t="s">
        <v>833</v>
      </c>
      <c r="F150" s="5">
        <v>1039</v>
      </c>
      <c r="G150" t="s">
        <v>606</v>
      </c>
      <c r="H150" s="3">
        <v>145</v>
      </c>
      <c r="I150" s="3">
        <v>60</v>
      </c>
      <c r="J150" s="3">
        <v>60</v>
      </c>
      <c r="K150" s="3">
        <v>5</v>
      </c>
      <c r="L150">
        <f t="shared" si="21"/>
        <v>0.52200000000000002</v>
      </c>
      <c r="M150">
        <v>5.5</v>
      </c>
      <c r="N150" s="8">
        <f>M150/L150</f>
        <v>10.536398467432949</v>
      </c>
      <c r="O150" s="14">
        <f t="shared" si="22"/>
        <v>10947.318007662834</v>
      </c>
      <c r="P150" s="3">
        <v>10</v>
      </c>
      <c r="Q150" s="8">
        <f t="shared" si="23"/>
        <v>1.053639846743295</v>
      </c>
      <c r="R150" s="8">
        <f t="shared" si="24"/>
        <v>3.5121328224776498</v>
      </c>
      <c r="S150" s="8">
        <f t="shared" si="25"/>
        <v>4.5657726692209444</v>
      </c>
      <c r="T150" s="17" t="e">
        <f t="shared" si="26"/>
        <v>#REF!</v>
      </c>
      <c r="U150" s="17" t="e">
        <f t="shared" si="27"/>
        <v>#REF!</v>
      </c>
      <c r="V150" s="28" t="s">
        <v>2983</v>
      </c>
    </row>
    <row r="151" spans="1:22" ht="15" customHeight="1" x14ac:dyDescent="0.25">
      <c r="A151" t="s">
        <v>230</v>
      </c>
      <c r="B151" t="s">
        <v>1637</v>
      </c>
      <c r="C151" t="s">
        <v>189</v>
      </c>
      <c r="D151" t="s">
        <v>190</v>
      </c>
      <c r="E151" t="s">
        <v>480</v>
      </c>
      <c r="F151" s="5">
        <v>357.17500000000001</v>
      </c>
      <c r="G151" t="s">
        <v>313</v>
      </c>
      <c r="H151" s="3">
        <v>48</v>
      </c>
      <c r="I151" s="3">
        <v>100</v>
      </c>
      <c r="J151" s="3">
        <v>30</v>
      </c>
      <c r="K151" s="3">
        <v>7.15</v>
      </c>
      <c r="L151">
        <f t="shared" si="21"/>
        <v>0.14399999999999999</v>
      </c>
      <c r="M151">
        <f>L151*N151</f>
        <v>4.3199999999999994</v>
      </c>
      <c r="N151" s="8">
        <v>30</v>
      </c>
      <c r="O151" s="14">
        <f t="shared" si="22"/>
        <v>10715.25</v>
      </c>
      <c r="P151" s="3">
        <v>40</v>
      </c>
      <c r="Q151" s="8">
        <f t="shared" si="23"/>
        <v>0.75</v>
      </c>
      <c r="R151" s="8">
        <f t="shared" si="24"/>
        <v>40</v>
      </c>
      <c r="S151" s="8">
        <f t="shared" si="25"/>
        <v>40.75</v>
      </c>
      <c r="T151" s="17" t="e">
        <f t="shared" si="26"/>
        <v>#REF!</v>
      </c>
      <c r="U151" s="17" t="e">
        <f t="shared" si="27"/>
        <v>#REF!</v>
      </c>
      <c r="V151" s="28" t="s">
        <v>2983</v>
      </c>
    </row>
    <row r="152" spans="1:22" ht="15" customHeight="1" x14ac:dyDescent="0.25">
      <c r="A152" t="s">
        <v>230</v>
      </c>
      <c r="B152" t="s">
        <v>1408</v>
      </c>
      <c r="C152" t="s">
        <v>1426</v>
      </c>
      <c r="D152" t="s">
        <v>1427</v>
      </c>
      <c r="E152" t="s">
        <v>833</v>
      </c>
      <c r="F152" s="5">
        <v>838</v>
      </c>
      <c r="G152" t="s">
        <v>606</v>
      </c>
      <c r="H152" s="3">
        <v>145</v>
      </c>
      <c r="I152" s="3">
        <v>60</v>
      </c>
      <c r="J152" s="3">
        <v>60</v>
      </c>
      <c r="K152" s="3">
        <v>5</v>
      </c>
      <c r="L152">
        <f t="shared" si="21"/>
        <v>0.52200000000000002</v>
      </c>
      <c r="M152">
        <v>6.5</v>
      </c>
      <c r="N152" s="8">
        <f>M152/L152</f>
        <v>12.452107279693486</v>
      </c>
      <c r="O152" s="14">
        <f t="shared" si="22"/>
        <v>10434.865900383142</v>
      </c>
      <c r="P152" s="3">
        <v>10</v>
      </c>
      <c r="Q152" s="8">
        <f t="shared" si="23"/>
        <v>1.2452107279693485</v>
      </c>
      <c r="R152" s="8">
        <f t="shared" si="24"/>
        <v>4.1507024265644956</v>
      </c>
      <c r="S152" s="8">
        <f t="shared" si="25"/>
        <v>5.3959131545338437</v>
      </c>
      <c r="T152" s="17" t="e">
        <f t="shared" si="26"/>
        <v>#REF!</v>
      </c>
      <c r="U152" s="17" t="e">
        <f t="shared" si="27"/>
        <v>#REF!</v>
      </c>
      <c r="V152" s="28" t="s">
        <v>2983</v>
      </c>
    </row>
    <row r="153" spans="1:22" ht="15" customHeight="1" x14ac:dyDescent="0.25">
      <c r="A153" t="s">
        <v>230</v>
      </c>
      <c r="B153" t="s">
        <v>292</v>
      </c>
      <c r="C153" t="s">
        <v>1675</v>
      </c>
      <c r="D153" t="s">
        <v>1676</v>
      </c>
      <c r="E153" t="s">
        <v>234</v>
      </c>
      <c r="F153" s="5">
        <v>13.2</v>
      </c>
      <c r="G153" t="s">
        <v>1677</v>
      </c>
      <c r="H153" s="3">
        <v>5</v>
      </c>
      <c r="I153" s="3">
        <v>200</v>
      </c>
      <c r="J153" s="3">
        <v>0.7</v>
      </c>
      <c r="K153" s="3">
        <v>7</v>
      </c>
      <c r="L153">
        <f t="shared" si="21"/>
        <v>6.9999999999999999E-4</v>
      </c>
      <c r="M153">
        <f>L153*N153</f>
        <v>0.53200000000000003</v>
      </c>
      <c r="N153" s="8">
        <v>760</v>
      </c>
      <c r="O153" s="14">
        <f t="shared" si="22"/>
        <v>10032</v>
      </c>
      <c r="P153" s="3">
        <v>20</v>
      </c>
      <c r="Q153" s="8">
        <f t="shared" si="23"/>
        <v>38</v>
      </c>
      <c r="R153" s="8">
        <f t="shared" si="24"/>
        <v>506.66666666666663</v>
      </c>
      <c r="S153" s="8">
        <f t="shared" si="25"/>
        <v>544.66666666666663</v>
      </c>
      <c r="T153" s="17" t="e">
        <f t="shared" si="26"/>
        <v>#REF!</v>
      </c>
      <c r="U153" s="17" t="e">
        <f t="shared" si="27"/>
        <v>#REF!</v>
      </c>
      <c r="V153" s="28" t="s">
        <v>2983</v>
      </c>
    </row>
    <row r="154" spans="1:22" ht="15" customHeight="1" x14ac:dyDescent="0.25">
      <c r="A154" t="s">
        <v>230</v>
      </c>
      <c r="B154" t="s">
        <v>1408</v>
      </c>
      <c r="C154" t="s">
        <v>1449</v>
      </c>
      <c r="D154" t="s">
        <v>1450</v>
      </c>
      <c r="E154" t="s">
        <v>833</v>
      </c>
      <c r="F154" s="5">
        <v>745</v>
      </c>
      <c r="G154" t="s">
        <v>1448</v>
      </c>
      <c r="H154" s="3">
        <v>140</v>
      </c>
      <c r="I154" s="3">
        <v>68</v>
      </c>
      <c r="J154" s="3">
        <v>68</v>
      </c>
      <c r="K154" s="3">
        <v>4</v>
      </c>
      <c r="L154">
        <f t="shared" si="21"/>
        <v>0.64736000000000005</v>
      </c>
      <c r="M154">
        <v>8.5</v>
      </c>
      <c r="N154" s="8">
        <f>M154/L154</f>
        <v>13.130252100840336</v>
      </c>
      <c r="O154" s="14">
        <f t="shared" si="22"/>
        <v>9782.0378151260502</v>
      </c>
      <c r="P154" s="3">
        <v>10</v>
      </c>
      <c r="Q154" s="8">
        <f t="shared" si="23"/>
        <v>1.3130252100840336</v>
      </c>
      <c r="R154" s="8">
        <f t="shared" si="24"/>
        <v>4.3767507002801125</v>
      </c>
      <c r="S154" s="8">
        <f t="shared" si="25"/>
        <v>5.6897759103641459</v>
      </c>
      <c r="T154" s="17" t="e">
        <f t="shared" si="26"/>
        <v>#REF!</v>
      </c>
      <c r="U154" s="17" t="e">
        <f t="shared" si="27"/>
        <v>#REF!</v>
      </c>
      <c r="V154" s="28" t="s">
        <v>2983</v>
      </c>
    </row>
    <row r="155" spans="1:22" ht="15" customHeight="1" x14ac:dyDescent="0.25">
      <c r="A155" t="s">
        <v>230</v>
      </c>
      <c r="B155" t="s">
        <v>286</v>
      </c>
      <c r="C155" t="s">
        <v>1532</v>
      </c>
      <c r="D155" t="s">
        <v>1533</v>
      </c>
      <c r="E155" t="s">
        <v>234</v>
      </c>
      <c r="F155" s="5">
        <v>45.8</v>
      </c>
      <c r="G155" t="s">
        <v>1534</v>
      </c>
      <c r="H155" s="3">
        <v>6</v>
      </c>
      <c r="I155" s="3">
        <v>45</v>
      </c>
      <c r="J155" s="3">
        <v>45</v>
      </c>
      <c r="K155" s="3">
        <v>30</v>
      </c>
      <c r="L155">
        <f t="shared" si="21"/>
        <v>1.2149999999999999E-2</v>
      </c>
      <c r="M155">
        <f>L155*N155</f>
        <v>2.4299999999999997</v>
      </c>
      <c r="N155" s="8">
        <v>200</v>
      </c>
      <c r="O155" s="14">
        <f t="shared" si="22"/>
        <v>9160</v>
      </c>
      <c r="P155" s="3">
        <v>30</v>
      </c>
      <c r="Q155" s="8">
        <f t="shared" si="23"/>
        <v>6.666666666666667</v>
      </c>
      <c r="R155" s="8">
        <f t="shared" si="24"/>
        <v>200</v>
      </c>
      <c r="S155" s="8">
        <f t="shared" si="25"/>
        <v>206.66666666666666</v>
      </c>
      <c r="T155" s="17" t="e">
        <f t="shared" si="26"/>
        <v>#REF!</v>
      </c>
      <c r="U155" s="17" t="e">
        <f t="shared" si="27"/>
        <v>#REF!</v>
      </c>
      <c r="V155" s="28" t="s">
        <v>2983</v>
      </c>
    </row>
    <row r="156" spans="1:22" ht="15" customHeight="1" x14ac:dyDescent="0.25">
      <c r="A156" t="s">
        <v>230</v>
      </c>
      <c r="B156" t="s">
        <v>1637</v>
      </c>
      <c r="C156" t="s">
        <v>194</v>
      </c>
      <c r="D156" t="s">
        <v>195</v>
      </c>
      <c r="E156" t="s">
        <v>480</v>
      </c>
      <c r="F156" s="5">
        <v>202.73500000000001</v>
      </c>
      <c r="G156" t="s">
        <v>310</v>
      </c>
      <c r="H156" s="3">
        <v>50</v>
      </c>
      <c r="I156" s="3">
        <v>60</v>
      </c>
      <c r="J156" s="3">
        <v>50</v>
      </c>
      <c r="K156" s="3">
        <v>27.8</v>
      </c>
      <c r="L156">
        <f t="shared" si="21"/>
        <v>0.15</v>
      </c>
      <c r="M156">
        <f>L156*N156</f>
        <v>6.75</v>
      </c>
      <c r="N156" s="8">
        <v>45</v>
      </c>
      <c r="O156" s="14">
        <f t="shared" si="22"/>
        <v>9123.0750000000007</v>
      </c>
      <c r="P156" s="3">
        <v>40</v>
      </c>
      <c r="Q156" s="8">
        <f t="shared" si="23"/>
        <v>1.125</v>
      </c>
      <c r="R156" s="8">
        <f t="shared" si="24"/>
        <v>60</v>
      </c>
      <c r="S156" s="8">
        <f t="shared" si="25"/>
        <v>61.125</v>
      </c>
      <c r="T156" s="17" t="e">
        <f t="shared" si="26"/>
        <v>#REF!</v>
      </c>
      <c r="U156" s="17" t="e">
        <f t="shared" si="27"/>
        <v>#REF!</v>
      </c>
      <c r="V156" s="28" t="s">
        <v>2983</v>
      </c>
    </row>
    <row r="157" spans="1:22" ht="15" customHeight="1" x14ac:dyDescent="0.25">
      <c r="A157" t="s">
        <v>230</v>
      </c>
      <c r="B157" t="s">
        <v>1637</v>
      </c>
      <c r="C157" t="s">
        <v>146</v>
      </c>
      <c r="D157" t="s">
        <v>147</v>
      </c>
      <c r="E157" t="s">
        <v>480</v>
      </c>
      <c r="F157" s="5">
        <v>181.285</v>
      </c>
      <c r="G157" t="s">
        <v>140</v>
      </c>
      <c r="H157" s="3">
        <v>165</v>
      </c>
      <c r="I157" s="3">
        <v>30</v>
      </c>
      <c r="J157" s="3">
        <v>28</v>
      </c>
      <c r="K157" s="3">
        <v>12.4</v>
      </c>
      <c r="L157">
        <f t="shared" si="21"/>
        <v>0.1386</v>
      </c>
      <c r="M157">
        <f>L157*N157</f>
        <v>6.2370000000000001</v>
      </c>
      <c r="N157" s="8">
        <v>45</v>
      </c>
      <c r="O157" s="14">
        <f t="shared" si="22"/>
        <v>8157.8249999999998</v>
      </c>
      <c r="P157" s="3">
        <v>40</v>
      </c>
      <c r="Q157" s="8">
        <f t="shared" si="23"/>
        <v>1.125</v>
      </c>
      <c r="R157" s="8">
        <f t="shared" si="24"/>
        <v>60</v>
      </c>
      <c r="S157" s="8">
        <f t="shared" si="25"/>
        <v>61.125</v>
      </c>
      <c r="T157" s="17" t="e">
        <f t="shared" si="26"/>
        <v>#REF!</v>
      </c>
      <c r="U157" s="17" t="e">
        <f t="shared" si="27"/>
        <v>#REF!</v>
      </c>
      <c r="V157" s="28" t="s">
        <v>2983</v>
      </c>
    </row>
    <row r="158" spans="1:22" ht="15" customHeight="1" x14ac:dyDescent="0.25">
      <c r="A158" t="s">
        <v>230</v>
      </c>
      <c r="B158" t="s">
        <v>1637</v>
      </c>
      <c r="C158" t="s">
        <v>196</v>
      </c>
      <c r="D158" t="s">
        <v>197</v>
      </c>
      <c r="E158" t="s">
        <v>480</v>
      </c>
      <c r="F158" s="5">
        <v>179.33500000000001</v>
      </c>
      <c r="G158" t="s">
        <v>310</v>
      </c>
      <c r="H158" s="3">
        <v>50</v>
      </c>
      <c r="I158" s="3">
        <v>60</v>
      </c>
      <c r="J158" s="3">
        <v>50</v>
      </c>
      <c r="K158" s="3">
        <v>25.7</v>
      </c>
      <c r="L158">
        <f t="shared" si="21"/>
        <v>0.15</v>
      </c>
      <c r="M158">
        <f>L158*N158</f>
        <v>6.75</v>
      </c>
      <c r="N158" s="8">
        <v>45</v>
      </c>
      <c r="O158" s="14">
        <f t="shared" si="22"/>
        <v>8070.0750000000007</v>
      </c>
      <c r="P158" s="3">
        <v>40</v>
      </c>
      <c r="Q158" s="8">
        <f t="shared" si="23"/>
        <v>1.125</v>
      </c>
      <c r="R158" s="8">
        <f t="shared" si="24"/>
        <v>60</v>
      </c>
      <c r="S158" s="8">
        <f t="shared" si="25"/>
        <v>61.125</v>
      </c>
      <c r="T158" s="17" t="e">
        <f t="shared" si="26"/>
        <v>#REF!</v>
      </c>
      <c r="U158" s="17" t="e">
        <f t="shared" si="27"/>
        <v>#REF!</v>
      </c>
      <c r="V158" s="28" t="s">
        <v>2983</v>
      </c>
    </row>
    <row r="159" spans="1:22" ht="15" customHeight="1" x14ac:dyDescent="0.25">
      <c r="A159" t="s">
        <v>230</v>
      </c>
      <c r="B159" t="s">
        <v>1408</v>
      </c>
      <c r="C159" t="s">
        <v>1455</v>
      </c>
      <c r="D159" t="s">
        <v>1456</v>
      </c>
      <c r="E159" t="s">
        <v>833</v>
      </c>
      <c r="F159" s="5">
        <v>414</v>
      </c>
      <c r="G159" t="s">
        <v>1448</v>
      </c>
      <c r="H159" s="3">
        <v>85</v>
      </c>
      <c r="I159" s="3">
        <v>55</v>
      </c>
      <c r="J159" s="3">
        <v>55</v>
      </c>
      <c r="K159" s="3">
        <v>1.3</v>
      </c>
      <c r="L159">
        <f t="shared" si="21"/>
        <v>0.25712499999999999</v>
      </c>
      <c r="M159">
        <v>5</v>
      </c>
      <c r="N159" s="8">
        <f>M159/L159</f>
        <v>19.445794846864366</v>
      </c>
      <c r="O159" s="14">
        <f t="shared" si="22"/>
        <v>8050.5590666018479</v>
      </c>
      <c r="P159" s="3">
        <v>10</v>
      </c>
      <c r="Q159" s="8">
        <f t="shared" si="23"/>
        <v>1.9445794846864366</v>
      </c>
      <c r="R159" s="8">
        <f t="shared" si="24"/>
        <v>6.4819316156214555</v>
      </c>
      <c r="S159" s="8">
        <f t="shared" si="25"/>
        <v>8.4265111003078914</v>
      </c>
      <c r="T159" s="17" t="e">
        <f t="shared" si="26"/>
        <v>#REF!</v>
      </c>
      <c r="U159" s="17" t="e">
        <f t="shared" si="27"/>
        <v>#REF!</v>
      </c>
      <c r="V159" s="28" t="s">
        <v>2983</v>
      </c>
    </row>
    <row r="160" spans="1:22" ht="15" customHeight="1" x14ac:dyDescent="0.25">
      <c r="A160" t="s">
        <v>230</v>
      </c>
      <c r="B160" t="s">
        <v>291</v>
      </c>
      <c r="C160" t="s">
        <v>1578</v>
      </c>
      <c r="D160" t="s">
        <v>1579</v>
      </c>
      <c r="E160" t="s">
        <v>234</v>
      </c>
      <c r="F160" s="5">
        <v>160.25</v>
      </c>
      <c r="G160" t="s">
        <v>1580</v>
      </c>
      <c r="H160" s="3">
        <v>5</v>
      </c>
      <c r="I160" s="3">
        <v>60</v>
      </c>
      <c r="J160" s="3">
        <v>10</v>
      </c>
      <c r="K160" s="3">
        <v>3</v>
      </c>
      <c r="L160">
        <f t="shared" si="21"/>
        <v>3.0000000000000001E-3</v>
      </c>
      <c r="M160">
        <f>L160*N160</f>
        <v>0.15</v>
      </c>
      <c r="N160" s="8">
        <v>50</v>
      </c>
      <c r="O160" s="14">
        <f t="shared" si="22"/>
        <v>8012.5</v>
      </c>
      <c r="P160" s="3">
        <v>30</v>
      </c>
      <c r="Q160" s="8">
        <f t="shared" si="23"/>
        <v>1.6666666666666667</v>
      </c>
      <c r="R160" s="8">
        <f t="shared" si="24"/>
        <v>50</v>
      </c>
      <c r="S160" s="8">
        <f t="shared" si="25"/>
        <v>51.666666666666664</v>
      </c>
      <c r="T160" s="17" t="e">
        <f t="shared" si="26"/>
        <v>#REF!</v>
      </c>
      <c r="U160" s="17" t="e">
        <f t="shared" si="27"/>
        <v>#REF!</v>
      </c>
      <c r="V160" s="28" t="s">
        <v>2983</v>
      </c>
    </row>
    <row r="161" spans="1:22" ht="15" customHeight="1" x14ac:dyDescent="0.25">
      <c r="A161" t="s">
        <v>230</v>
      </c>
      <c r="B161" t="s">
        <v>1637</v>
      </c>
      <c r="C161" t="s">
        <v>176</v>
      </c>
      <c r="D161" t="s">
        <v>177</v>
      </c>
      <c r="E161" t="s">
        <v>480</v>
      </c>
      <c r="F161" s="5">
        <v>262.53500000000003</v>
      </c>
      <c r="G161" t="s">
        <v>312</v>
      </c>
      <c r="H161" s="3">
        <v>26</v>
      </c>
      <c r="I161" s="3">
        <v>45</v>
      </c>
      <c r="J161" s="3">
        <v>50</v>
      </c>
      <c r="K161" s="3">
        <v>7.6</v>
      </c>
      <c r="L161">
        <f t="shared" si="21"/>
        <v>5.8500000000000003E-2</v>
      </c>
      <c r="M161">
        <f>L161*N161</f>
        <v>1.7550000000000001</v>
      </c>
      <c r="N161" s="8">
        <v>30</v>
      </c>
      <c r="O161" s="14">
        <f t="shared" si="22"/>
        <v>7876.0500000000011</v>
      </c>
      <c r="P161" s="3">
        <v>40</v>
      </c>
      <c r="Q161" s="8">
        <f t="shared" si="23"/>
        <v>0.75</v>
      </c>
      <c r="R161" s="8">
        <f t="shared" si="24"/>
        <v>40</v>
      </c>
      <c r="S161" s="8">
        <f t="shared" si="25"/>
        <v>40.75</v>
      </c>
      <c r="T161" s="17" t="e">
        <f t="shared" si="26"/>
        <v>#REF!</v>
      </c>
      <c r="U161" s="17" t="e">
        <f t="shared" si="27"/>
        <v>#REF!</v>
      </c>
      <c r="V161" s="28" t="s">
        <v>2983</v>
      </c>
    </row>
    <row r="162" spans="1:22" ht="15" customHeight="1" x14ac:dyDescent="0.25">
      <c r="A162" t="s">
        <v>230</v>
      </c>
      <c r="B162" t="s">
        <v>292</v>
      </c>
      <c r="C162" t="s">
        <v>1650</v>
      </c>
      <c r="D162" t="s">
        <v>1651</v>
      </c>
      <c r="E162" t="s">
        <v>234</v>
      </c>
      <c r="F162" s="5">
        <v>10.25</v>
      </c>
      <c r="G162" t="s">
        <v>1652</v>
      </c>
      <c r="H162" s="3">
        <v>0.7</v>
      </c>
      <c r="I162" s="3">
        <v>1250</v>
      </c>
      <c r="J162" s="3">
        <v>200</v>
      </c>
      <c r="K162" s="3">
        <v>17.5</v>
      </c>
      <c r="L162">
        <f t="shared" si="21"/>
        <v>0.17499999999999999</v>
      </c>
      <c r="M162">
        <f>L162*N162</f>
        <v>133</v>
      </c>
      <c r="N162" s="8">
        <v>760</v>
      </c>
      <c r="O162" s="14">
        <f t="shared" si="22"/>
        <v>7790</v>
      </c>
      <c r="P162" s="3">
        <v>20</v>
      </c>
      <c r="Q162" s="8">
        <f t="shared" si="23"/>
        <v>38</v>
      </c>
      <c r="R162" s="8">
        <f t="shared" si="24"/>
        <v>506.66666666666663</v>
      </c>
      <c r="S162" s="8">
        <f t="shared" si="25"/>
        <v>544.66666666666663</v>
      </c>
      <c r="T162" s="17" t="e">
        <f t="shared" si="26"/>
        <v>#REF!</v>
      </c>
      <c r="U162" s="17" t="e">
        <f t="shared" si="27"/>
        <v>#REF!</v>
      </c>
      <c r="V162" s="28" t="s">
        <v>2983</v>
      </c>
    </row>
    <row r="163" spans="1:22" ht="15" customHeight="1" x14ac:dyDescent="0.25">
      <c r="A163" t="s">
        <v>230</v>
      </c>
      <c r="B163" t="s">
        <v>1637</v>
      </c>
      <c r="C163" t="s">
        <v>198</v>
      </c>
      <c r="D163" t="s">
        <v>199</v>
      </c>
      <c r="E163" t="s">
        <v>480</v>
      </c>
      <c r="F163" s="5">
        <v>172.83500000000001</v>
      </c>
      <c r="G163" t="s">
        <v>310</v>
      </c>
      <c r="H163" s="3">
        <v>50</v>
      </c>
      <c r="I163" s="3">
        <v>60</v>
      </c>
      <c r="J163" s="3">
        <v>50</v>
      </c>
      <c r="K163" s="3">
        <v>26.7</v>
      </c>
      <c r="L163">
        <f t="shared" si="21"/>
        <v>0.15</v>
      </c>
      <c r="M163">
        <f>L163*N163</f>
        <v>6.75</v>
      </c>
      <c r="N163" s="8">
        <v>45</v>
      </c>
      <c r="O163" s="14">
        <f t="shared" si="22"/>
        <v>7777.5750000000007</v>
      </c>
      <c r="P163" s="3">
        <v>40</v>
      </c>
      <c r="Q163" s="8">
        <f t="shared" si="23"/>
        <v>1.125</v>
      </c>
      <c r="R163" s="8">
        <f t="shared" si="24"/>
        <v>60</v>
      </c>
      <c r="S163" s="8">
        <f t="shared" si="25"/>
        <v>61.125</v>
      </c>
      <c r="T163" s="17" t="e">
        <f t="shared" si="26"/>
        <v>#REF!</v>
      </c>
      <c r="U163" s="17" t="e">
        <f t="shared" si="27"/>
        <v>#REF!</v>
      </c>
      <c r="V163" s="28" t="s">
        <v>2983</v>
      </c>
    </row>
    <row r="164" spans="1:22" ht="15" customHeight="1" x14ac:dyDescent="0.25">
      <c r="A164" t="s">
        <v>230</v>
      </c>
      <c r="B164" t="s">
        <v>292</v>
      </c>
      <c r="C164" t="s">
        <v>1687</v>
      </c>
      <c r="D164" t="s">
        <v>1688</v>
      </c>
      <c r="E164" t="s">
        <v>234</v>
      </c>
      <c r="F164" s="5">
        <v>10.199999999999999</v>
      </c>
      <c r="G164" t="s">
        <v>1689</v>
      </c>
      <c r="H164" s="3">
        <v>0.8</v>
      </c>
      <c r="I164" s="3">
        <v>60</v>
      </c>
      <c r="J164" s="3">
        <v>7</v>
      </c>
      <c r="K164" s="3">
        <v>336</v>
      </c>
      <c r="L164">
        <f t="shared" si="21"/>
        <v>3.3599999999999998E-4</v>
      </c>
      <c r="M164">
        <f>L164*N164</f>
        <v>0.25535999999999998</v>
      </c>
      <c r="N164" s="8">
        <v>760</v>
      </c>
      <c r="O164" s="14">
        <f t="shared" si="22"/>
        <v>7751.9999999999991</v>
      </c>
      <c r="P164" s="3">
        <v>20</v>
      </c>
      <c r="Q164" s="8">
        <f t="shared" si="23"/>
        <v>38</v>
      </c>
      <c r="R164" s="8">
        <f t="shared" si="24"/>
        <v>506.66666666666663</v>
      </c>
      <c r="S164" s="8">
        <f t="shared" si="25"/>
        <v>544.66666666666663</v>
      </c>
      <c r="T164" s="17" t="e">
        <f t="shared" si="26"/>
        <v>#REF!</v>
      </c>
      <c r="U164" s="17" t="e">
        <f t="shared" si="27"/>
        <v>#REF!</v>
      </c>
      <c r="V164" s="28" t="s">
        <v>2983</v>
      </c>
    </row>
    <row r="165" spans="1:22" ht="15" customHeight="1" x14ac:dyDescent="0.25">
      <c r="A165" t="s">
        <v>230</v>
      </c>
      <c r="B165" t="s">
        <v>1408</v>
      </c>
      <c r="C165" t="s">
        <v>1434</v>
      </c>
      <c r="D165" t="s">
        <v>1435</v>
      </c>
      <c r="E165" t="s">
        <v>833</v>
      </c>
      <c r="F165" s="5">
        <v>870.9</v>
      </c>
      <c r="G165" t="s">
        <v>606</v>
      </c>
      <c r="H165" s="3">
        <v>145</v>
      </c>
      <c r="I165" s="3">
        <v>60</v>
      </c>
      <c r="J165" s="3">
        <v>60</v>
      </c>
      <c r="K165" s="3">
        <v>5</v>
      </c>
      <c r="L165">
        <f t="shared" si="21"/>
        <v>0.52200000000000002</v>
      </c>
      <c r="M165">
        <v>4.5</v>
      </c>
      <c r="N165" s="8">
        <f>M165/L165</f>
        <v>8.6206896551724128</v>
      </c>
      <c r="O165" s="14">
        <f t="shared" si="22"/>
        <v>7507.758620689654</v>
      </c>
      <c r="P165" s="3">
        <v>10</v>
      </c>
      <c r="Q165" s="8">
        <f t="shared" si="23"/>
        <v>0.86206896551724133</v>
      </c>
      <c r="R165" s="8">
        <f t="shared" si="24"/>
        <v>2.8735632183908044</v>
      </c>
      <c r="S165" s="8">
        <f t="shared" si="25"/>
        <v>3.735632183908046</v>
      </c>
      <c r="T165" s="17" t="e">
        <f t="shared" si="26"/>
        <v>#REF!</v>
      </c>
      <c r="U165" s="17" t="e">
        <f t="shared" si="27"/>
        <v>#REF!</v>
      </c>
      <c r="V165" s="28" t="s">
        <v>2983</v>
      </c>
    </row>
    <row r="166" spans="1:22" ht="15" customHeight="1" x14ac:dyDescent="0.25">
      <c r="A166" t="s">
        <v>230</v>
      </c>
      <c r="B166" t="s">
        <v>1637</v>
      </c>
      <c r="C166" t="s">
        <v>189</v>
      </c>
      <c r="D166" t="s">
        <v>191</v>
      </c>
      <c r="E166" t="s">
        <v>480</v>
      </c>
      <c r="F166" s="5">
        <v>357.82499999999999</v>
      </c>
      <c r="G166" t="s">
        <v>313</v>
      </c>
      <c r="H166" s="3">
        <v>48</v>
      </c>
      <c r="I166" s="3">
        <v>120</v>
      </c>
      <c r="J166" s="3">
        <v>30</v>
      </c>
      <c r="K166" s="3">
        <v>8.6050000000000004</v>
      </c>
      <c r="L166">
        <f t="shared" si="21"/>
        <v>0.17280000000000001</v>
      </c>
      <c r="M166">
        <f>L166*N166</f>
        <v>3.4560000000000004</v>
      </c>
      <c r="N166" s="8">
        <v>20</v>
      </c>
      <c r="O166" s="14">
        <f t="shared" si="22"/>
        <v>7156.5</v>
      </c>
      <c r="P166" s="3">
        <v>40</v>
      </c>
      <c r="Q166" s="8">
        <f t="shared" si="23"/>
        <v>0.5</v>
      </c>
      <c r="R166" s="8">
        <f t="shared" si="24"/>
        <v>26.666666666666664</v>
      </c>
      <c r="S166" s="8">
        <f t="shared" si="25"/>
        <v>27.166666666666664</v>
      </c>
      <c r="T166" s="17" t="e">
        <f t="shared" si="26"/>
        <v>#REF!</v>
      </c>
      <c r="U166" s="17" t="e">
        <f t="shared" si="27"/>
        <v>#REF!</v>
      </c>
      <c r="V166" s="28" t="s">
        <v>2983</v>
      </c>
    </row>
    <row r="167" spans="1:22" ht="15" customHeight="1" x14ac:dyDescent="0.25">
      <c r="A167" t="s">
        <v>230</v>
      </c>
      <c r="B167" t="s">
        <v>1408</v>
      </c>
      <c r="C167" t="s">
        <v>1414</v>
      </c>
      <c r="D167" t="s">
        <v>1415</v>
      </c>
      <c r="E167" t="s">
        <v>833</v>
      </c>
      <c r="F167" s="5">
        <v>562.9</v>
      </c>
      <c r="G167" t="s">
        <v>606</v>
      </c>
      <c r="H167" s="3">
        <v>145</v>
      </c>
      <c r="I167" s="3">
        <v>60</v>
      </c>
      <c r="J167" s="3">
        <v>60</v>
      </c>
      <c r="K167" s="3">
        <v>5</v>
      </c>
      <c r="L167">
        <f t="shared" si="21"/>
        <v>0.52200000000000002</v>
      </c>
      <c r="M167">
        <v>6.5</v>
      </c>
      <c r="N167" s="8">
        <f>M167/L167</f>
        <v>12.452107279693486</v>
      </c>
      <c r="O167" s="14">
        <f t="shared" si="22"/>
        <v>7009.2911877394627</v>
      </c>
      <c r="P167" s="3">
        <v>10</v>
      </c>
      <c r="Q167" s="8">
        <f t="shared" si="23"/>
        <v>1.2452107279693485</v>
      </c>
      <c r="R167" s="8">
        <f t="shared" si="24"/>
        <v>4.1507024265644956</v>
      </c>
      <c r="S167" s="8">
        <f t="shared" si="25"/>
        <v>5.3959131545338437</v>
      </c>
      <c r="T167" s="17" t="e">
        <f t="shared" si="26"/>
        <v>#REF!</v>
      </c>
      <c r="U167" s="17" t="e">
        <f t="shared" si="27"/>
        <v>#REF!</v>
      </c>
      <c r="V167" s="28" t="s">
        <v>2983</v>
      </c>
    </row>
    <row r="168" spans="1:22" ht="15" customHeight="1" x14ac:dyDescent="0.25">
      <c r="A168" t="s">
        <v>230</v>
      </c>
      <c r="B168" t="s">
        <v>1408</v>
      </c>
      <c r="C168" t="s">
        <v>1438</v>
      </c>
      <c r="D168" t="s">
        <v>1439</v>
      </c>
      <c r="E168" t="s">
        <v>833</v>
      </c>
      <c r="F168" s="5">
        <v>17.59</v>
      </c>
      <c r="G168" t="s">
        <v>606</v>
      </c>
      <c r="H168" s="3">
        <v>35</v>
      </c>
      <c r="I168" s="3">
        <v>30</v>
      </c>
      <c r="J168" s="3">
        <v>30</v>
      </c>
      <c r="K168" s="3">
        <v>1</v>
      </c>
      <c r="L168">
        <f t="shared" si="21"/>
        <v>3.15E-2</v>
      </c>
      <c r="M168">
        <v>12.5</v>
      </c>
      <c r="N168" s="8">
        <f>M168/L168</f>
        <v>396.82539682539681</v>
      </c>
      <c r="O168" s="14">
        <f t="shared" si="22"/>
        <v>6980.1587301587297</v>
      </c>
      <c r="P168" s="3">
        <v>10</v>
      </c>
      <c r="Q168" s="8">
        <f t="shared" si="23"/>
        <v>39.682539682539684</v>
      </c>
      <c r="R168" s="8">
        <f t="shared" si="24"/>
        <v>132.27513227513225</v>
      </c>
      <c r="S168" s="8">
        <f t="shared" si="25"/>
        <v>171.95767195767195</v>
      </c>
      <c r="T168" s="17" t="e">
        <f t="shared" si="26"/>
        <v>#REF!</v>
      </c>
      <c r="U168" s="17" t="e">
        <f t="shared" si="27"/>
        <v>#REF!</v>
      </c>
      <c r="V168" s="28" t="s">
        <v>2983</v>
      </c>
    </row>
    <row r="169" spans="1:22" ht="15" customHeight="1" x14ac:dyDescent="0.25">
      <c r="A169" t="s">
        <v>230</v>
      </c>
      <c r="B169" t="s">
        <v>291</v>
      </c>
      <c r="C169" t="s">
        <v>1572</v>
      </c>
      <c r="D169" t="s">
        <v>1573</v>
      </c>
      <c r="E169" t="s">
        <v>234</v>
      </c>
      <c r="F169" s="5">
        <v>154.9</v>
      </c>
      <c r="G169" t="s">
        <v>1571</v>
      </c>
      <c r="H169" s="3">
        <v>2</v>
      </c>
      <c r="I169" s="3">
        <v>27</v>
      </c>
      <c r="J169" s="3">
        <v>6</v>
      </c>
      <c r="K169" s="3">
        <v>324</v>
      </c>
      <c r="L169">
        <f t="shared" si="21"/>
        <v>3.2400000000000001E-4</v>
      </c>
      <c r="M169">
        <f>L169*N169</f>
        <v>1.4580000000000001E-2</v>
      </c>
      <c r="N169" s="8">
        <v>45</v>
      </c>
      <c r="O169" s="14">
        <f t="shared" si="22"/>
        <v>6970.5</v>
      </c>
      <c r="P169" s="3">
        <v>30</v>
      </c>
      <c r="Q169" s="8">
        <f t="shared" si="23"/>
        <v>1.5</v>
      </c>
      <c r="R169" s="8">
        <f t="shared" si="24"/>
        <v>45</v>
      </c>
      <c r="S169" s="8">
        <f t="shared" si="25"/>
        <v>46.5</v>
      </c>
      <c r="T169" s="17" t="e">
        <f t="shared" si="26"/>
        <v>#REF!</v>
      </c>
      <c r="U169" s="17" t="e">
        <f t="shared" si="27"/>
        <v>#REF!</v>
      </c>
      <c r="V169" s="28" t="s">
        <v>2983</v>
      </c>
    </row>
    <row r="170" spans="1:22" ht="15" customHeight="1" x14ac:dyDescent="0.25">
      <c r="A170" t="s">
        <v>230</v>
      </c>
      <c r="B170" t="s">
        <v>1637</v>
      </c>
      <c r="C170" t="s">
        <v>160</v>
      </c>
      <c r="D170" t="s">
        <v>161</v>
      </c>
      <c r="E170" t="s">
        <v>480</v>
      </c>
      <c r="F170" s="5">
        <v>345.73500000000001</v>
      </c>
      <c r="G170" t="s">
        <v>310</v>
      </c>
      <c r="H170" s="3">
        <v>30</v>
      </c>
      <c r="I170" s="3">
        <v>55</v>
      </c>
      <c r="J170" s="3">
        <v>50</v>
      </c>
      <c r="K170" s="3">
        <v>8.6</v>
      </c>
      <c r="L170">
        <f t="shared" si="21"/>
        <v>8.2500000000000004E-2</v>
      </c>
      <c r="M170">
        <f>L170*N170</f>
        <v>1.6500000000000001</v>
      </c>
      <c r="N170" s="8">
        <v>20</v>
      </c>
      <c r="O170" s="14">
        <f t="shared" si="22"/>
        <v>6914.7000000000007</v>
      </c>
      <c r="P170" s="3">
        <v>40</v>
      </c>
      <c r="Q170" s="8">
        <f t="shared" si="23"/>
        <v>0.5</v>
      </c>
      <c r="R170" s="8">
        <f t="shared" si="24"/>
        <v>26.666666666666664</v>
      </c>
      <c r="S170" s="8">
        <f t="shared" si="25"/>
        <v>27.166666666666664</v>
      </c>
      <c r="T170" s="17" t="e">
        <f t="shared" si="26"/>
        <v>#REF!</v>
      </c>
      <c r="U170" s="17" t="e">
        <f t="shared" si="27"/>
        <v>#REF!</v>
      </c>
      <c r="V170" s="28" t="s">
        <v>2983</v>
      </c>
    </row>
    <row r="171" spans="1:22" ht="15" customHeight="1" x14ac:dyDescent="0.25">
      <c r="A171" t="s">
        <v>230</v>
      </c>
      <c r="B171" t="s">
        <v>291</v>
      </c>
      <c r="C171" t="s">
        <v>1605</v>
      </c>
      <c r="D171" t="s">
        <v>1606</v>
      </c>
      <c r="E171" t="s">
        <v>234</v>
      </c>
      <c r="F171" s="5">
        <v>182.7</v>
      </c>
      <c r="G171" t="s">
        <v>1607</v>
      </c>
      <c r="H171" s="3">
        <v>2</v>
      </c>
      <c r="I171" s="3">
        <v>5</v>
      </c>
      <c r="J171" s="3">
        <v>2</v>
      </c>
      <c r="K171" s="3">
        <v>20</v>
      </c>
      <c r="L171">
        <f t="shared" si="21"/>
        <v>2.0000000000000002E-5</v>
      </c>
      <c r="M171">
        <f>L171*N171</f>
        <v>7.000000000000001E-4</v>
      </c>
      <c r="N171" s="8">
        <v>35</v>
      </c>
      <c r="O171" s="14">
        <f t="shared" si="22"/>
        <v>6394.5</v>
      </c>
      <c r="P171" s="3">
        <v>30</v>
      </c>
      <c r="Q171" s="8">
        <f t="shared" si="23"/>
        <v>1.1666666666666667</v>
      </c>
      <c r="R171" s="8">
        <f t="shared" si="24"/>
        <v>35</v>
      </c>
      <c r="S171" s="8">
        <f t="shared" si="25"/>
        <v>36.166666666666664</v>
      </c>
      <c r="T171" s="17" t="e">
        <f t="shared" si="26"/>
        <v>#REF!</v>
      </c>
      <c r="U171" s="17" t="e">
        <f t="shared" si="27"/>
        <v>#REF!</v>
      </c>
      <c r="V171" s="28" t="s">
        <v>2983</v>
      </c>
    </row>
    <row r="172" spans="1:22" ht="15" customHeight="1" x14ac:dyDescent="0.25">
      <c r="A172" t="s">
        <v>230</v>
      </c>
      <c r="B172" t="s">
        <v>1637</v>
      </c>
      <c r="C172" t="s">
        <v>192</v>
      </c>
      <c r="D172" t="s">
        <v>193</v>
      </c>
      <c r="E172" t="s">
        <v>480</v>
      </c>
      <c r="F172" s="5">
        <v>137.73500000000001</v>
      </c>
      <c r="G172" t="s">
        <v>310</v>
      </c>
      <c r="H172" s="3">
        <v>50</v>
      </c>
      <c r="I172" s="3">
        <v>60</v>
      </c>
      <c r="J172" s="3">
        <v>50</v>
      </c>
      <c r="K172" s="3">
        <v>26</v>
      </c>
      <c r="L172">
        <f t="shared" si="21"/>
        <v>0.15</v>
      </c>
      <c r="M172">
        <f>L172*N172</f>
        <v>6.75</v>
      </c>
      <c r="N172" s="8">
        <v>45</v>
      </c>
      <c r="O172" s="14">
        <f t="shared" si="22"/>
        <v>6198.0750000000007</v>
      </c>
      <c r="P172" s="3">
        <v>40</v>
      </c>
      <c r="Q172" s="8">
        <f t="shared" si="23"/>
        <v>1.125</v>
      </c>
      <c r="R172" s="8">
        <f t="shared" si="24"/>
        <v>60</v>
      </c>
      <c r="S172" s="8">
        <f t="shared" si="25"/>
        <v>61.125</v>
      </c>
      <c r="T172" s="17" t="e">
        <f t="shared" si="26"/>
        <v>#REF!</v>
      </c>
      <c r="U172" s="17" t="e">
        <f t="shared" si="27"/>
        <v>#REF!</v>
      </c>
      <c r="V172" s="28" t="s">
        <v>2983</v>
      </c>
    </row>
    <row r="173" spans="1:22" ht="15" customHeight="1" x14ac:dyDescent="0.25">
      <c r="A173" t="s">
        <v>230</v>
      </c>
      <c r="B173" t="s">
        <v>1408</v>
      </c>
      <c r="C173" t="s">
        <v>1474</v>
      </c>
      <c r="D173" t="s">
        <v>1475</v>
      </c>
      <c r="E173" t="s">
        <v>833</v>
      </c>
      <c r="F173" s="5">
        <v>499</v>
      </c>
      <c r="G173" t="s">
        <v>1473</v>
      </c>
      <c r="H173" s="3">
        <v>80</v>
      </c>
      <c r="I173" s="3">
        <v>60</v>
      </c>
      <c r="J173" s="3">
        <v>60</v>
      </c>
      <c r="K173" s="3">
        <v>8</v>
      </c>
      <c r="L173">
        <f t="shared" si="21"/>
        <v>0.28799999999999998</v>
      </c>
      <c r="M173">
        <v>3.5</v>
      </c>
      <c r="N173" s="8">
        <f>M173/L173</f>
        <v>12.152777777777779</v>
      </c>
      <c r="O173" s="14">
        <f t="shared" si="22"/>
        <v>6064.2361111111113</v>
      </c>
      <c r="P173" s="3">
        <v>10</v>
      </c>
      <c r="Q173" s="8">
        <f t="shared" si="23"/>
        <v>1.2152777777777779</v>
      </c>
      <c r="R173" s="8">
        <f t="shared" si="24"/>
        <v>4.0509259259259265</v>
      </c>
      <c r="S173" s="8">
        <f t="shared" si="25"/>
        <v>5.2662037037037042</v>
      </c>
      <c r="T173" s="17" t="e">
        <f t="shared" si="26"/>
        <v>#REF!</v>
      </c>
      <c r="U173" s="17" t="e">
        <f t="shared" si="27"/>
        <v>#REF!</v>
      </c>
      <c r="V173" s="28" t="s">
        <v>2983</v>
      </c>
    </row>
    <row r="174" spans="1:22" ht="15" customHeight="1" x14ac:dyDescent="0.25">
      <c r="A174" t="s">
        <v>230</v>
      </c>
      <c r="B174" t="s">
        <v>291</v>
      </c>
      <c r="C174" t="s">
        <v>1632</v>
      </c>
      <c r="D174" t="s">
        <v>1633</v>
      </c>
      <c r="E174" t="s">
        <v>234</v>
      </c>
      <c r="F174" s="5">
        <v>115.9</v>
      </c>
      <c r="G174" t="s">
        <v>1634</v>
      </c>
      <c r="H174" s="3">
        <v>18</v>
      </c>
      <c r="I174" s="3">
        <v>600</v>
      </c>
      <c r="J174" s="3">
        <v>20</v>
      </c>
      <c r="K174" s="3">
        <v>1</v>
      </c>
      <c r="L174">
        <f t="shared" si="21"/>
        <v>0.216</v>
      </c>
      <c r="M174">
        <f>L174*N174</f>
        <v>10.8</v>
      </c>
      <c r="N174" s="8">
        <v>50</v>
      </c>
      <c r="O174" s="14">
        <f t="shared" si="22"/>
        <v>5795</v>
      </c>
      <c r="P174" s="3">
        <v>30</v>
      </c>
      <c r="Q174" s="8">
        <f t="shared" si="23"/>
        <v>1.6666666666666667</v>
      </c>
      <c r="R174" s="8">
        <f t="shared" si="24"/>
        <v>50</v>
      </c>
      <c r="S174" s="8">
        <f t="shared" si="25"/>
        <v>51.666666666666664</v>
      </c>
      <c r="T174" s="17" t="e">
        <f t="shared" si="26"/>
        <v>#REF!</v>
      </c>
      <c r="U174" s="17" t="e">
        <f t="shared" si="27"/>
        <v>#REF!</v>
      </c>
      <c r="V174" s="28" t="s">
        <v>2983</v>
      </c>
    </row>
    <row r="175" spans="1:22" ht="15" customHeight="1" x14ac:dyDescent="0.25">
      <c r="A175" t="s">
        <v>230</v>
      </c>
      <c r="B175" t="s">
        <v>1408</v>
      </c>
      <c r="C175" t="s">
        <v>1453</v>
      </c>
      <c r="D175" t="s">
        <v>1454</v>
      </c>
      <c r="E175" t="s">
        <v>833</v>
      </c>
      <c r="F175" s="5">
        <v>340</v>
      </c>
      <c r="G175" t="s">
        <v>1448</v>
      </c>
      <c r="H175" s="3">
        <v>163</v>
      </c>
      <c r="I175" s="3">
        <v>53</v>
      </c>
      <c r="J175" s="3">
        <v>53</v>
      </c>
      <c r="K175" s="3">
        <v>4</v>
      </c>
      <c r="L175">
        <f t="shared" si="21"/>
        <v>0.45786700000000002</v>
      </c>
      <c r="M175">
        <v>7.5</v>
      </c>
      <c r="N175" s="8">
        <f>M175/L175</f>
        <v>16.380302576949202</v>
      </c>
      <c r="O175" s="14">
        <f t="shared" si="22"/>
        <v>5569.3028761627284</v>
      </c>
      <c r="P175" s="3">
        <v>10</v>
      </c>
      <c r="Q175" s="8">
        <f t="shared" si="23"/>
        <v>1.6380302576949202</v>
      </c>
      <c r="R175" s="8">
        <f t="shared" si="24"/>
        <v>5.4601008589830666</v>
      </c>
      <c r="S175" s="8">
        <f t="shared" si="25"/>
        <v>7.0981311166779868</v>
      </c>
      <c r="T175" s="17" t="e">
        <f t="shared" si="26"/>
        <v>#REF!</v>
      </c>
      <c r="U175" s="17" t="e">
        <f t="shared" si="27"/>
        <v>#REF!</v>
      </c>
      <c r="V175" s="28" t="s">
        <v>2983</v>
      </c>
    </row>
    <row r="176" spans="1:22" ht="15" customHeight="1" x14ac:dyDescent="0.25">
      <c r="A176" t="s">
        <v>230</v>
      </c>
      <c r="B176" t="s">
        <v>1637</v>
      </c>
      <c r="C176" t="s">
        <v>172</v>
      </c>
      <c r="D176" t="s">
        <v>173</v>
      </c>
      <c r="E176" t="s">
        <v>480</v>
      </c>
      <c r="F176" s="5">
        <v>276.83499999999998</v>
      </c>
      <c r="G176" t="s">
        <v>262</v>
      </c>
      <c r="H176" s="3">
        <v>27</v>
      </c>
      <c r="I176" s="3">
        <v>50</v>
      </c>
      <c r="J176" s="3">
        <v>50</v>
      </c>
      <c r="K176" s="3">
        <v>9.3000000000000007</v>
      </c>
      <c r="L176">
        <f t="shared" si="21"/>
        <v>6.7500000000000004E-2</v>
      </c>
      <c r="M176">
        <f>L176*N176</f>
        <v>1.35</v>
      </c>
      <c r="N176" s="8">
        <v>20</v>
      </c>
      <c r="O176" s="14">
        <f t="shared" si="22"/>
        <v>5536.7</v>
      </c>
      <c r="P176" s="3">
        <v>40</v>
      </c>
      <c r="Q176" s="8">
        <f t="shared" si="23"/>
        <v>0.5</v>
      </c>
      <c r="R176" s="8">
        <f t="shared" si="24"/>
        <v>26.666666666666664</v>
      </c>
      <c r="S176" s="8">
        <f t="shared" si="25"/>
        <v>27.166666666666664</v>
      </c>
      <c r="T176" s="17" t="e">
        <f t="shared" si="26"/>
        <v>#REF!</v>
      </c>
      <c r="U176" s="17" t="e">
        <f t="shared" si="27"/>
        <v>#REF!</v>
      </c>
      <c r="V176" s="28" t="s">
        <v>2983</v>
      </c>
    </row>
    <row r="177" spans="1:22" ht="15" customHeight="1" x14ac:dyDescent="0.25">
      <c r="A177" t="s">
        <v>230</v>
      </c>
      <c r="B177" t="s">
        <v>1408</v>
      </c>
      <c r="C177" t="s">
        <v>1418</v>
      </c>
      <c r="D177" t="s">
        <v>1419</v>
      </c>
      <c r="E177" t="s">
        <v>833</v>
      </c>
      <c r="F177" s="5">
        <v>478</v>
      </c>
      <c r="G177" t="s">
        <v>606</v>
      </c>
      <c r="H177" s="3">
        <v>145</v>
      </c>
      <c r="I177" s="3">
        <v>60</v>
      </c>
      <c r="J177" s="3">
        <v>60</v>
      </c>
      <c r="K177" s="3">
        <v>5</v>
      </c>
      <c r="L177">
        <f t="shared" si="21"/>
        <v>0.52200000000000002</v>
      </c>
      <c r="M177">
        <v>5.4</v>
      </c>
      <c r="N177" s="8">
        <f>M177/L177</f>
        <v>10.344827586206897</v>
      </c>
      <c r="O177" s="14">
        <f t="shared" si="22"/>
        <v>4944.8275862068967</v>
      </c>
      <c r="P177" s="3">
        <v>10</v>
      </c>
      <c r="Q177" s="8">
        <f t="shared" si="23"/>
        <v>1.0344827586206897</v>
      </c>
      <c r="R177" s="8">
        <f t="shared" si="24"/>
        <v>3.4482758620689657</v>
      </c>
      <c r="S177" s="8">
        <f t="shared" si="25"/>
        <v>4.4827586206896557</v>
      </c>
      <c r="T177" s="17" t="e">
        <f t="shared" si="26"/>
        <v>#REF!</v>
      </c>
      <c r="U177" s="17" t="e">
        <f t="shared" si="27"/>
        <v>#REF!</v>
      </c>
      <c r="V177" s="28" t="s">
        <v>2983</v>
      </c>
    </row>
    <row r="178" spans="1:22" ht="15" customHeight="1" x14ac:dyDescent="0.25">
      <c r="A178" t="s">
        <v>230</v>
      </c>
      <c r="B178" t="s">
        <v>1637</v>
      </c>
      <c r="C178" t="s">
        <v>200</v>
      </c>
      <c r="D178" t="s">
        <v>201</v>
      </c>
      <c r="E178" t="s">
        <v>480</v>
      </c>
      <c r="F178" s="5">
        <v>100.035</v>
      </c>
      <c r="G178" t="s">
        <v>262</v>
      </c>
      <c r="H178" s="3">
        <v>55</v>
      </c>
      <c r="I178" s="3">
        <v>60</v>
      </c>
      <c r="J178" s="3">
        <v>55</v>
      </c>
      <c r="K178" s="3">
        <v>24.8</v>
      </c>
      <c r="L178">
        <f t="shared" si="21"/>
        <v>0.18149999999999999</v>
      </c>
      <c r="M178">
        <f>L178*N178</f>
        <v>8.1675000000000004</v>
      </c>
      <c r="N178" s="8">
        <v>45</v>
      </c>
      <c r="O178" s="14">
        <f t="shared" si="22"/>
        <v>4501.5749999999998</v>
      </c>
      <c r="P178" s="3">
        <v>40</v>
      </c>
      <c r="Q178" s="8">
        <f t="shared" si="23"/>
        <v>1.125</v>
      </c>
      <c r="R178" s="8">
        <f t="shared" si="24"/>
        <v>60</v>
      </c>
      <c r="S178" s="8">
        <f t="shared" si="25"/>
        <v>61.125</v>
      </c>
      <c r="T178" s="17" t="e">
        <f t="shared" si="26"/>
        <v>#REF!</v>
      </c>
      <c r="U178" s="17" t="e">
        <f t="shared" si="27"/>
        <v>#REF!</v>
      </c>
      <c r="V178" s="28" t="s">
        <v>2983</v>
      </c>
    </row>
    <row r="179" spans="1:22" ht="15" customHeight="1" x14ac:dyDescent="0.25">
      <c r="A179" t="s">
        <v>230</v>
      </c>
      <c r="B179" t="s">
        <v>1637</v>
      </c>
      <c r="C179" t="s">
        <v>228</v>
      </c>
      <c r="D179" t="s">
        <v>229</v>
      </c>
      <c r="E179" t="s">
        <v>480</v>
      </c>
      <c r="F179" s="5">
        <v>168.935</v>
      </c>
      <c r="G179" t="s">
        <v>310</v>
      </c>
      <c r="H179" s="3">
        <v>40</v>
      </c>
      <c r="I179" s="3">
        <v>45</v>
      </c>
      <c r="J179" s="3">
        <v>38</v>
      </c>
      <c r="K179" s="3">
        <v>9.6999999999999993</v>
      </c>
      <c r="L179">
        <f t="shared" si="21"/>
        <v>6.8400000000000002E-2</v>
      </c>
      <c r="M179">
        <f>L179*N179</f>
        <v>1.71</v>
      </c>
      <c r="N179" s="8">
        <v>25</v>
      </c>
      <c r="O179" s="14">
        <f t="shared" si="22"/>
        <v>4223.375</v>
      </c>
      <c r="P179" s="3">
        <v>40</v>
      </c>
      <c r="Q179" s="8">
        <f t="shared" si="23"/>
        <v>0.625</v>
      </c>
      <c r="R179" s="8">
        <f t="shared" si="24"/>
        <v>33.333333333333336</v>
      </c>
      <c r="S179" s="8">
        <f t="shared" si="25"/>
        <v>33.958333333333336</v>
      </c>
      <c r="T179" s="17" t="e">
        <f t="shared" si="26"/>
        <v>#REF!</v>
      </c>
      <c r="U179" s="17" t="e">
        <f t="shared" si="27"/>
        <v>#REF!</v>
      </c>
      <c r="V179" s="28" t="s">
        <v>2983</v>
      </c>
    </row>
    <row r="180" spans="1:22" ht="15" customHeight="1" x14ac:dyDescent="0.25">
      <c r="A180" t="s">
        <v>230</v>
      </c>
      <c r="B180" t="s">
        <v>1408</v>
      </c>
      <c r="C180" t="s">
        <v>1422</v>
      </c>
      <c r="D180" t="s">
        <v>1423</v>
      </c>
      <c r="E180" t="s">
        <v>833</v>
      </c>
      <c r="F180" s="5">
        <v>489</v>
      </c>
      <c r="G180" t="s">
        <v>606</v>
      </c>
      <c r="H180" s="3">
        <v>145</v>
      </c>
      <c r="I180" s="3">
        <v>60</v>
      </c>
      <c r="J180" s="3">
        <v>60</v>
      </c>
      <c r="K180" s="3">
        <v>5</v>
      </c>
      <c r="L180">
        <f t="shared" si="21"/>
        <v>0.52200000000000002</v>
      </c>
      <c r="M180">
        <v>4.5</v>
      </c>
      <c r="N180" s="8">
        <f>M180/L180</f>
        <v>8.6206896551724128</v>
      </c>
      <c r="O180" s="14">
        <f t="shared" si="22"/>
        <v>4215.5172413793098</v>
      </c>
      <c r="P180" s="3">
        <v>10</v>
      </c>
      <c r="Q180" s="8">
        <f t="shared" si="23"/>
        <v>0.86206896551724133</v>
      </c>
      <c r="R180" s="8">
        <f t="shared" si="24"/>
        <v>2.8735632183908044</v>
      </c>
      <c r="S180" s="8">
        <f t="shared" si="25"/>
        <v>3.735632183908046</v>
      </c>
      <c r="T180" s="17" t="e">
        <f t="shared" si="26"/>
        <v>#REF!</v>
      </c>
      <c r="U180" s="17" t="e">
        <f t="shared" si="27"/>
        <v>#REF!</v>
      </c>
      <c r="V180" s="28" t="s">
        <v>2983</v>
      </c>
    </row>
    <row r="181" spans="1:22" ht="15" customHeight="1" x14ac:dyDescent="0.25">
      <c r="A181" t="s">
        <v>230</v>
      </c>
      <c r="B181" t="s">
        <v>1408</v>
      </c>
      <c r="C181" t="s">
        <v>1469</v>
      </c>
      <c r="D181" t="s">
        <v>1470</v>
      </c>
      <c r="E181" t="s">
        <v>24</v>
      </c>
      <c r="F181" s="5">
        <v>45.9</v>
      </c>
      <c r="G181" t="s">
        <v>1468</v>
      </c>
      <c r="H181" s="3">
        <v>50</v>
      </c>
      <c r="I181" s="3">
        <v>70</v>
      </c>
      <c r="J181" s="3">
        <v>50</v>
      </c>
      <c r="K181" s="3">
        <v>1</v>
      </c>
      <c r="L181">
        <f t="shared" si="21"/>
        <v>0.17499999999999999</v>
      </c>
      <c r="M181">
        <v>15.5</v>
      </c>
      <c r="N181" s="8">
        <f>M181/L181</f>
        <v>88.571428571428584</v>
      </c>
      <c r="O181" s="14">
        <f t="shared" si="22"/>
        <v>4065.428571428572</v>
      </c>
      <c r="P181" s="3">
        <v>10</v>
      </c>
      <c r="Q181" s="8">
        <f t="shared" si="23"/>
        <v>8.8571428571428577</v>
      </c>
      <c r="R181" s="8">
        <f t="shared" si="24"/>
        <v>29.523809523809529</v>
      </c>
      <c r="S181" s="8">
        <f t="shared" si="25"/>
        <v>38.380952380952387</v>
      </c>
      <c r="T181" s="17" t="e">
        <f t="shared" si="26"/>
        <v>#REF!</v>
      </c>
      <c r="U181" s="17" t="e">
        <f t="shared" si="27"/>
        <v>#REF!</v>
      </c>
      <c r="V181" s="28" t="s">
        <v>2983</v>
      </c>
    </row>
    <row r="182" spans="1:22" ht="15" customHeight="1" x14ac:dyDescent="0.25">
      <c r="A182" t="s">
        <v>230</v>
      </c>
      <c r="B182" t="s">
        <v>1637</v>
      </c>
      <c r="C182" t="s">
        <v>158</v>
      </c>
      <c r="D182" t="s">
        <v>159</v>
      </c>
      <c r="E182" t="s">
        <v>480</v>
      </c>
      <c r="F182" s="5">
        <v>90.284999999999997</v>
      </c>
      <c r="G182" t="s">
        <v>309</v>
      </c>
      <c r="H182" s="3">
        <v>28</v>
      </c>
      <c r="I182" s="3">
        <v>50</v>
      </c>
      <c r="J182" s="3">
        <v>50</v>
      </c>
      <c r="K182" s="3">
        <v>12.5</v>
      </c>
      <c r="L182">
        <f t="shared" si="21"/>
        <v>7.0000000000000007E-2</v>
      </c>
      <c r="M182">
        <f>L182*N182</f>
        <v>3.1500000000000004</v>
      </c>
      <c r="N182" s="8">
        <v>45</v>
      </c>
      <c r="O182" s="14">
        <f t="shared" si="22"/>
        <v>4062.8249999999998</v>
      </c>
      <c r="P182" s="3">
        <v>40</v>
      </c>
      <c r="Q182" s="8">
        <f t="shared" si="23"/>
        <v>1.125</v>
      </c>
      <c r="R182" s="8">
        <f t="shared" si="24"/>
        <v>60</v>
      </c>
      <c r="S182" s="8">
        <f t="shared" si="25"/>
        <v>61.125</v>
      </c>
      <c r="T182" s="17" t="e">
        <f t="shared" si="26"/>
        <v>#REF!</v>
      </c>
      <c r="U182" s="17" t="e">
        <f t="shared" si="27"/>
        <v>#REF!</v>
      </c>
      <c r="V182" s="28" t="s">
        <v>2983</v>
      </c>
    </row>
    <row r="183" spans="1:22" ht="15" customHeight="1" x14ac:dyDescent="0.25">
      <c r="A183" t="s">
        <v>230</v>
      </c>
      <c r="B183" t="s">
        <v>1637</v>
      </c>
      <c r="C183" t="s">
        <v>174</v>
      </c>
      <c r="D183" t="s">
        <v>175</v>
      </c>
      <c r="E183" t="s">
        <v>480</v>
      </c>
      <c r="F183" s="5">
        <v>155.935</v>
      </c>
      <c r="G183" t="s">
        <v>262</v>
      </c>
      <c r="H183" s="3">
        <v>27</v>
      </c>
      <c r="I183" s="3">
        <v>50</v>
      </c>
      <c r="J183" s="3">
        <v>50</v>
      </c>
      <c r="K183" s="3">
        <v>9.4</v>
      </c>
      <c r="L183">
        <f t="shared" si="21"/>
        <v>6.7500000000000004E-2</v>
      </c>
      <c r="M183">
        <f>L183*N183</f>
        <v>1.6875</v>
      </c>
      <c r="N183" s="8">
        <v>25</v>
      </c>
      <c r="O183" s="14">
        <f t="shared" si="22"/>
        <v>3898.375</v>
      </c>
      <c r="P183" s="3">
        <v>40</v>
      </c>
      <c r="Q183" s="8">
        <f t="shared" si="23"/>
        <v>0.625</v>
      </c>
      <c r="R183" s="8">
        <f t="shared" si="24"/>
        <v>33.333333333333336</v>
      </c>
      <c r="S183" s="8">
        <f t="shared" si="25"/>
        <v>33.958333333333336</v>
      </c>
      <c r="T183" s="17" t="e">
        <f t="shared" si="26"/>
        <v>#REF!</v>
      </c>
      <c r="U183" s="17" t="e">
        <f t="shared" si="27"/>
        <v>#REF!</v>
      </c>
      <c r="V183" s="28" t="s">
        <v>2983</v>
      </c>
    </row>
    <row r="184" spans="1:22" ht="15" customHeight="1" x14ac:dyDescent="0.25">
      <c r="A184" t="s">
        <v>230</v>
      </c>
      <c r="B184" t="s">
        <v>291</v>
      </c>
      <c r="C184" t="s">
        <v>1581</v>
      </c>
      <c r="D184" t="s">
        <v>1582</v>
      </c>
      <c r="E184" t="s">
        <v>234</v>
      </c>
      <c r="F184" s="5">
        <v>75.349999999999994</v>
      </c>
      <c r="G184" t="s">
        <v>1563</v>
      </c>
      <c r="H184" s="3">
        <v>4</v>
      </c>
      <c r="I184" s="3">
        <v>58</v>
      </c>
      <c r="J184" s="3">
        <v>15</v>
      </c>
      <c r="K184" s="3">
        <v>3.48</v>
      </c>
      <c r="L184">
        <f t="shared" si="21"/>
        <v>3.48E-3</v>
      </c>
      <c r="M184">
        <f>L184*N184</f>
        <v>0.17399999999999999</v>
      </c>
      <c r="N184" s="8">
        <v>50</v>
      </c>
      <c r="O184" s="14">
        <f t="shared" si="22"/>
        <v>3767.4999999999995</v>
      </c>
      <c r="P184" s="3">
        <v>30</v>
      </c>
      <c r="Q184" s="8">
        <f t="shared" si="23"/>
        <v>1.6666666666666667</v>
      </c>
      <c r="R184" s="8">
        <f t="shared" si="24"/>
        <v>50</v>
      </c>
      <c r="S184" s="8">
        <f t="shared" si="25"/>
        <v>51.666666666666664</v>
      </c>
      <c r="T184" s="17" t="e">
        <f t="shared" si="26"/>
        <v>#REF!</v>
      </c>
      <c r="U184" s="17" t="e">
        <f t="shared" si="27"/>
        <v>#REF!</v>
      </c>
      <c r="V184" s="28" t="s">
        <v>2983</v>
      </c>
    </row>
    <row r="185" spans="1:22" ht="15" customHeight="1" x14ac:dyDescent="0.25">
      <c r="A185" t="s">
        <v>230</v>
      </c>
      <c r="B185" t="s">
        <v>1637</v>
      </c>
      <c r="C185" t="s">
        <v>226</v>
      </c>
      <c r="D185" t="s">
        <v>227</v>
      </c>
      <c r="E185" t="s">
        <v>480</v>
      </c>
      <c r="F185" s="5">
        <v>149.435</v>
      </c>
      <c r="G185" t="s">
        <v>262</v>
      </c>
      <c r="H185" s="3">
        <v>40</v>
      </c>
      <c r="I185" s="3">
        <v>40</v>
      </c>
      <c r="J185" s="3">
        <v>40</v>
      </c>
      <c r="K185" s="3">
        <v>11.4</v>
      </c>
      <c r="L185">
        <f t="shared" si="21"/>
        <v>6.4000000000000001E-2</v>
      </c>
      <c r="M185">
        <f>L185*N185</f>
        <v>1.6</v>
      </c>
      <c r="N185" s="8">
        <v>25</v>
      </c>
      <c r="O185" s="14">
        <f t="shared" si="22"/>
        <v>3735.875</v>
      </c>
      <c r="P185" s="3">
        <v>40</v>
      </c>
      <c r="Q185" s="8">
        <f t="shared" si="23"/>
        <v>0.625</v>
      </c>
      <c r="R185" s="8">
        <f t="shared" si="24"/>
        <v>33.333333333333336</v>
      </c>
      <c r="S185" s="8">
        <f t="shared" si="25"/>
        <v>33.958333333333336</v>
      </c>
      <c r="T185" s="17" t="e">
        <f t="shared" si="26"/>
        <v>#REF!</v>
      </c>
      <c r="U185" s="17" t="e">
        <f t="shared" si="27"/>
        <v>#REF!</v>
      </c>
      <c r="V185" s="28" t="s">
        <v>2983</v>
      </c>
    </row>
    <row r="186" spans="1:22" ht="15" customHeight="1" x14ac:dyDescent="0.25">
      <c r="A186" t="s">
        <v>230</v>
      </c>
      <c r="B186" t="s">
        <v>1408</v>
      </c>
      <c r="C186" t="s">
        <v>1416</v>
      </c>
      <c r="D186" t="s">
        <v>1417</v>
      </c>
      <c r="E186" t="s">
        <v>833</v>
      </c>
      <c r="F186" s="5">
        <v>418.9</v>
      </c>
      <c r="G186" t="s">
        <v>606</v>
      </c>
      <c r="H186" s="3">
        <v>145</v>
      </c>
      <c r="I186" s="3">
        <v>60</v>
      </c>
      <c r="J186" s="3">
        <v>60</v>
      </c>
      <c r="K186" s="3">
        <v>5</v>
      </c>
      <c r="L186">
        <f t="shared" si="21"/>
        <v>0.52200000000000002</v>
      </c>
      <c r="M186">
        <v>4.5</v>
      </c>
      <c r="N186" s="8">
        <f>M186/L186</f>
        <v>8.6206896551724128</v>
      </c>
      <c r="O186" s="14">
        <f t="shared" si="22"/>
        <v>3611.2068965517237</v>
      </c>
      <c r="P186" s="3">
        <v>10</v>
      </c>
      <c r="Q186" s="8">
        <f t="shared" si="23"/>
        <v>0.86206896551724133</v>
      </c>
      <c r="R186" s="8">
        <f t="shared" si="24"/>
        <v>2.8735632183908044</v>
      </c>
      <c r="S186" s="8">
        <f t="shared" si="25"/>
        <v>3.735632183908046</v>
      </c>
      <c r="T186" s="17" t="e">
        <f t="shared" si="26"/>
        <v>#REF!</v>
      </c>
      <c r="U186" s="17" t="e">
        <f t="shared" si="27"/>
        <v>#REF!</v>
      </c>
      <c r="V186" s="28" t="s">
        <v>2983</v>
      </c>
    </row>
    <row r="187" spans="1:22" ht="15" customHeight="1" x14ac:dyDescent="0.25">
      <c r="A187" t="s">
        <v>230</v>
      </c>
      <c r="B187" t="s">
        <v>1637</v>
      </c>
      <c r="C187" t="s">
        <v>152</v>
      </c>
      <c r="D187" t="s">
        <v>153</v>
      </c>
      <c r="E187" t="s">
        <v>480</v>
      </c>
      <c r="F187" s="5">
        <v>79.234999999999999</v>
      </c>
      <c r="G187" t="s">
        <v>310</v>
      </c>
      <c r="H187" s="3">
        <v>170</v>
      </c>
      <c r="I187" s="3">
        <v>32</v>
      </c>
      <c r="J187" s="3">
        <v>30</v>
      </c>
      <c r="K187" s="3">
        <v>12.8</v>
      </c>
      <c r="L187">
        <f t="shared" si="21"/>
        <v>0.16320000000000001</v>
      </c>
      <c r="M187">
        <f t="shared" ref="M187:M193" si="28">L187*N187</f>
        <v>7.3440000000000003</v>
      </c>
      <c r="N187" s="8">
        <v>45</v>
      </c>
      <c r="O187" s="14">
        <f t="shared" si="22"/>
        <v>3565.5749999999998</v>
      </c>
      <c r="P187" s="3">
        <v>40</v>
      </c>
      <c r="Q187" s="8">
        <f t="shared" si="23"/>
        <v>1.125</v>
      </c>
      <c r="R187" s="8">
        <f t="shared" si="24"/>
        <v>60</v>
      </c>
      <c r="S187" s="8">
        <f t="shared" si="25"/>
        <v>61.125</v>
      </c>
      <c r="T187" s="17" t="e">
        <f t="shared" si="26"/>
        <v>#REF!</v>
      </c>
      <c r="U187" s="17" t="e">
        <f t="shared" si="27"/>
        <v>#REF!</v>
      </c>
      <c r="V187" s="28" t="s">
        <v>2983</v>
      </c>
    </row>
    <row r="188" spans="1:22" ht="15" customHeight="1" x14ac:dyDescent="0.25">
      <c r="A188" t="s">
        <v>230</v>
      </c>
      <c r="B188" t="s">
        <v>292</v>
      </c>
      <c r="C188" t="s">
        <v>1673</v>
      </c>
      <c r="D188" t="s">
        <v>1674</v>
      </c>
      <c r="E188" t="s">
        <v>234</v>
      </c>
      <c r="F188" s="5">
        <v>4.5</v>
      </c>
      <c r="G188" t="s">
        <v>1667</v>
      </c>
      <c r="H188" s="3">
        <v>2</v>
      </c>
      <c r="I188" s="3">
        <v>120</v>
      </c>
      <c r="J188" s="3">
        <v>50</v>
      </c>
      <c r="K188" s="3">
        <v>12</v>
      </c>
      <c r="L188">
        <f t="shared" si="21"/>
        <v>1.2E-2</v>
      </c>
      <c r="M188">
        <f t="shared" si="28"/>
        <v>9.120000000000001</v>
      </c>
      <c r="N188" s="8">
        <v>760</v>
      </c>
      <c r="O188" s="14">
        <f t="shared" si="22"/>
        <v>3420</v>
      </c>
      <c r="P188" s="3">
        <v>20</v>
      </c>
      <c r="Q188" s="8">
        <f t="shared" si="23"/>
        <v>38</v>
      </c>
      <c r="R188" s="8">
        <f t="shared" si="24"/>
        <v>506.66666666666663</v>
      </c>
      <c r="S188" s="8">
        <f t="shared" si="25"/>
        <v>544.66666666666663</v>
      </c>
      <c r="T188" s="17" t="e">
        <f t="shared" si="26"/>
        <v>#REF!</v>
      </c>
      <c r="U188" s="17" t="e">
        <f t="shared" si="27"/>
        <v>#REF!</v>
      </c>
      <c r="V188" s="28" t="s">
        <v>2983</v>
      </c>
    </row>
    <row r="189" spans="1:22" ht="15" customHeight="1" x14ac:dyDescent="0.25">
      <c r="A189" t="s">
        <v>230</v>
      </c>
      <c r="B189" t="s">
        <v>1637</v>
      </c>
      <c r="C189" t="s">
        <v>206</v>
      </c>
      <c r="D189" t="s">
        <v>207</v>
      </c>
      <c r="E189" t="s">
        <v>480</v>
      </c>
      <c r="F189" s="5">
        <v>75.334999999999994</v>
      </c>
      <c r="G189" t="s">
        <v>311</v>
      </c>
      <c r="H189" s="3">
        <v>48</v>
      </c>
      <c r="I189" s="3">
        <v>55</v>
      </c>
      <c r="J189" s="3">
        <v>48</v>
      </c>
      <c r="K189" s="3">
        <v>24.8</v>
      </c>
      <c r="L189">
        <f t="shared" si="21"/>
        <v>0.12672</v>
      </c>
      <c r="M189">
        <f t="shared" si="28"/>
        <v>5.7023999999999999</v>
      </c>
      <c r="N189" s="8">
        <v>45</v>
      </c>
      <c r="O189" s="14">
        <f t="shared" si="22"/>
        <v>3390.0749999999998</v>
      </c>
      <c r="P189" s="3">
        <v>40</v>
      </c>
      <c r="Q189" s="8">
        <f t="shared" si="23"/>
        <v>1.125</v>
      </c>
      <c r="R189" s="8">
        <f t="shared" si="24"/>
        <v>60</v>
      </c>
      <c r="S189" s="8">
        <f t="shared" si="25"/>
        <v>61.125</v>
      </c>
      <c r="T189" s="17" t="e">
        <f t="shared" si="26"/>
        <v>#REF!</v>
      </c>
      <c r="U189" s="17" t="e">
        <f t="shared" si="27"/>
        <v>#REF!</v>
      </c>
      <c r="V189" s="28" t="s">
        <v>2983</v>
      </c>
    </row>
    <row r="190" spans="1:22" ht="15" customHeight="1" x14ac:dyDescent="0.25">
      <c r="A190" t="s">
        <v>230</v>
      </c>
      <c r="B190" t="s">
        <v>1637</v>
      </c>
      <c r="C190" t="s">
        <v>202</v>
      </c>
      <c r="D190" t="s">
        <v>203</v>
      </c>
      <c r="E190" t="s">
        <v>480</v>
      </c>
      <c r="F190" s="5">
        <v>75.334999999999994</v>
      </c>
      <c r="G190" t="s">
        <v>311</v>
      </c>
      <c r="H190" s="3">
        <v>48</v>
      </c>
      <c r="I190" s="3">
        <v>55</v>
      </c>
      <c r="J190" s="3">
        <v>48</v>
      </c>
      <c r="K190" s="3">
        <v>22.8</v>
      </c>
      <c r="L190">
        <f t="shared" si="21"/>
        <v>0.12672</v>
      </c>
      <c r="M190">
        <f t="shared" si="28"/>
        <v>5.7023999999999999</v>
      </c>
      <c r="N190" s="8">
        <v>45</v>
      </c>
      <c r="O190" s="14">
        <f t="shared" si="22"/>
        <v>3390.0749999999998</v>
      </c>
      <c r="P190" s="3">
        <v>40</v>
      </c>
      <c r="Q190" s="8">
        <f t="shared" si="23"/>
        <v>1.125</v>
      </c>
      <c r="R190" s="8">
        <f t="shared" si="24"/>
        <v>60</v>
      </c>
      <c r="S190" s="8">
        <f t="shared" si="25"/>
        <v>61.125</v>
      </c>
      <c r="T190" s="17" t="e">
        <f t="shared" si="26"/>
        <v>#REF!</v>
      </c>
      <c r="U190" s="17" t="e">
        <f t="shared" si="27"/>
        <v>#REF!</v>
      </c>
      <c r="V190" s="28" t="s">
        <v>2983</v>
      </c>
    </row>
    <row r="191" spans="1:22" ht="15" customHeight="1" x14ac:dyDescent="0.25">
      <c r="A191" t="s">
        <v>230</v>
      </c>
      <c r="B191" t="s">
        <v>292</v>
      </c>
      <c r="C191" t="s">
        <v>1681</v>
      </c>
      <c r="D191" t="s">
        <v>1682</v>
      </c>
      <c r="E191" t="s">
        <v>234</v>
      </c>
      <c r="F191" s="5">
        <v>4.3600000000000003</v>
      </c>
      <c r="G191" t="s">
        <v>1683</v>
      </c>
      <c r="H191" s="3">
        <v>3</v>
      </c>
      <c r="I191" s="3">
        <v>40.799999999999997</v>
      </c>
      <c r="J191" s="3">
        <v>8</v>
      </c>
      <c r="K191" s="3">
        <v>9.6999999999999993</v>
      </c>
      <c r="L191">
        <f t="shared" si="21"/>
        <v>9.7919999999999995E-4</v>
      </c>
      <c r="M191">
        <f t="shared" si="28"/>
        <v>0.74419199999999996</v>
      </c>
      <c r="N191" s="8">
        <v>760</v>
      </c>
      <c r="O191" s="14">
        <f t="shared" si="22"/>
        <v>3313.6000000000004</v>
      </c>
      <c r="P191" s="3">
        <v>20</v>
      </c>
      <c r="Q191" s="8">
        <f t="shared" si="23"/>
        <v>38</v>
      </c>
      <c r="R191" s="8">
        <f t="shared" si="24"/>
        <v>506.66666666666663</v>
      </c>
      <c r="S191" s="8">
        <f t="shared" si="25"/>
        <v>544.66666666666663</v>
      </c>
      <c r="T191" s="17" t="e">
        <f t="shared" si="26"/>
        <v>#REF!</v>
      </c>
      <c r="U191" s="17" t="e">
        <f t="shared" si="27"/>
        <v>#REF!</v>
      </c>
      <c r="V191" s="28" t="s">
        <v>2983</v>
      </c>
    </row>
    <row r="192" spans="1:22" ht="15" customHeight="1" x14ac:dyDescent="0.25">
      <c r="A192" t="s">
        <v>230</v>
      </c>
      <c r="B192" t="s">
        <v>292</v>
      </c>
      <c r="C192" t="s">
        <v>1690</v>
      </c>
      <c r="D192" t="s">
        <v>1693</v>
      </c>
      <c r="E192" t="s">
        <v>234</v>
      </c>
      <c r="F192" s="5">
        <v>4.13</v>
      </c>
      <c r="G192" t="s">
        <v>1634</v>
      </c>
      <c r="H192" s="3">
        <v>1</v>
      </c>
      <c r="I192" s="3">
        <v>5</v>
      </c>
      <c r="J192" s="3">
        <v>3</v>
      </c>
      <c r="K192" s="3">
        <v>15</v>
      </c>
      <c r="L192">
        <f t="shared" si="21"/>
        <v>1.5E-5</v>
      </c>
      <c r="M192">
        <f t="shared" si="28"/>
        <v>1.14E-2</v>
      </c>
      <c r="N192" s="8">
        <v>760</v>
      </c>
      <c r="O192" s="14">
        <f t="shared" si="22"/>
        <v>3138.7999999999997</v>
      </c>
      <c r="P192" s="3">
        <v>20</v>
      </c>
      <c r="Q192" s="8">
        <f t="shared" si="23"/>
        <v>38</v>
      </c>
      <c r="R192" s="8">
        <f t="shared" si="24"/>
        <v>506.66666666666663</v>
      </c>
      <c r="S192" s="8">
        <f t="shared" si="25"/>
        <v>544.66666666666663</v>
      </c>
      <c r="T192" s="17" t="e">
        <f t="shared" si="26"/>
        <v>#REF!</v>
      </c>
      <c r="U192" s="17" t="e">
        <f t="shared" si="27"/>
        <v>#REF!</v>
      </c>
      <c r="V192" s="28" t="s">
        <v>2983</v>
      </c>
    </row>
    <row r="193" spans="1:22" ht="15" customHeight="1" x14ac:dyDescent="0.25">
      <c r="A193" t="s">
        <v>230</v>
      </c>
      <c r="B193" t="s">
        <v>291</v>
      </c>
      <c r="C193" t="s">
        <v>1596</v>
      </c>
      <c r="D193" t="s">
        <v>1597</v>
      </c>
      <c r="E193" t="s">
        <v>234</v>
      </c>
      <c r="F193" s="5">
        <v>69.099999999999994</v>
      </c>
      <c r="G193" t="s">
        <v>1598</v>
      </c>
      <c r="H193" s="3">
        <v>0.5</v>
      </c>
      <c r="I193" s="3">
        <v>30</v>
      </c>
      <c r="J193" s="3">
        <v>30</v>
      </c>
      <c r="K193" s="3">
        <v>450</v>
      </c>
      <c r="L193">
        <f t="shared" si="21"/>
        <v>4.4999999999999999E-4</v>
      </c>
      <c r="M193">
        <f t="shared" si="28"/>
        <v>2.0250000000000001E-2</v>
      </c>
      <c r="N193" s="8">
        <v>45</v>
      </c>
      <c r="O193" s="14">
        <f t="shared" si="22"/>
        <v>3109.4999999999995</v>
      </c>
      <c r="P193" s="3">
        <v>30</v>
      </c>
      <c r="Q193" s="8">
        <f t="shared" si="23"/>
        <v>1.5</v>
      </c>
      <c r="R193" s="8">
        <f t="shared" si="24"/>
        <v>45</v>
      </c>
      <c r="S193" s="8">
        <f t="shared" si="25"/>
        <v>46.5</v>
      </c>
      <c r="T193" s="17" t="e">
        <f t="shared" si="26"/>
        <v>#REF!</v>
      </c>
      <c r="U193" s="17" t="e">
        <f t="shared" si="27"/>
        <v>#REF!</v>
      </c>
      <c r="V193" s="28" t="s">
        <v>2983</v>
      </c>
    </row>
    <row r="194" spans="1:22" ht="15" customHeight="1" x14ac:dyDescent="0.25">
      <c r="A194" t="s">
        <v>230</v>
      </c>
      <c r="B194" t="s">
        <v>1408</v>
      </c>
      <c r="C194" t="s">
        <v>1428</v>
      </c>
      <c r="D194" t="s">
        <v>1429</v>
      </c>
      <c r="E194" t="s">
        <v>833</v>
      </c>
      <c r="F194" s="5">
        <v>626.9</v>
      </c>
      <c r="G194" t="s">
        <v>606</v>
      </c>
      <c r="H194" s="3">
        <v>145</v>
      </c>
      <c r="I194" s="3">
        <v>60</v>
      </c>
      <c r="J194" s="3">
        <v>60</v>
      </c>
      <c r="K194" s="3">
        <v>5</v>
      </c>
      <c r="L194">
        <f t="shared" ref="L194:L257" si="29">J194*I194*H194/1000000</f>
        <v>0.52200000000000002</v>
      </c>
      <c r="M194">
        <v>2.5</v>
      </c>
      <c r="N194" s="8">
        <f>M194/L194</f>
        <v>4.7892720306513406</v>
      </c>
      <c r="O194" s="14">
        <f t="shared" ref="O194:O257" si="30">N194*F194</f>
        <v>3002.3946360153254</v>
      </c>
      <c r="P194" s="3">
        <v>10</v>
      </c>
      <c r="Q194" s="8">
        <f t="shared" ref="Q194:Q257" si="31">N194/P194</f>
        <v>0.47892720306513403</v>
      </c>
      <c r="R194" s="8">
        <f t="shared" ref="R194:R257" si="32">(N194/30)*P194</f>
        <v>1.5964240102171134</v>
      </c>
      <c r="S194" s="8">
        <f t="shared" ref="S194:S257" si="33">Q194+R194</f>
        <v>2.0753512132822474</v>
      </c>
      <c r="T194" s="17" t="e">
        <f t="shared" si="26"/>
        <v>#REF!</v>
      </c>
      <c r="U194" s="17" t="e">
        <f t="shared" si="27"/>
        <v>#REF!</v>
      </c>
      <c r="V194" s="28" t="s">
        <v>2983</v>
      </c>
    </row>
    <row r="195" spans="1:22" ht="15" customHeight="1" x14ac:dyDescent="0.25">
      <c r="A195" t="s">
        <v>230</v>
      </c>
      <c r="B195" t="s">
        <v>1637</v>
      </c>
      <c r="C195" t="s">
        <v>224</v>
      </c>
      <c r="D195" t="s">
        <v>225</v>
      </c>
      <c r="E195" t="s">
        <v>480</v>
      </c>
      <c r="F195" s="5">
        <v>117</v>
      </c>
      <c r="G195" t="s">
        <v>309</v>
      </c>
      <c r="H195" s="3">
        <v>40</v>
      </c>
      <c r="I195" s="3">
        <v>35</v>
      </c>
      <c r="J195" s="3">
        <v>40</v>
      </c>
      <c r="K195" s="3">
        <v>10.3</v>
      </c>
      <c r="L195">
        <f t="shared" si="29"/>
        <v>5.6000000000000001E-2</v>
      </c>
      <c r="M195">
        <f>L195*N195</f>
        <v>1.4000000000000001</v>
      </c>
      <c r="N195" s="8">
        <v>25</v>
      </c>
      <c r="O195" s="14">
        <f t="shared" si="30"/>
        <v>2925</v>
      </c>
      <c r="P195" s="3">
        <v>40</v>
      </c>
      <c r="Q195" s="8">
        <f t="shared" si="31"/>
        <v>0.625</v>
      </c>
      <c r="R195" s="8">
        <f t="shared" si="32"/>
        <v>33.333333333333336</v>
      </c>
      <c r="S195" s="8">
        <f t="shared" si="33"/>
        <v>33.958333333333336</v>
      </c>
      <c r="T195" s="17" t="e">
        <f t="shared" ref="T195:T243" si="34">O195/O$1748</f>
        <v>#REF!</v>
      </c>
      <c r="U195" s="17" t="e">
        <f t="shared" ref="U195:U243" si="35">U194+T195</f>
        <v>#REF!</v>
      </c>
      <c r="V195" s="28" t="s">
        <v>2983</v>
      </c>
    </row>
    <row r="196" spans="1:22" ht="15" customHeight="1" x14ac:dyDescent="0.25">
      <c r="A196" t="s">
        <v>230</v>
      </c>
      <c r="B196" t="s">
        <v>1408</v>
      </c>
      <c r="C196" t="s">
        <v>1446</v>
      </c>
      <c r="D196" t="s">
        <v>1447</v>
      </c>
      <c r="E196" t="s">
        <v>833</v>
      </c>
      <c r="F196" s="5">
        <v>840</v>
      </c>
      <c r="G196" t="s">
        <v>1448</v>
      </c>
      <c r="H196" s="3">
        <v>120</v>
      </c>
      <c r="I196" s="3">
        <v>60</v>
      </c>
      <c r="J196" s="3">
        <v>60</v>
      </c>
      <c r="K196" s="3">
        <v>3</v>
      </c>
      <c r="L196">
        <f t="shared" si="29"/>
        <v>0.432</v>
      </c>
      <c r="M196">
        <v>1.5</v>
      </c>
      <c r="N196" s="8">
        <f>M196/L196</f>
        <v>3.4722222222222223</v>
      </c>
      <c r="O196" s="14">
        <f t="shared" si="30"/>
        <v>2916.666666666667</v>
      </c>
      <c r="P196" s="3">
        <v>10</v>
      </c>
      <c r="Q196" s="8">
        <f t="shared" si="31"/>
        <v>0.34722222222222221</v>
      </c>
      <c r="R196" s="8">
        <f t="shared" si="32"/>
        <v>1.1574074074074074</v>
      </c>
      <c r="S196" s="8">
        <f t="shared" si="33"/>
        <v>1.5046296296296298</v>
      </c>
      <c r="T196" s="17" t="e">
        <f t="shared" si="34"/>
        <v>#REF!</v>
      </c>
      <c r="U196" s="17" t="e">
        <f t="shared" si="35"/>
        <v>#REF!</v>
      </c>
      <c r="V196" s="28" t="s">
        <v>2983</v>
      </c>
    </row>
    <row r="197" spans="1:22" ht="15" customHeight="1" x14ac:dyDescent="0.25">
      <c r="A197" t="s">
        <v>230</v>
      </c>
      <c r="B197" t="s">
        <v>1637</v>
      </c>
      <c r="C197" t="s">
        <v>178</v>
      </c>
      <c r="D197" t="s">
        <v>179</v>
      </c>
      <c r="E197" t="s">
        <v>480</v>
      </c>
      <c r="F197" s="5">
        <v>112.38500000000001</v>
      </c>
      <c r="G197" t="s">
        <v>309</v>
      </c>
      <c r="H197" s="3">
        <v>50</v>
      </c>
      <c r="I197" s="3">
        <v>40</v>
      </c>
      <c r="J197" s="3">
        <v>50</v>
      </c>
      <c r="K197" s="3">
        <v>10.15</v>
      </c>
      <c r="L197">
        <f t="shared" si="29"/>
        <v>0.1</v>
      </c>
      <c r="M197">
        <f>L197*N197</f>
        <v>2.5</v>
      </c>
      <c r="N197" s="8">
        <v>25</v>
      </c>
      <c r="O197" s="14">
        <f t="shared" si="30"/>
        <v>2809.625</v>
      </c>
      <c r="P197" s="3">
        <v>40</v>
      </c>
      <c r="Q197" s="8">
        <f t="shared" si="31"/>
        <v>0.625</v>
      </c>
      <c r="R197" s="8">
        <f t="shared" si="32"/>
        <v>33.333333333333336</v>
      </c>
      <c r="S197" s="8">
        <f t="shared" si="33"/>
        <v>33.958333333333336</v>
      </c>
      <c r="T197" s="17" t="e">
        <f t="shared" si="34"/>
        <v>#REF!</v>
      </c>
      <c r="U197" s="17" t="e">
        <f t="shared" si="35"/>
        <v>#REF!</v>
      </c>
      <c r="V197" s="28" t="s">
        <v>2983</v>
      </c>
    </row>
    <row r="198" spans="1:22" ht="15" customHeight="1" x14ac:dyDescent="0.25">
      <c r="A198" t="s">
        <v>230</v>
      </c>
      <c r="B198" t="s">
        <v>1637</v>
      </c>
      <c r="C198" t="s">
        <v>182</v>
      </c>
      <c r="D198" t="s">
        <v>183</v>
      </c>
      <c r="E198" t="s">
        <v>480</v>
      </c>
      <c r="F198" s="5">
        <v>111.08499999999999</v>
      </c>
      <c r="G198" t="s">
        <v>310</v>
      </c>
      <c r="H198" s="3">
        <v>48</v>
      </c>
      <c r="I198" s="3">
        <v>50</v>
      </c>
      <c r="J198" s="3">
        <v>45</v>
      </c>
      <c r="K198" s="3">
        <v>10.15</v>
      </c>
      <c r="L198">
        <f t="shared" si="29"/>
        <v>0.108</v>
      </c>
      <c r="M198">
        <f>L198*N198</f>
        <v>2.7</v>
      </c>
      <c r="N198" s="8">
        <v>25</v>
      </c>
      <c r="O198" s="14">
        <f t="shared" si="30"/>
        <v>2777.125</v>
      </c>
      <c r="P198" s="3">
        <v>40</v>
      </c>
      <c r="Q198" s="8">
        <f t="shared" si="31"/>
        <v>0.625</v>
      </c>
      <c r="R198" s="8">
        <f t="shared" si="32"/>
        <v>33.333333333333336</v>
      </c>
      <c r="S198" s="8">
        <f t="shared" si="33"/>
        <v>33.958333333333336</v>
      </c>
      <c r="T198" s="17" t="e">
        <f t="shared" si="34"/>
        <v>#REF!</v>
      </c>
      <c r="U198" s="17" t="e">
        <f t="shared" si="35"/>
        <v>#REF!</v>
      </c>
      <c r="V198" s="28" t="s">
        <v>2983</v>
      </c>
    </row>
    <row r="199" spans="1:22" ht="15" customHeight="1" x14ac:dyDescent="0.25">
      <c r="A199" t="s">
        <v>230</v>
      </c>
      <c r="B199" t="s">
        <v>1408</v>
      </c>
      <c r="C199" t="s">
        <v>1466</v>
      </c>
      <c r="D199" t="s">
        <v>1467</v>
      </c>
      <c r="E199" t="s">
        <v>24</v>
      </c>
      <c r="F199" s="5">
        <v>22.9</v>
      </c>
      <c r="G199" t="s">
        <v>1468</v>
      </c>
      <c r="H199" s="3">
        <v>45</v>
      </c>
      <c r="I199" s="3">
        <v>70</v>
      </c>
      <c r="J199" s="3">
        <v>45</v>
      </c>
      <c r="K199" s="3">
        <v>1</v>
      </c>
      <c r="L199">
        <f t="shared" si="29"/>
        <v>0.14174999999999999</v>
      </c>
      <c r="M199">
        <v>16.5</v>
      </c>
      <c r="N199" s="8">
        <f>M199/L199</f>
        <v>116.40211640211642</v>
      </c>
      <c r="O199" s="14">
        <f t="shared" si="30"/>
        <v>2665.6084656084658</v>
      </c>
      <c r="P199" s="3">
        <v>10</v>
      </c>
      <c r="Q199" s="8">
        <f t="shared" si="31"/>
        <v>11.640211640211643</v>
      </c>
      <c r="R199" s="8">
        <f t="shared" si="32"/>
        <v>38.80070546737214</v>
      </c>
      <c r="S199" s="8">
        <f t="shared" si="33"/>
        <v>50.440917107583786</v>
      </c>
      <c r="T199" s="17" t="e">
        <f t="shared" si="34"/>
        <v>#REF!</v>
      </c>
      <c r="U199" s="17" t="e">
        <f t="shared" si="35"/>
        <v>#REF!</v>
      </c>
      <c r="V199" s="28" t="s">
        <v>2983</v>
      </c>
    </row>
    <row r="200" spans="1:22" ht="15" customHeight="1" x14ac:dyDescent="0.25">
      <c r="A200" t="s">
        <v>230</v>
      </c>
      <c r="B200" t="s">
        <v>291</v>
      </c>
      <c r="C200" t="s">
        <v>1591</v>
      </c>
      <c r="D200" t="s">
        <v>1592</v>
      </c>
      <c r="E200" t="s">
        <v>234</v>
      </c>
      <c r="F200" s="5">
        <v>52.8</v>
      </c>
      <c r="G200" t="s">
        <v>1546</v>
      </c>
      <c r="H200" s="3">
        <v>0.9</v>
      </c>
      <c r="I200" s="3">
        <v>230</v>
      </c>
      <c r="J200" s="3">
        <v>12</v>
      </c>
      <c r="K200" s="3">
        <v>24</v>
      </c>
      <c r="L200">
        <f t="shared" si="29"/>
        <v>2.4840000000000001E-3</v>
      </c>
      <c r="M200">
        <f>L200*N200</f>
        <v>0.1242</v>
      </c>
      <c r="N200" s="8">
        <v>50</v>
      </c>
      <c r="O200" s="14">
        <f t="shared" si="30"/>
        <v>2640</v>
      </c>
      <c r="P200" s="3">
        <v>30</v>
      </c>
      <c r="Q200" s="8">
        <f t="shared" si="31"/>
        <v>1.6666666666666667</v>
      </c>
      <c r="R200" s="8">
        <f t="shared" si="32"/>
        <v>50</v>
      </c>
      <c r="S200" s="8">
        <f t="shared" si="33"/>
        <v>51.666666666666664</v>
      </c>
      <c r="T200" s="17" t="e">
        <f t="shared" si="34"/>
        <v>#REF!</v>
      </c>
      <c r="U200" s="17" t="e">
        <f t="shared" si="35"/>
        <v>#REF!</v>
      </c>
      <c r="V200" s="28" t="s">
        <v>2983</v>
      </c>
    </row>
    <row r="201" spans="1:22" ht="15" customHeight="1" x14ac:dyDescent="0.25">
      <c r="A201" t="s">
        <v>230</v>
      </c>
      <c r="B201" t="s">
        <v>1408</v>
      </c>
      <c r="C201" t="s">
        <v>1442</v>
      </c>
      <c r="D201" t="s">
        <v>1443</v>
      </c>
      <c r="E201" t="s">
        <v>833</v>
      </c>
      <c r="F201" s="5">
        <v>17.899999999999999</v>
      </c>
      <c r="G201" t="s">
        <v>606</v>
      </c>
      <c r="H201" s="3">
        <v>35</v>
      </c>
      <c r="I201" s="3">
        <v>30</v>
      </c>
      <c r="J201" s="3">
        <v>30</v>
      </c>
      <c r="K201" s="3">
        <v>2</v>
      </c>
      <c r="L201">
        <f t="shared" si="29"/>
        <v>3.15E-2</v>
      </c>
      <c r="M201">
        <v>4.5</v>
      </c>
      <c r="N201" s="8">
        <f>M201/L201</f>
        <v>142.85714285714286</v>
      </c>
      <c r="O201" s="14">
        <f t="shared" si="30"/>
        <v>2557.1428571428569</v>
      </c>
      <c r="P201" s="3">
        <v>10</v>
      </c>
      <c r="Q201" s="8">
        <f t="shared" si="31"/>
        <v>14.285714285714286</v>
      </c>
      <c r="R201" s="8">
        <f t="shared" si="32"/>
        <v>47.61904761904762</v>
      </c>
      <c r="S201" s="8">
        <f t="shared" si="33"/>
        <v>61.904761904761905</v>
      </c>
      <c r="T201" s="17" t="e">
        <f t="shared" si="34"/>
        <v>#REF!</v>
      </c>
      <c r="U201" s="17" t="e">
        <f t="shared" si="35"/>
        <v>#REF!</v>
      </c>
      <c r="V201" s="28" t="s">
        <v>2983</v>
      </c>
    </row>
    <row r="202" spans="1:22" ht="15" customHeight="1" x14ac:dyDescent="0.25">
      <c r="A202" t="s">
        <v>230</v>
      </c>
      <c r="B202" t="s">
        <v>1408</v>
      </c>
      <c r="C202" t="s">
        <v>1420</v>
      </c>
      <c r="D202" t="s">
        <v>1421</v>
      </c>
      <c r="E202" t="s">
        <v>833</v>
      </c>
      <c r="F202" s="5">
        <v>377</v>
      </c>
      <c r="G202" t="s">
        <v>606</v>
      </c>
      <c r="H202" s="3">
        <v>145</v>
      </c>
      <c r="I202" s="3">
        <v>60</v>
      </c>
      <c r="J202" s="3">
        <v>60</v>
      </c>
      <c r="K202" s="3">
        <v>5</v>
      </c>
      <c r="L202">
        <f t="shared" si="29"/>
        <v>0.52200000000000002</v>
      </c>
      <c r="M202">
        <v>3.5</v>
      </c>
      <c r="N202" s="8">
        <f>M202/L202</f>
        <v>6.7049808429118771</v>
      </c>
      <c r="O202" s="14">
        <f t="shared" si="30"/>
        <v>2527.7777777777778</v>
      </c>
      <c r="P202" s="3">
        <v>10</v>
      </c>
      <c r="Q202" s="8">
        <f t="shared" si="31"/>
        <v>0.67049808429118773</v>
      </c>
      <c r="R202" s="8">
        <f t="shared" si="32"/>
        <v>2.234993614303959</v>
      </c>
      <c r="S202" s="8">
        <f t="shared" si="33"/>
        <v>2.9054916985951467</v>
      </c>
      <c r="T202" s="17" t="e">
        <f t="shared" si="34"/>
        <v>#REF!</v>
      </c>
      <c r="U202" s="17" t="e">
        <f t="shared" si="35"/>
        <v>#REF!</v>
      </c>
      <c r="V202" s="28" t="s">
        <v>2983</v>
      </c>
    </row>
    <row r="203" spans="1:22" ht="15" customHeight="1" x14ac:dyDescent="0.25">
      <c r="A203" t="s">
        <v>230</v>
      </c>
      <c r="B203" t="s">
        <v>291</v>
      </c>
      <c r="C203" t="s">
        <v>1583</v>
      </c>
      <c r="D203" t="s">
        <v>1584</v>
      </c>
      <c r="E203" t="s">
        <v>234</v>
      </c>
      <c r="F203" s="5">
        <v>49.8</v>
      </c>
      <c r="G203" t="s">
        <v>1563</v>
      </c>
      <c r="H203" s="3">
        <v>5</v>
      </c>
      <c r="I203" s="3">
        <v>50</v>
      </c>
      <c r="J203" s="3">
        <v>20</v>
      </c>
      <c r="K203" s="3">
        <v>5</v>
      </c>
      <c r="L203">
        <f t="shared" si="29"/>
        <v>5.0000000000000001E-3</v>
      </c>
      <c r="M203">
        <f>L203*N203</f>
        <v>0.25</v>
      </c>
      <c r="N203" s="8">
        <v>50</v>
      </c>
      <c r="O203" s="14">
        <f t="shared" si="30"/>
        <v>2490</v>
      </c>
      <c r="P203" s="3">
        <v>30</v>
      </c>
      <c r="Q203" s="8">
        <f t="shared" si="31"/>
        <v>1.6666666666666667</v>
      </c>
      <c r="R203" s="8">
        <f t="shared" si="32"/>
        <v>50</v>
      </c>
      <c r="S203" s="8">
        <f t="shared" si="33"/>
        <v>51.666666666666664</v>
      </c>
      <c r="T203" s="17" t="e">
        <f t="shared" si="34"/>
        <v>#REF!</v>
      </c>
      <c r="U203" s="17" t="e">
        <f t="shared" si="35"/>
        <v>#REF!</v>
      </c>
      <c r="V203" s="28" t="s">
        <v>2983</v>
      </c>
    </row>
    <row r="204" spans="1:22" ht="15" customHeight="1" x14ac:dyDescent="0.25">
      <c r="A204" t="s">
        <v>230</v>
      </c>
      <c r="B204" t="s">
        <v>1408</v>
      </c>
      <c r="C204" t="s">
        <v>1440</v>
      </c>
      <c r="D204" t="s">
        <v>1441</v>
      </c>
      <c r="E204" t="s">
        <v>833</v>
      </c>
      <c r="F204" s="5">
        <v>21.9</v>
      </c>
      <c r="G204" t="s">
        <v>606</v>
      </c>
      <c r="H204" s="3">
        <v>35</v>
      </c>
      <c r="I204" s="3">
        <v>30</v>
      </c>
      <c r="J204" s="3">
        <v>30</v>
      </c>
      <c r="K204" s="3">
        <v>1.5</v>
      </c>
      <c r="L204">
        <f t="shared" si="29"/>
        <v>3.15E-2</v>
      </c>
      <c r="M204">
        <v>3.5</v>
      </c>
      <c r="N204" s="8">
        <f>M204/L204</f>
        <v>111.11111111111111</v>
      </c>
      <c r="O204" s="14">
        <f t="shared" si="30"/>
        <v>2433.333333333333</v>
      </c>
      <c r="P204" s="3">
        <v>10</v>
      </c>
      <c r="Q204" s="8">
        <f t="shared" si="31"/>
        <v>11.111111111111111</v>
      </c>
      <c r="R204" s="8">
        <f t="shared" si="32"/>
        <v>37.037037037037038</v>
      </c>
      <c r="S204" s="8">
        <f t="shared" si="33"/>
        <v>48.148148148148152</v>
      </c>
      <c r="T204" s="17" t="e">
        <f t="shared" si="34"/>
        <v>#REF!</v>
      </c>
      <c r="U204" s="17" t="e">
        <f t="shared" si="35"/>
        <v>#REF!</v>
      </c>
      <c r="V204" s="28" t="s">
        <v>2983</v>
      </c>
    </row>
    <row r="205" spans="1:22" ht="15" customHeight="1" x14ac:dyDescent="0.25">
      <c r="A205" t="s">
        <v>230</v>
      </c>
      <c r="B205" t="s">
        <v>1637</v>
      </c>
      <c r="C205" t="s">
        <v>156</v>
      </c>
      <c r="D205" t="s">
        <v>157</v>
      </c>
      <c r="E205" t="s">
        <v>480</v>
      </c>
      <c r="F205" s="5">
        <v>94.185000000000002</v>
      </c>
      <c r="G205" t="s">
        <v>309</v>
      </c>
      <c r="H205" s="3">
        <v>28</v>
      </c>
      <c r="I205" s="3">
        <v>50</v>
      </c>
      <c r="J205" s="3">
        <v>59</v>
      </c>
      <c r="K205" s="3">
        <v>11.6</v>
      </c>
      <c r="L205">
        <f t="shared" si="29"/>
        <v>8.2600000000000007E-2</v>
      </c>
      <c r="M205">
        <f>L205*N205</f>
        <v>2.0650000000000004</v>
      </c>
      <c r="N205" s="8">
        <v>25</v>
      </c>
      <c r="O205" s="14">
        <f t="shared" si="30"/>
        <v>2354.625</v>
      </c>
      <c r="P205" s="3">
        <v>40</v>
      </c>
      <c r="Q205" s="8">
        <f t="shared" si="31"/>
        <v>0.625</v>
      </c>
      <c r="R205" s="8">
        <f t="shared" si="32"/>
        <v>33.333333333333336</v>
      </c>
      <c r="S205" s="8">
        <f t="shared" si="33"/>
        <v>33.958333333333336</v>
      </c>
      <c r="T205" s="17" t="e">
        <f t="shared" si="34"/>
        <v>#REF!</v>
      </c>
      <c r="U205" s="17" t="e">
        <f t="shared" si="35"/>
        <v>#REF!</v>
      </c>
      <c r="V205" s="28" t="s">
        <v>2983</v>
      </c>
    </row>
    <row r="206" spans="1:22" ht="15" customHeight="1" x14ac:dyDescent="0.25">
      <c r="A206" t="s">
        <v>230</v>
      </c>
      <c r="B206" t="s">
        <v>1637</v>
      </c>
      <c r="C206" t="s">
        <v>154</v>
      </c>
      <c r="D206" t="s">
        <v>155</v>
      </c>
      <c r="E206" t="s">
        <v>480</v>
      </c>
      <c r="F206" s="5">
        <v>76.635000000000005</v>
      </c>
      <c r="G206" t="s">
        <v>262</v>
      </c>
      <c r="H206" s="3">
        <v>140</v>
      </c>
      <c r="I206" s="3">
        <v>30</v>
      </c>
      <c r="J206" s="3">
        <v>25</v>
      </c>
      <c r="K206" s="3">
        <v>7.8</v>
      </c>
      <c r="L206">
        <f t="shared" si="29"/>
        <v>0.105</v>
      </c>
      <c r="M206">
        <f>L206*N206</f>
        <v>3.15</v>
      </c>
      <c r="N206" s="8">
        <v>30</v>
      </c>
      <c r="O206" s="14">
        <f t="shared" si="30"/>
        <v>2299.0500000000002</v>
      </c>
      <c r="P206" s="3">
        <v>40</v>
      </c>
      <c r="Q206" s="8">
        <f t="shared" si="31"/>
        <v>0.75</v>
      </c>
      <c r="R206" s="8">
        <f t="shared" si="32"/>
        <v>40</v>
      </c>
      <c r="S206" s="8">
        <f t="shared" si="33"/>
        <v>40.75</v>
      </c>
      <c r="T206" s="17" t="e">
        <f t="shared" si="34"/>
        <v>#REF!</v>
      </c>
      <c r="U206" s="17" t="e">
        <f t="shared" si="35"/>
        <v>#REF!</v>
      </c>
      <c r="V206" s="28" t="s">
        <v>2983</v>
      </c>
    </row>
    <row r="207" spans="1:22" ht="15" customHeight="1" x14ac:dyDescent="0.25">
      <c r="A207" t="s">
        <v>230</v>
      </c>
      <c r="B207" t="s">
        <v>1408</v>
      </c>
      <c r="C207" t="s">
        <v>1432</v>
      </c>
      <c r="D207" t="s">
        <v>1433</v>
      </c>
      <c r="E207" t="s">
        <v>833</v>
      </c>
      <c r="F207" s="5">
        <v>332</v>
      </c>
      <c r="G207" t="s">
        <v>606</v>
      </c>
      <c r="H207" s="3">
        <v>145</v>
      </c>
      <c r="I207" s="3">
        <v>60</v>
      </c>
      <c r="J207" s="3">
        <v>60</v>
      </c>
      <c r="K207" s="3">
        <v>5</v>
      </c>
      <c r="L207">
        <f t="shared" si="29"/>
        <v>0.52200000000000002</v>
      </c>
      <c r="M207">
        <v>3.5</v>
      </c>
      <c r="N207" s="8">
        <f>M207/L207</f>
        <v>6.7049808429118771</v>
      </c>
      <c r="O207" s="14">
        <f t="shared" si="30"/>
        <v>2226.0536398467434</v>
      </c>
      <c r="P207" s="3">
        <v>10</v>
      </c>
      <c r="Q207" s="8">
        <f t="shared" si="31"/>
        <v>0.67049808429118773</v>
      </c>
      <c r="R207" s="8">
        <f t="shared" si="32"/>
        <v>2.234993614303959</v>
      </c>
      <c r="S207" s="8">
        <f t="shared" si="33"/>
        <v>2.9054916985951467</v>
      </c>
      <c r="T207" s="17" t="e">
        <f t="shared" si="34"/>
        <v>#REF!</v>
      </c>
      <c r="U207" s="17" t="e">
        <f t="shared" si="35"/>
        <v>#REF!</v>
      </c>
      <c r="V207" s="28" t="s">
        <v>2983</v>
      </c>
    </row>
    <row r="208" spans="1:22" ht="15" customHeight="1" x14ac:dyDescent="0.25">
      <c r="A208" t="s">
        <v>230</v>
      </c>
      <c r="B208" t="s">
        <v>291</v>
      </c>
      <c r="C208" t="s">
        <v>1588</v>
      </c>
      <c r="D208" t="s">
        <v>1589</v>
      </c>
      <c r="E208" t="s">
        <v>234</v>
      </c>
      <c r="F208" s="5">
        <v>43.9</v>
      </c>
      <c r="G208" t="s">
        <v>1590</v>
      </c>
      <c r="H208" s="3">
        <v>0.7</v>
      </c>
      <c r="I208" s="3">
        <v>240</v>
      </c>
      <c r="J208" s="3">
        <v>15</v>
      </c>
      <c r="K208" s="3">
        <v>25</v>
      </c>
      <c r="L208">
        <f t="shared" si="29"/>
        <v>2.5200000000000001E-3</v>
      </c>
      <c r="M208">
        <f>L208*N208</f>
        <v>0.126</v>
      </c>
      <c r="N208" s="8">
        <v>50</v>
      </c>
      <c r="O208" s="14">
        <f t="shared" si="30"/>
        <v>2195</v>
      </c>
      <c r="P208" s="3">
        <v>30</v>
      </c>
      <c r="Q208" s="8">
        <f t="shared" si="31"/>
        <v>1.6666666666666667</v>
      </c>
      <c r="R208" s="8">
        <f t="shared" si="32"/>
        <v>50</v>
      </c>
      <c r="S208" s="8">
        <f t="shared" si="33"/>
        <v>51.666666666666664</v>
      </c>
      <c r="T208" s="17" t="e">
        <f t="shared" si="34"/>
        <v>#REF!</v>
      </c>
      <c r="U208" s="17" t="e">
        <f t="shared" si="35"/>
        <v>#REF!</v>
      </c>
      <c r="V208" s="28" t="s">
        <v>2983</v>
      </c>
    </row>
    <row r="209" spans="1:22" ht="15" customHeight="1" x14ac:dyDescent="0.25">
      <c r="A209" t="s">
        <v>230</v>
      </c>
      <c r="B209" t="s">
        <v>1637</v>
      </c>
      <c r="C209" t="s">
        <v>204</v>
      </c>
      <c r="D209" t="s">
        <v>205</v>
      </c>
      <c r="E209" t="s">
        <v>480</v>
      </c>
      <c r="F209" s="5">
        <v>48.75</v>
      </c>
      <c r="G209" t="s">
        <v>311</v>
      </c>
      <c r="H209" s="3">
        <v>48</v>
      </c>
      <c r="I209" s="3">
        <v>55</v>
      </c>
      <c r="J209" s="3">
        <v>48</v>
      </c>
      <c r="K209" s="3">
        <v>21.8</v>
      </c>
      <c r="L209">
        <f t="shared" si="29"/>
        <v>0.12672</v>
      </c>
      <c r="M209">
        <f>L209*N209</f>
        <v>5.7023999999999999</v>
      </c>
      <c r="N209" s="8">
        <v>45</v>
      </c>
      <c r="O209" s="14">
        <f t="shared" si="30"/>
        <v>2193.75</v>
      </c>
      <c r="P209" s="3">
        <v>40</v>
      </c>
      <c r="Q209" s="8">
        <f t="shared" si="31"/>
        <v>1.125</v>
      </c>
      <c r="R209" s="8">
        <f t="shared" si="32"/>
        <v>60</v>
      </c>
      <c r="S209" s="8">
        <f t="shared" si="33"/>
        <v>61.125</v>
      </c>
      <c r="T209" s="17" t="e">
        <f t="shared" si="34"/>
        <v>#REF!</v>
      </c>
      <c r="U209" s="17" t="e">
        <f t="shared" si="35"/>
        <v>#REF!</v>
      </c>
      <c r="V209" s="28" t="s">
        <v>2983</v>
      </c>
    </row>
    <row r="210" spans="1:22" ht="15" customHeight="1" x14ac:dyDescent="0.25">
      <c r="A210" t="s">
        <v>230</v>
      </c>
      <c r="B210" t="s">
        <v>1637</v>
      </c>
      <c r="C210" t="s">
        <v>166</v>
      </c>
      <c r="D210" t="s">
        <v>167</v>
      </c>
      <c r="E210" t="s">
        <v>480</v>
      </c>
      <c r="F210" s="5">
        <v>70.784999999999997</v>
      </c>
      <c r="G210" t="s">
        <v>310</v>
      </c>
      <c r="H210" s="3">
        <v>30</v>
      </c>
      <c r="I210" s="3">
        <v>55</v>
      </c>
      <c r="J210" s="3">
        <v>50</v>
      </c>
      <c r="K210" s="3">
        <v>7.9</v>
      </c>
      <c r="L210">
        <f t="shared" si="29"/>
        <v>8.2500000000000004E-2</v>
      </c>
      <c r="M210">
        <f>L210*N210</f>
        <v>2.4750000000000001</v>
      </c>
      <c r="N210" s="8">
        <v>30</v>
      </c>
      <c r="O210" s="14">
        <f t="shared" si="30"/>
        <v>2123.5499999999997</v>
      </c>
      <c r="P210" s="3">
        <v>40</v>
      </c>
      <c r="Q210" s="8">
        <f t="shared" si="31"/>
        <v>0.75</v>
      </c>
      <c r="R210" s="8">
        <f t="shared" si="32"/>
        <v>40</v>
      </c>
      <c r="S210" s="8">
        <f t="shared" si="33"/>
        <v>40.75</v>
      </c>
      <c r="T210" s="17" t="e">
        <f t="shared" si="34"/>
        <v>#REF!</v>
      </c>
      <c r="U210" s="17" t="e">
        <f t="shared" si="35"/>
        <v>#REF!</v>
      </c>
      <c r="V210" s="28" t="s">
        <v>2983</v>
      </c>
    </row>
    <row r="211" spans="1:22" ht="15" customHeight="1" x14ac:dyDescent="0.25">
      <c r="A211" t="s">
        <v>230</v>
      </c>
      <c r="B211" t="s">
        <v>291</v>
      </c>
      <c r="C211" t="s">
        <v>1585</v>
      </c>
      <c r="D211" t="s">
        <v>1586</v>
      </c>
      <c r="E211" t="s">
        <v>234</v>
      </c>
      <c r="F211" s="5">
        <v>59.35</v>
      </c>
      <c r="G211" t="s">
        <v>1587</v>
      </c>
      <c r="H211" s="3">
        <v>3</v>
      </c>
      <c r="I211" s="3">
        <v>60</v>
      </c>
      <c r="J211" s="3">
        <v>11</v>
      </c>
      <c r="K211" s="3">
        <v>18</v>
      </c>
      <c r="L211">
        <f t="shared" si="29"/>
        <v>1.98E-3</v>
      </c>
      <c r="M211">
        <f>L211*N211</f>
        <v>6.93E-2</v>
      </c>
      <c r="N211" s="8">
        <v>35</v>
      </c>
      <c r="O211" s="14">
        <f t="shared" si="30"/>
        <v>2077.25</v>
      </c>
      <c r="P211" s="3">
        <v>30</v>
      </c>
      <c r="Q211" s="8">
        <f t="shared" si="31"/>
        <v>1.1666666666666667</v>
      </c>
      <c r="R211" s="8">
        <f t="shared" si="32"/>
        <v>35</v>
      </c>
      <c r="S211" s="8">
        <f t="shared" si="33"/>
        <v>36.166666666666664</v>
      </c>
      <c r="T211" s="17" t="e">
        <f t="shared" si="34"/>
        <v>#REF!</v>
      </c>
      <c r="U211" s="17" t="e">
        <f t="shared" si="35"/>
        <v>#REF!</v>
      </c>
      <c r="V211" s="28" t="s">
        <v>2983</v>
      </c>
    </row>
    <row r="212" spans="1:22" ht="15" customHeight="1" x14ac:dyDescent="0.25">
      <c r="A212" t="s">
        <v>230</v>
      </c>
      <c r="B212" t="s">
        <v>1408</v>
      </c>
      <c r="C212" t="s">
        <v>1436</v>
      </c>
      <c r="D212" t="s">
        <v>1437</v>
      </c>
      <c r="E212" t="s">
        <v>833</v>
      </c>
      <c r="F212" s="5">
        <v>17.899999999999999</v>
      </c>
      <c r="G212" t="s">
        <v>606</v>
      </c>
      <c r="H212" s="3">
        <v>35</v>
      </c>
      <c r="I212" s="3">
        <v>30</v>
      </c>
      <c r="J212" s="3">
        <v>30</v>
      </c>
      <c r="K212" s="3">
        <v>2</v>
      </c>
      <c r="L212">
        <f t="shared" si="29"/>
        <v>3.15E-2</v>
      </c>
      <c r="M212">
        <v>3.5</v>
      </c>
      <c r="N212" s="8">
        <f>M212/L212</f>
        <v>111.11111111111111</v>
      </c>
      <c r="O212" s="14">
        <f t="shared" si="30"/>
        <v>1988.8888888888887</v>
      </c>
      <c r="P212" s="3">
        <v>10</v>
      </c>
      <c r="Q212" s="8">
        <f t="shared" si="31"/>
        <v>11.111111111111111</v>
      </c>
      <c r="R212" s="8">
        <f t="shared" si="32"/>
        <v>37.037037037037038</v>
      </c>
      <c r="S212" s="8">
        <f t="shared" si="33"/>
        <v>48.148148148148152</v>
      </c>
      <c r="T212" s="17" t="e">
        <f t="shared" si="34"/>
        <v>#REF!</v>
      </c>
      <c r="U212" s="17" t="e">
        <f t="shared" si="35"/>
        <v>#REF!</v>
      </c>
      <c r="V212" s="28" t="s">
        <v>2983</v>
      </c>
    </row>
    <row r="213" spans="1:22" ht="15" customHeight="1" x14ac:dyDescent="0.25">
      <c r="A213" t="s">
        <v>230</v>
      </c>
      <c r="B213" t="s">
        <v>1408</v>
      </c>
      <c r="C213" t="s">
        <v>1451</v>
      </c>
      <c r="D213" t="s">
        <v>1452</v>
      </c>
      <c r="E213" t="s">
        <v>833</v>
      </c>
      <c r="F213" s="5">
        <v>480</v>
      </c>
      <c r="G213" t="s">
        <v>1448</v>
      </c>
      <c r="H213" s="3">
        <v>140</v>
      </c>
      <c r="I213" s="3">
        <v>68</v>
      </c>
      <c r="J213" s="3">
        <v>68</v>
      </c>
      <c r="K213" s="3">
        <v>3</v>
      </c>
      <c r="L213">
        <f t="shared" si="29"/>
        <v>0.64736000000000005</v>
      </c>
      <c r="M213">
        <v>2.5</v>
      </c>
      <c r="N213" s="8">
        <f>M213/L213</f>
        <v>3.8618388531883339</v>
      </c>
      <c r="O213" s="14">
        <f t="shared" si="30"/>
        <v>1853.6826495304003</v>
      </c>
      <c r="P213" s="3">
        <v>10</v>
      </c>
      <c r="Q213" s="8">
        <f t="shared" si="31"/>
        <v>0.38618388531883341</v>
      </c>
      <c r="R213" s="8">
        <f t="shared" si="32"/>
        <v>1.2872796177294445</v>
      </c>
      <c r="S213" s="8">
        <f t="shared" si="33"/>
        <v>1.6734635030482781</v>
      </c>
      <c r="T213" s="17" t="e">
        <f t="shared" si="34"/>
        <v>#REF!</v>
      </c>
      <c r="U213" s="17" t="e">
        <f t="shared" si="35"/>
        <v>#REF!</v>
      </c>
      <c r="V213" s="28" t="s">
        <v>2983</v>
      </c>
    </row>
    <row r="214" spans="1:22" ht="15" customHeight="1" x14ac:dyDescent="0.25">
      <c r="A214" t="s">
        <v>230</v>
      </c>
      <c r="B214" t="s">
        <v>1637</v>
      </c>
      <c r="C214" t="s">
        <v>142</v>
      </c>
      <c r="D214" t="s">
        <v>143</v>
      </c>
      <c r="E214" t="s">
        <v>480</v>
      </c>
      <c r="F214" s="5">
        <v>59.734999999999999</v>
      </c>
      <c r="G214" t="s">
        <v>309</v>
      </c>
      <c r="H214" s="3">
        <v>140</v>
      </c>
      <c r="I214" s="3">
        <v>30</v>
      </c>
      <c r="J214" s="3">
        <v>20</v>
      </c>
      <c r="K214" s="3">
        <v>8.4</v>
      </c>
      <c r="L214">
        <f t="shared" si="29"/>
        <v>8.4000000000000005E-2</v>
      </c>
      <c r="M214">
        <f>L214*N214</f>
        <v>2.52</v>
      </c>
      <c r="N214" s="8">
        <v>30</v>
      </c>
      <c r="O214" s="14">
        <f t="shared" si="30"/>
        <v>1792.05</v>
      </c>
      <c r="P214" s="3">
        <v>40</v>
      </c>
      <c r="Q214" s="8">
        <f t="shared" si="31"/>
        <v>0.75</v>
      </c>
      <c r="R214" s="8">
        <f t="shared" si="32"/>
        <v>40</v>
      </c>
      <c r="S214" s="8">
        <f t="shared" si="33"/>
        <v>40.75</v>
      </c>
      <c r="T214" s="17" t="e">
        <f t="shared" si="34"/>
        <v>#REF!</v>
      </c>
      <c r="U214" s="17" t="e">
        <f t="shared" si="35"/>
        <v>#REF!</v>
      </c>
      <c r="V214" s="28" t="s">
        <v>2983</v>
      </c>
    </row>
    <row r="215" spans="1:22" ht="15" customHeight="1" x14ac:dyDescent="0.25">
      <c r="A215" t="s">
        <v>230</v>
      </c>
      <c r="B215" t="s">
        <v>291</v>
      </c>
      <c r="C215" t="s">
        <v>1623</v>
      </c>
      <c r="D215" t="s">
        <v>1624</v>
      </c>
      <c r="E215" t="s">
        <v>234</v>
      </c>
      <c r="F215" s="5">
        <v>49.9</v>
      </c>
      <c r="G215" t="s">
        <v>1625</v>
      </c>
      <c r="H215" s="3">
        <v>2</v>
      </c>
      <c r="I215" s="3">
        <v>82</v>
      </c>
      <c r="J215" s="3">
        <v>15</v>
      </c>
      <c r="K215" s="3">
        <v>24</v>
      </c>
      <c r="L215">
        <f t="shared" si="29"/>
        <v>2.4599999999999999E-3</v>
      </c>
      <c r="M215">
        <f>L215*N215</f>
        <v>8.6099999999999996E-2</v>
      </c>
      <c r="N215" s="8">
        <v>35</v>
      </c>
      <c r="O215" s="14">
        <f t="shared" si="30"/>
        <v>1746.5</v>
      </c>
      <c r="P215" s="3">
        <v>30</v>
      </c>
      <c r="Q215" s="8">
        <f t="shared" si="31"/>
        <v>1.1666666666666667</v>
      </c>
      <c r="R215" s="8">
        <f t="shared" si="32"/>
        <v>35</v>
      </c>
      <c r="S215" s="8">
        <f t="shared" si="33"/>
        <v>36.166666666666664</v>
      </c>
      <c r="T215" s="17" t="e">
        <f t="shared" si="34"/>
        <v>#REF!</v>
      </c>
      <c r="U215" s="17" t="e">
        <f t="shared" si="35"/>
        <v>#REF!</v>
      </c>
      <c r="V215" s="28" t="s">
        <v>2983</v>
      </c>
    </row>
    <row r="216" spans="1:22" ht="15" customHeight="1" x14ac:dyDescent="0.25">
      <c r="A216" t="s">
        <v>230</v>
      </c>
      <c r="B216" t="s">
        <v>1408</v>
      </c>
      <c r="C216" t="s">
        <v>1430</v>
      </c>
      <c r="D216" t="s">
        <v>1431</v>
      </c>
      <c r="E216" t="s">
        <v>833</v>
      </c>
      <c r="F216" s="5">
        <v>592.9</v>
      </c>
      <c r="G216" t="s">
        <v>606</v>
      </c>
      <c r="H216" s="3">
        <v>145</v>
      </c>
      <c r="I216" s="3">
        <v>60</v>
      </c>
      <c r="J216" s="3">
        <v>60</v>
      </c>
      <c r="K216" s="3">
        <v>5</v>
      </c>
      <c r="L216">
        <f t="shared" si="29"/>
        <v>0.52200000000000002</v>
      </c>
      <c r="M216">
        <v>1.5</v>
      </c>
      <c r="N216" s="8">
        <f>M216/L216</f>
        <v>2.8735632183908044</v>
      </c>
      <c r="O216" s="14">
        <f t="shared" si="30"/>
        <v>1703.7356321839079</v>
      </c>
      <c r="P216" s="3">
        <v>10</v>
      </c>
      <c r="Q216" s="8">
        <f t="shared" si="31"/>
        <v>0.28735632183908044</v>
      </c>
      <c r="R216" s="8">
        <f t="shared" si="32"/>
        <v>0.95785440613026807</v>
      </c>
      <c r="S216" s="8">
        <f t="shared" si="33"/>
        <v>1.2452107279693485</v>
      </c>
      <c r="T216" s="17" t="e">
        <f t="shared" si="34"/>
        <v>#REF!</v>
      </c>
      <c r="U216" s="17" t="e">
        <f t="shared" si="35"/>
        <v>#REF!</v>
      </c>
      <c r="V216" s="28" t="s">
        <v>2983</v>
      </c>
    </row>
    <row r="217" spans="1:22" ht="15" customHeight="1" x14ac:dyDescent="0.25">
      <c r="A217" t="s">
        <v>230</v>
      </c>
      <c r="B217" t="s">
        <v>291</v>
      </c>
      <c r="C217" t="s">
        <v>1635</v>
      </c>
      <c r="D217" t="s">
        <v>1636</v>
      </c>
      <c r="E217" t="s">
        <v>234</v>
      </c>
      <c r="F217" s="5">
        <v>34</v>
      </c>
      <c r="G217" t="s">
        <v>1631</v>
      </c>
      <c r="H217" s="3">
        <v>8</v>
      </c>
      <c r="I217" s="3">
        <v>90</v>
      </c>
      <c r="J217" s="3">
        <v>14</v>
      </c>
      <c r="K217" s="3">
        <v>10</v>
      </c>
      <c r="L217">
        <f t="shared" si="29"/>
        <v>1.008E-2</v>
      </c>
      <c r="M217">
        <f t="shared" ref="M217:M231" si="36">L217*N217</f>
        <v>0.504</v>
      </c>
      <c r="N217" s="8">
        <v>50</v>
      </c>
      <c r="O217" s="14">
        <f t="shared" si="30"/>
        <v>1700</v>
      </c>
      <c r="P217" s="3">
        <v>30</v>
      </c>
      <c r="Q217" s="8">
        <f t="shared" si="31"/>
        <v>1.6666666666666667</v>
      </c>
      <c r="R217" s="8">
        <f t="shared" si="32"/>
        <v>50</v>
      </c>
      <c r="S217" s="8">
        <f t="shared" si="33"/>
        <v>51.666666666666664</v>
      </c>
      <c r="T217" s="17" t="e">
        <f t="shared" si="34"/>
        <v>#REF!</v>
      </c>
      <c r="U217" s="17" t="e">
        <f t="shared" si="35"/>
        <v>#REF!</v>
      </c>
      <c r="V217" s="28" t="s">
        <v>2983</v>
      </c>
    </row>
    <row r="218" spans="1:22" ht="15" customHeight="1" x14ac:dyDescent="0.25">
      <c r="A218" t="s">
        <v>230</v>
      </c>
      <c r="B218" t="s">
        <v>1637</v>
      </c>
      <c r="C218" t="s">
        <v>168</v>
      </c>
      <c r="D218" t="s">
        <v>169</v>
      </c>
      <c r="E218" t="s">
        <v>480</v>
      </c>
      <c r="F218" s="5">
        <v>52.585000000000001</v>
      </c>
      <c r="G218" t="s">
        <v>310</v>
      </c>
      <c r="H218" s="3">
        <v>30</v>
      </c>
      <c r="I218" s="3">
        <v>55</v>
      </c>
      <c r="J218" s="3">
        <v>50</v>
      </c>
      <c r="K218" s="3">
        <v>8.5</v>
      </c>
      <c r="L218">
        <f t="shared" si="29"/>
        <v>8.2500000000000004E-2</v>
      </c>
      <c r="M218">
        <f t="shared" si="36"/>
        <v>2.4750000000000001</v>
      </c>
      <c r="N218" s="8">
        <v>30</v>
      </c>
      <c r="O218" s="14">
        <f t="shared" si="30"/>
        <v>1577.55</v>
      </c>
      <c r="P218" s="3">
        <v>40</v>
      </c>
      <c r="Q218" s="8">
        <f t="shared" si="31"/>
        <v>0.75</v>
      </c>
      <c r="R218" s="8">
        <f t="shared" si="32"/>
        <v>40</v>
      </c>
      <c r="S218" s="8">
        <f t="shared" si="33"/>
        <v>40.75</v>
      </c>
      <c r="T218" s="17" t="e">
        <f t="shared" si="34"/>
        <v>#REF!</v>
      </c>
      <c r="U218" s="17" t="e">
        <f t="shared" si="35"/>
        <v>#REF!</v>
      </c>
      <c r="V218" s="28" t="s">
        <v>2983</v>
      </c>
    </row>
    <row r="219" spans="1:22" ht="15" customHeight="1" x14ac:dyDescent="0.25">
      <c r="A219" t="s">
        <v>230</v>
      </c>
      <c r="B219" t="s">
        <v>1637</v>
      </c>
      <c r="C219" t="s">
        <v>164</v>
      </c>
      <c r="D219" t="s">
        <v>165</v>
      </c>
      <c r="E219" t="s">
        <v>480</v>
      </c>
      <c r="F219" s="5">
        <v>74.685000000000002</v>
      </c>
      <c r="G219" t="s">
        <v>310</v>
      </c>
      <c r="H219" s="3">
        <v>30</v>
      </c>
      <c r="I219" s="3">
        <v>55</v>
      </c>
      <c r="J219" s="3">
        <v>50</v>
      </c>
      <c r="K219" s="3">
        <v>8.8000000000000007</v>
      </c>
      <c r="L219">
        <f t="shared" si="29"/>
        <v>8.2500000000000004E-2</v>
      </c>
      <c r="M219">
        <f t="shared" si="36"/>
        <v>1.6500000000000001</v>
      </c>
      <c r="N219" s="8">
        <v>20</v>
      </c>
      <c r="O219" s="14">
        <f t="shared" si="30"/>
        <v>1493.7</v>
      </c>
      <c r="P219" s="3">
        <v>40</v>
      </c>
      <c r="Q219" s="8">
        <f t="shared" si="31"/>
        <v>0.5</v>
      </c>
      <c r="R219" s="8">
        <f t="shared" si="32"/>
        <v>26.666666666666664</v>
      </c>
      <c r="S219" s="8">
        <f t="shared" si="33"/>
        <v>27.166666666666664</v>
      </c>
      <c r="T219" s="17" t="e">
        <f t="shared" si="34"/>
        <v>#REF!</v>
      </c>
      <c r="U219" s="17" t="e">
        <f t="shared" si="35"/>
        <v>#REF!</v>
      </c>
      <c r="V219" s="28" t="s">
        <v>2983</v>
      </c>
    </row>
    <row r="220" spans="1:22" ht="15" customHeight="1" x14ac:dyDescent="0.25">
      <c r="A220" t="s">
        <v>230</v>
      </c>
      <c r="B220" t="s">
        <v>291</v>
      </c>
      <c r="C220" t="s">
        <v>1569</v>
      </c>
      <c r="D220" t="s">
        <v>1570</v>
      </c>
      <c r="E220" t="s">
        <v>234</v>
      </c>
      <c r="F220" s="5">
        <v>41.5</v>
      </c>
      <c r="G220" t="s">
        <v>1571</v>
      </c>
      <c r="H220" s="3">
        <v>3.4</v>
      </c>
      <c r="I220" s="3">
        <v>35</v>
      </c>
      <c r="J220" s="3">
        <v>8.5</v>
      </c>
      <c r="K220" s="3">
        <v>16</v>
      </c>
      <c r="L220">
        <f t="shared" si="29"/>
        <v>1.0115E-3</v>
      </c>
      <c r="M220">
        <f t="shared" si="36"/>
        <v>3.5402500000000003E-2</v>
      </c>
      <c r="N220" s="8">
        <v>35</v>
      </c>
      <c r="O220" s="14">
        <f t="shared" si="30"/>
        <v>1452.5</v>
      </c>
      <c r="P220" s="3">
        <v>30</v>
      </c>
      <c r="Q220" s="8">
        <f t="shared" si="31"/>
        <v>1.1666666666666667</v>
      </c>
      <c r="R220" s="8">
        <f t="shared" si="32"/>
        <v>35</v>
      </c>
      <c r="S220" s="8">
        <f t="shared" si="33"/>
        <v>36.166666666666664</v>
      </c>
      <c r="T220" s="17" t="e">
        <f t="shared" si="34"/>
        <v>#REF!</v>
      </c>
      <c r="U220" s="17" t="e">
        <f t="shared" si="35"/>
        <v>#REF!</v>
      </c>
      <c r="V220" s="28" t="s">
        <v>2983</v>
      </c>
    </row>
    <row r="221" spans="1:22" ht="15" customHeight="1" x14ac:dyDescent="0.25">
      <c r="A221" t="s">
        <v>230</v>
      </c>
      <c r="B221" t="s">
        <v>291</v>
      </c>
      <c r="C221" t="s">
        <v>1593</v>
      </c>
      <c r="D221" t="s">
        <v>1594</v>
      </c>
      <c r="E221" t="s">
        <v>234</v>
      </c>
      <c r="F221" s="5">
        <v>29.9</v>
      </c>
      <c r="G221" t="s">
        <v>1595</v>
      </c>
      <c r="H221" s="3">
        <v>0.4</v>
      </c>
      <c r="I221" s="3">
        <v>30</v>
      </c>
      <c r="J221" s="3">
        <v>30</v>
      </c>
      <c r="K221" s="3">
        <v>360</v>
      </c>
      <c r="L221">
        <f t="shared" si="29"/>
        <v>3.6000000000000002E-4</v>
      </c>
      <c r="M221">
        <f t="shared" si="36"/>
        <v>1.6200000000000003E-2</v>
      </c>
      <c r="N221" s="8">
        <v>45</v>
      </c>
      <c r="O221" s="14">
        <f t="shared" si="30"/>
        <v>1345.5</v>
      </c>
      <c r="P221" s="3">
        <v>30</v>
      </c>
      <c r="Q221" s="8">
        <f t="shared" si="31"/>
        <v>1.5</v>
      </c>
      <c r="R221" s="8">
        <f t="shared" si="32"/>
        <v>45</v>
      </c>
      <c r="S221" s="8">
        <f t="shared" si="33"/>
        <v>46.5</v>
      </c>
      <c r="T221" s="17" t="e">
        <f t="shared" si="34"/>
        <v>#REF!</v>
      </c>
      <c r="U221" s="17" t="e">
        <f t="shared" si="35"/>
        <v>#REF!</v>
      </c>
      <c r="V221" s="28" t="s">
        <v>2983</v>
      </c>
    </row>
    <row r="222" spans="1:22" ht="15" customHeight="1" x14ac:dyDescent="0.25">
      <c r="A222" t="s">
        <v>230</v>
      </c>
      <c r="B222" t="s">
        <v>1637</v>
      </c>
      <c r="C222" t="s">
        <v>170</v>
      </c>
      <c r="D222" t="s">
        <v>171</v>
      </c>
      <c r="E222" t="s">
        <v>480</v>
      </c>
      <c r="F222" s="5">
        <v>43.484999999999999</v>
      </c>
      <c r="G222" t="s">
        <v>311</v>
      </c>
      <c r="H222" s="3">
        <v>28</v>
      </c>
      <c r="I222" s="3">
        <v>50</v>
      </c>
      <c r="J222" s="3">
        <v>48</v>
      </c>
      <c r="K222" s="3">
        <v>7.4</v>
      </c>
      <c r="L222">
        <f t="shared" si="29"/>
        <v>6.7199999999999996E-2</v>
      </c>
      <c r="M222">
        <f t="shared" si="36"/>
        <v>2.016</v>
      </c>
      <c r="N222" s="8">
        <v>30</v>
      </c>
      <c r="O222" s="14">
        <f t="shared" si="30"/>
        <v>1304.55</v>
      </c>
      <c r="P222" s="3">
        <v>40</v>
      </c>
      <c r="Q222" s="8">
        <f t="shared" si="31"/>
        <v>0.75</v>
      </c>
      <c r="R222" s="8">
        <f t="shared" si="32"/>
        <v>40</v>
      </c>
      <c r="S222" s="8">
        <f t="shared" si="33"/>
        <v>40.75</v>
      </c>
      <c r="T222" s="17" t="e">
        <f t="shared" si="34"/>
        <v>#REF!</v>
      </c>
      <c r="U222" s="17" t="e">
        <f t="shared" si="35"/>
        <v>#REF!</v>
      </c>
      <c r="V222" s="28" t="s">
        <v>2983</v>
      </c>
    </row>
    <row r="223" spans="1:22" ht="15" customHeight="1" x14ac:dyDescent="0.25">
      <c r="A223" t="s">
        <v>230</v>
      </c>
      <c r="B223" t="s">
        <v>291</v>
      </c>
      <c r="C223" t="s">
        <v>1629</v>
      </c>
      <c r="D223" t="s">
        <v>1630</v>
      </c>
      <c r="E223" t="s">
        <v>234</v>
      </c>
      <c r="F223" s="5">
        <v>36.4</v>
      </c>
      <c r="G223" t="s">
        <v>1631</v>
      </c>
      <c r="H223" s="3">
        <v>0.8</v>
      </c>
      <c r="I223" s="3">
        <v>90</v>
      </c>
      <c r="J223" s="3">
        <v>14</v>
      </c>
      <c r="K223" s="3">
        <v>10</v>
      </c>
      <c r="L223">
        <f t="shared" si="29"/>
        <v>1.008E-3</v>
      </c>
      <c r="M223">
        <f t="shared" si="36"/>
        <v>3.5279999999999999E-2</v>
      </c>
      <c r="N223" s="8">
        <v>35</v>
      </c>
      <c r="O223" s="14">
        <f t="shared" si="30"/>
        <v>1274</v>
      </c>
      <c r="P223" s="3">
        <v>30</v>
      </c>
      <c r="Q223" s="8">
        <f t="shared" si="31"/>
        <v>1.1666666666666667</v>
      </c>
      <c r="R223" s="8">
        <f t="shared" si="32"/>
        <v>35</v>
      </c>
      <c r="S223" s="8">
        <f t="shared" si="33"/>
        <v>36.166666666666664</v>
      </c>
      <c r="T223" s="17" t="e">
        <f t="shared" si="34"/>
        <v>#REF!</v>
      </c>
      <c r="U223" s="17" t="e">
        <f t="shared" si="35"/>
        <v>#REF!</v>
      </c>
      <c r="V223" s="28" t="s">
        <v>2983</v>
      </c>
    </row>
    <row r="224" spans="1:22" ht="15" customHeight="1" x14ac:dyDescent="0.25">
      <c r="A224" t="s">
        <v>230</v>
      </c>
      <c r="B224" t="s">
        <v>1637</v>
      </c>
      <c r="C224" t="s">
        <v>162</v>
      </c>
      <c r="D224" t="s">
        <v>163</v>
      </c>
      <c r="E224" t="s">
        <v>480</v>
      </c>
      <c r="F224" s="5">
        <v>49.335000000000001</v>
      </c>
      <c r="G224" t="s">
        <v>310</v>
      </c>
      <c r="H224" s="3">
        <v>30</v>
      </c>
      <c r="I224" s="3">
        <v>55</v>
      </c>
      <c r="J224" s="3">
        <v>50</v>
      </c>
      <c r="K224" s="3">
        <v>9.8000000000000007</v>
      </c>
      <c r="L224">
        <f t="shared" si="29"/>
        <v>8.2500000000000004E-2</v>
      </c>
      <c r="M224">
        <f t="shared" si="36"/>
        <v>2.0625</v>
      </c>
      <c r="N224" s="8">
        <v>25</v>
      </c>
      <c r="O224" s="14">
        <f t="shared" si="30"/>
        <v>1233.375</v>
      </c>
      <c r="P224" s="3">
        <v>40</v>
      </c>
      <c r="Q224" s="8">
        <f t="shared" si="31"/>
        <v>0.625</v>
      </c>
      <c r="R224" s="8">
        <f t="shared" si="32"/>
        <v>33.333333333333336</v>
      </c>
      <c r="S224" s="8">
        <f t="shared" si="33"/>
        <v>33.958333333333336</v>
      </c>
      <c r="T224" s="17" t="e">
        <f t="shared" si="34"/>
        <v>#REF!</v>
      </c>
      <c r="U224" s="17" t="e">
        <f t="shared" si="35"/>
        <v>#REF!</v>
      </c>
      <c r="V224" s="28" t="s">
        <v>2983</v>
      </c>
    </row>
    <row r="225" spans="1:22" ht="15" customHeight="1" x14ac:dyDescent="0.25">
      <c r="A225" t="s">
        <v>230</v>
      </c>
      <c r="B225" t="s">
        <v>1637</v>
      </c>
      <c r="C225" t="s">
        <v>150</v>
      </c>
      <c r="D225" t="s">
        <v>151</v>
      </c>
      <c r="E225" t="s">
        <v>480</v>
      </c>
      <c r="F225" s="5">
        <v>36.335000000000001</v>
      </c>
      <c r="G225" t="s">
        <v>310</v>
      </c>
      <c r="H225" s="3">
        <v>170</v>
      </c>
      <c r="I225" s="3">
        <v>32</v>
      </c>
      <c r="J225" s="3">
        <v>30</v>
      </c>
      <c r="K225" s="3">
        <v>8.6</v>
      </c>
      <c r="L225">
        <f t="shared" si="29"/>
        <v>0.16320000000000001</v>
      </c>
      <c r="M225">
        <f t="shared" si="36"/>
        <v>4.8960000000000008</v>
      </c>
      <c r="N225" s="8">
        <v>30</v>
      </c>
      <c r="O225" s="14">
        <f t="shared" si="30"/>
        <v>1090.05</v>
      </c>
      <c r="P225" s="3">
        <v>40</v>
      </c>
      <c r="Q225" s="8">
        <f t="shared" si="31"/>
        <v>0.75</v>
      </c>
      <c r="R225" s="8">
        <f t="shared" si="32"/>
        <v>40</v>
      </c>
      <c r="S225" s="8">
        <f t="shared" si="33"/>
        <v>40.75</v>
      </c>
      <c r="T225" s="17" t="e">
        <f t="shared" si="34"/>
        <v>#REF!</v>
      </c>
      <c r="U225" s="17" t="e">
        <f t="shared" si="35"/>
        <v>#REF!</v>
      </c>
      <c r="V225" s="28" t="s">
        <v>2983</v>
      </c>
    </row>
    <row r="226" spans="1:22" ht="15" customHeight="1" x14ac:dyDescent="0.25">
      <c r="A226" t="s">
        <v>230</v>
      </c>
      <c r="B226" t="s">
        <v>291</v>
      </c>
      <c r="C226" t="s">
        <v>1626</v>
      </c>
      <c r="D226" t="s">
        <v>1627</v>
      </c>
      <c r="E226" t="s">
        <v>234</v>
      </c>
      <c r="F226" s="5">
        <v>30.9</v>
      </c>
      <c r="G226" t="s">
        <v>1628</v>
      </c>
      <c r="H226" s="3">
        <v>2</v>
      </c>
      <c r="I226" s="3">
        <v>82</v>
      </c>
      <c r="J226" s="3">
        <v>14</v>
      </c>
      <c r="K226" s="3">
        <v>22</v>
      </c>
      <c r="L226">
        <f t="shared" si="29"/>
        <v>2.2959999999999999E-3</v>
      </c>
      <c r="M226">
        <f t="shared" si="36"/>
        <v>8.0360000000000001E-2</v>
      </c>
      <c r="N226" s="8">
        <v>35</v>
      </c>
      <c r="O226" s="14">
        <f t="shared" si="30"/>
        <v>1081.5</v>
      </c>
      <c r="P226" s="3">
        <v>30</v>
      </c>
      <c r="Q226" s="8">
        <f t="shared" si="31"/>
        <v>1.1666666666666667</v>
      </c>
      <c r="R226" s="8">
        <f t="shared" si="32"/>
        <v>35</v>
      </c>
      <c r="S226" s="8">
        <f t="shared" si="33"/>
        <v>36.166666666666664</v>
      </c>
      <c r="T226" s="17" t="e">
        <f t="shared" si="34"/>
        <v>#REF!</v>
      </c>
      <c r="U226" s="17" t="e">
        <f t="shared" si="35"/>
        <v>#REF!</v>
      </c>
      <c r="V226" s="28" t="s">
        <v>2983</v>
      </c>
    </row>
    <row r="227" spans="1:22" ht="15" customHeight="1" x14ac:dyDescent="0.25">
      <c r="A227" t="s">
        <v>230</v>
      </c>
      <c r="B227" t="s">
        <v>291</v>
      </c>
      <c r="C227" t="s">
        <v>1617</v>
      </c>
      <c r="D227" t="s">
        <v>1618</v>
      </c>
      <c r="E227" t="s">
        <v>234</v>
      </c>
      <c r="F227" s="5">
        <v>28</v>
      </c>
      <c r="G227" t="s">
        <v>1616</v>
      </c>
      <c r="H227" s="3">
        <v>2.2999999999999998</v>
      </c>
      <c r="I227" s="3">
        <v>29.5</v>
      </c>
      <c r="J227" s="3">
        <v>29.5</v>
      </c>
      <c r="K227" s="3">
        <v>20</v>
      </c>
      <c r="L227">
        <f t="shared" si="29"/>
        <v>2.0015749999999998E-3</v>
      </c>
      <c r="M227">
        <f t="shared" si="36"/>
        <v>7.0055124999999996E-2</v>
      </c>
      <c r="N227" s="8">
        <v>35</v>
      </c>
      <c r="O227" s="14">
        <f t="shared" si="30"/>
        <v>980</v>
      </c>
      <c r="P227" s="3">
        <v>30</v>
      </c>
      <c r="Q227" s="8">
        <f t="shared" si="31"/>
        <v>1.1666666666666667</v>
      </c>
      <c r="R227" s="8">
        <f t="shared" si="32"/>
        <v>35</v>
      </c>
      <c r="S227" s="8">
        <f t="shared" si="33"/>
        <v>36.166666666666664</v>
      </c>
      <c r="T227" s="17" t="e">
        <f t="shared" si="34"/>
        <v>#REF!</v>
      </c>
      <c r="U227" s="17" t="e">
        <f t="shared" si="35"/>
        <v>#REF!</v>
      </c>
      <c r="V227" s="28" t="s">
        <v>2983</v>
      </c>
    </row>
    <row r="228" spans="1:22" ht="15" customHeight="1" x14ac:dyDescent="0.25">
      <c r="A228" t="s">
        <v>230</v>
      </c>
      <c r="B228" t="s">
        <v>291</v>
      </c>
      <c r="C228" t="s">
        <v>1567</v>
      </c>
      <c r="D228" t="s">
        <v>1568</v>
      </c>
      <c r="E228" t="s">
        <v>234</v>
      </c>
      <c r="F228" s="5">
        <v>19.100000000000001</v>
      </c>
      <c r="G228" t="s">
        <v>1566</v>
      </c>
      <c r="H228" s="3">
        <v>3.2</v>
      </c>
      <c r="I228" s="3">
        <v>33</v>
      </c>
      <c r="J228" s="3">
        <v>2</v>
      </c>
      <c r="K228" s="3">
        <v>211.2</v>
      </c>
      <c r="L228">
        <f t="shared" si="29"/>
        <v>2.1120000000000001E-4</v>
      </c>
      <c r="M228">
        <f t="shared" si="36"/>
        <v>9.5040000000000003E-3</v>
      </c>
      <c r="N228" s="8">
        <v>45</v>
      </c>
      <c r="O228" s="14">
        <f t="shared" si="30"/>
        <v>859.50000000000011</v>
      </c>
      <c r="P228" s="3">
        <v>30</v>
      </c>
      <c r="Q228" s="8">
        <f t="shared" si="31"/>
        <v>1.5</v>
      </c>
      <c r="R228" s="8">
        <f t="shared" si="32"/>
        <v>45</v>
      </c>
      <c r="S228" s="8">
        <f t="shared" si="33"/>
        <v>46.5</v>
      </c>
      <c r="T228" s="17" t="e">
        <f t="shared" si="34"/>
        <v>#REF!</v>
      </c>
      <c r="U228" s="17" t="e">
        <f t="shared" si="35"/>
        <v>#REF!</v>
      </c>
      <c r="V228" s="28" t="s">
        <v>2983</v>
      </c>
    </row>
    <row r="229" spans="1:22" ht="15" customHeight="1" x14ac:dyDescent="0.25">
      <c r="A229" t="s">
        <v>230</v>
      </c>
      <c r="B229" t="s">
        <v>291</v>
      </c>
      <c r="C229" t="s">
        <v>1599</v>
      </c>
      <c r="D229" t="s">
        <v>1600</v>
      </c>
      <c r="E229" t="s">
        <v>234</v>
      </c>
      <c r="F229" s="5">
        <v>18.899999999999999</v>
      </c>
      <c r="G229" t="s">
        <v>1601</v>
      </c>
      <c r="H229" s="3">
        <v>0.3</v>
      </c>
      <c r="I229" s="3">
        <v>30</v>
      </c>
      <c r="J229" s="3">
        <v>30</v>
      </c>
      <c r="K229" s="3">
        <v>270</v>
      </c>
      <c r="L229">
        <f t="shared" si="29"/>
        <v>2.7E-4</v>
      </c>
      <c r="M229">
        <f t="shared" si="36"/>
        <v>1.2149999999999999E-2</v>
      </c>
      <c r="N229" s="8">
        <v>45</v>
      </c>
      <c r="O229" s="14">
        <f t="shared" si="30"/>
        <v>850.49999999999989</v>
      </c>
      <c r="P229" s="3">
        <v>30</v>
      </c>
      <c r="Q229" s="8">
        <f t="shared" si="31"/>
        <v>1.5</v>
      </c>
      <c r="R229" s="8">
        <f t="shared" si="32"/>
        <v>45</v>
      </c>
      <c r="S229" s="8">
        <f t="shared" si="33"/>
        <v>46.5</v>
      </c>
      <c r="T229" s="17" t="e">
        <f t="shared" si="34"/>
        <v>#REF!</v>
      </c>
      <c r="U229" s="17" t="e">
        <f t="shared" si="35"/>
        <v>#REF!</v>
      </c>
      <c r="V229" s="28" t="s">
        <v>2983</v>
      </c>
    </row>
    <row r="230" spans="1:22" ht="15" customHeight="1" x14ac:dyDescent="0.25">
      <c r="A230" t="s">
        <v>230</v>
      </c>
      <c r="B230" t="s">
        <v>291</v>
      </c>
      <c r="C230" t="s">
        <v>1564</v>
      </c>
      <c r="D230" t="s">
        <v>1565</v>
      </c>
      <c r="E230" t="s">
        <v>234</v>
      </c>
      <c r="F230" s="5">
        <v>18.899999999999999</v>
      </c>
      <c r="G230" t="s">
        <v>1566</v>
      </c>
      <c r="H230" s="3">
        <v>3.2</v>
      </c>
      <c r="I230" s="3">
        <v>33</v>
      </c>
      <c r="J230" s="3">
        <v>2</v>
      </c>
      <c r="K230" s="3">
        <v>211.2</v>
      </c>
      <c r="L230">
        <f t="shared" si="29"/>
        <v>2.1120000000000001E-4</v>
      </c>
      <c r="M230">
        <f t="shared" si="36"/>
        <v>9.5040000000000003E-3</v>
      </c>
      <c r="N230" s="8">
        <v>45</v>
      </c>
      <c r="O230" s="14">
        <f t="shared" si="30"/>
        <v>850.49999999999989</v>
      </c>
      <c r="P230" s="3">
        <v>30</v>
      </c>
      <c r="Q230" s="8">
        <f t="shared" si="31"/>
        <v>1.5</v>
      </c>
      <c r="R230" s="8">
        <f t="shared" si="32"/>
        <v>45</v>
      </c>
      <c r="S230" s="8">
        <f t="shared" si="33"/>
        <v>46.5</v>
      </c>
      <c r="T230" s="17" t="e">
        <f t="shared" si="34"/>
        <v>#REF!</v>
      </c>
      <c r="U230" s="17" t="e">
        <f t="shared" si="35"/>
        <v>#REF!</v>
      </c>
      <c r="V230" s="28" t="s">
        <v>2983</v>
      </c>
    </row>
    <row r="231" spans="1:22" ht="15" customHeight="1" x14ac:dyDescent="0.25">
      <c r="A231" t="s">
        <v>230</v>
      </c>
      <c r="B231" t="s">
        <v>291</v>
      </c>
      <c r="C231" t="s">
        <v>1561</v>
      </c>
      <c r="D231" t="s">
        <v>1562</v>
      </c>
      <c r="E231" t="s">
        <v>234</v>
      </c>
      <c r="F231" s="5">
        <v>15.75</v>
      </c>
      <c r="G231" t="s">
        <v>1563</v>
      </c>
      <c r="H231" s="3">
        <v>3</v>
      </c>
      <c r="I231" s="3">
        <v>30</v>
      </c>
      <c r="J231" s="3">
        <v>5</v>
      </c>
      <c r="K231" s="3">
        <v>450</v>
      </c>
      <c r="L231">
        <f t="shared" si="29"/>
        <v>4.4999999999999999E-4</v>
      </c>
      <c r="M231">
        <f t="shared" si="36"/>
        <v>2.0250000000000001E-2</v>
      </c>
      <c r="N231" s="8">
        <v>45</v>
      </c>
      <c r="O231" s="14">
        <f t="shared" si="30"/>
        <v>708.75</v>
      </c>
      <c r="P231" s="3">
        <v>30</v>
      </c>
      <c r="Q231" s="8">
        <f t="shared" si="31"/>
        <v>1.5</v>
      </c>
      <c r="R231" s="8">
        <f t="shared" si="32"/>
        <v>45</v>
      </c>
      <c r="S231" s="8">
        <f t="shared" si="33"/>
        <v>46.5</v>
      </c>
      <c r="T231" s="17" t="e">
        <f t="shared" si="34"/>
        <v>#REF!</v>
      </c>
      <c r="U231" s="17" t="e">
        <f t="shared" si="35"/>
        <v>#REF!</v>
      </c>
      <c r="V231" s="28" t="s">
        <v>2983</v>
      </c>
    </row>
    <row r="232" spans="1:22" ht="15" customHeight="1" x14ac:dyDescent="0.25">
      <c r="A232" t="s">
        <v>230</v>
      </c>
      <c r="B232" t="s">
        <v>1408</v>
      </c>
      <c r="C232" t="s">
        <v>1444</v>
      </c>
      <c r="D232" t="s">
        <v>1445</v>
      </c>
      <c r="E232" t="s">
        <v>833</v>
      </c>
      <c r="F232" s="5">
        <v>21.9</v>
      </c>
      <c r="G232" t="s">
        <v>606</v>
      </c>
      <c r="H232" s="3">
        <v>35</v>
      </c>
      <c r="I232" s="3">
        <v>30</v>
      </c>
      <c r="J232" s="3">
        <v>30</v>
      </c>
      <c r="K232" s="3">
        <v>1.5</v>
      </c>
      <c r="L232">
        <f t="shared" si="29"/>
        <v>3.15E-2</v>
      </c>
      <c r="M232">
        <v>1</v>
      </c>
      <c r="N232" s="8">
        <f>M232/L232</f>
        <v>31.746031746031747</v>
      </c>
      <c r="O232" s="14">
        <f t="shared" si="30"/>
        <v>695.23809523809518</v>
      </c>
      <c r="P232" s="3">
        <v>10</v>
      </c>
      <c r="Q232" s="8">
        <f t="shared" si="31"/>
        <v>3.1746031746031749</v>
      </c>
      <c r="R232" s="8">
        <f t="shared" si="32"/>
        <v>10.582010582010582</v>
      </c>
      <c r="S232" s="8">
        <f t="shared" si="33"/>
        <v>13.756613756613756</v>
      </c>
      <c r="T232" s="17" t="e">
        <f t="shared" si="34"/>
        <v>#REF!</v>
      </c>
      <c r="U232" s="17" t="e">
        <f t="shared" si="35"/>
        <v>#REF!</v>
      </c>
      <c r="V232" s="28" t="s">
        <v>2983</v>
      </c>
    </row>
    <row r="233" spans="1:22" ht="15" customHeight="1" x14ac:dyDescent="0.25">
      <c r="A233" t="s">
        <v>230</v>
      </c>
      <c r="B233" t="s">
        <v>291</v>
      </c>
      <c r="C233" t="s">
        <v>1608</v>
      </c>
      <c r="D233" t="s">
        <v>1609</v>
      </c>
      <c r="E233" t="s">
        <v>234</v>
      </c>
      <c r="F233" s="5">
        <v>13.3</v>
      </c>
      <c r="G233" t="s">
        <v>1610</v>
      </c>
      <c r="H233" s="3">
        <v>32</v>
      </c>
      <c r="I233" s="3">
        <v>30</v>
      </c>
      <c r="J233" s="3">
        <v>45</v>
      </c>
      <c r="K233" s="3">
        <v>43.2</v>
      </c>
      <c r="L233">
        <f t="shared" si="29"/>
        <v>4.3200000000000002E-2</v>
      </c>
      <c r="M233">
        <f t="shared" ref="M233:M264" si="37">L233*N233</f>
        <v>2.16</v>
      </c>
      <c r="N233" s="8">
        <v>50</v>
      </c>
      <c r="O233" s="14">
        <f t="shared" si="30"/>
        <v>665</v>
      </c>
      <c r="P233" s="3">
        <v>30</v>
      </c>
      <c r="Q233" s="8">
        <f t="shared" si="31"/>
        <v>1.6666666666666667</v>
      </c>
      <c r="R233" s="8">
        <f t="shared" si="32"/>
        <v>50</v>
      </c>
      <c r="S233" s="8">
        <f t="shared" si="33"/>
        <v>51.666666666666664</v>
      </c>
      <c r="T233" s="17" t="e">
        <f t="shared" si="34"/>
        <v>#REF!</v>
      </c>
      <c r="U233" s="17" t="e">
        <f t="shared" si="35"/>
        <v>#REF!</v>
      </c>
      <c r="V233" s="28" t="s">
        <v>2983</v>
      </c>
    </row>
    <row r="234" spans="1:22" ht="15" customHeight="1" x14ac:dyDescent="0.25">
      <c r="A234" t="s">
        <v>230</v>
      </c>
      <c r="B234" t="s">
        <v>1637</v>
      </c>
      <c r="C234" t="s">
        <v>144</v>
      </c>
      <c r="D234" t="s">
        <v>145</v>
      </c>
      <c r="E234" t="s">
        <v>480</v>
      </c>
      <c r="F234" s="5">
        <v>21.385000000000002</v>
      </c>
      <c r="G234" t="s">
        <v>309</v>
      </c>
      <c r="H234" s="3">
        <v>140</v>
      </c>
      <c r="I234" s="3">
        <v>30</v>
      </c>
      <c r="J234" s="3">
        <v>20</v>
      </c>
      <c r="K234" s="3">
        <v>7</v>
      </c>
      <c r="L234">
        <f t="shared" si="29"/>
        <v>8.4000000000000005E-2</v>
      </c>
      <c r="M234">
        <f t="shared" si="37"/>
        <v>2.52</v>
      </c>
      <c r="N234" s="8">
        <v>30</v>
      </c>
      <c r="O234" s="14">
        <f t="shared" si="30"/>
        <v>641.55000000000007</v>
      </c>
      <c r="P234" s="3">
        <v>40</v>
      </c>
      <c r="Q234" s="8">
        <f t="shared" si="31"/>
        <v>0.75</v>
      </c>
      <c r="R234" s="8">
        <f t="shared" si="32"/>
        <v>40</v>
      </c>
      <c r="S234" s="8">
        <f t="shared" si="33"/>
        <v>40.75</v>
      </c>
      <c r="T234" s="17" t="e">
        <f t="shared" si="34"/>
        <v>#REF!</v>
      </c>
      <c r="U234" s="17" t="e">
        <f t="shared" si="35"/>
        <v>#REF!</v>
      </c>
      <c r="V234" s="28" t="s">
        <v>2983</v>
      </c>
    </row>
    <row r="235" spans="1:22" ht="15" customHeight="1" x14ac:dyDescent="0.25">
      <c r="A235" t="s">
        <v>230</v>
      </c>
      <c r="B235" t="s">
        <v>1637</v>
      </c>
      <c r="C235" t="s">
        <v>148</v>
      </c>
      <c r="D235" t="s">
        <v>149</v>
      </c>
      <c r="E235" t="s">
        <v>480</v>
      </c>
      <c r="F235" s="5">
        <v>25.285</v>
      </c>
      <c r="G235" t="s">
        <v>140</v>
      </c>
      <c r="H235" s="3">
        <v>165</v>
      </c>
      <c r="I235" s="3">
        <v>30</v>
      </c>
      <c r="J235" s="3">
        <v>28</v>
      </c>
      <c r="K235" s="3">
        <v>9.4</v>
      </c>
      <c r="L235">
        <f t="shared" si="29"/>
        <v>0.1386</v>
      </c>
      <c r="M235">
        <f t="shared" si="37"/>
        <v>3.4649999999999999</v>
      </c>
      <c r="N235" s="8">
        <v>25</v>
      </c>
      <c r="O235" s="14">
        <f t="shared" si="30"/>
        <v>632.125</v>
      </c>
      <c r="P235" s="3">
        <v>40</v>
      </c>
      <c r="Q235" s="8">
        <f t="shared" si="31"/>
        <v>0.625</v>
      </c>
      <c r="R235" s="8">
        <f t="shared" si="32"/>
        <v>33.333333333333336</v>
      </c>
      <c r="S235" s="8">
        <f t="shared" si="33"/>
        <v>33.958333333333336</v>
      </c>
      <c r="T235" s="17" t="e">
        <f t="shared" si="34"/>
        <v>#REF!</v>
      </c>
      <c r="U235" s="17" t="e">
        <f t="shared" si="35"/>
        <v>#REF!</v>
      </c>
      <c r="V235" s="28" t="s">
        <v>2983</v>
      </c>
    </row>
    <row r="236" spans="1:22" ht="15" customHeight="1" x14ac:dyDescent="0.25">
      <c r="A236" t="s">
        <v>230</v>
      </c>
      <c r="B236" t="s">
        <v>291</v>
      </c>
      <c r="C236" t="s">
        <v>1602</v>
      </c>
      <c r="D236" t="s">
        <v>1603</v>
      </c>
      <c r="E236" t="s">
        <v>234</v>
      </c>
      <c r="F236" s="5">
        <v>12.99</v>
      </c>
      <c r="G236" t="s">
        <v>1604</v>
      </c>
      <c r="H236" s="3">
        <v>0.4</v>
      </c>
      <c r="I236" s="3">
        <v>30</v>
      </c>
      <c r="J236" s="3">
        <v>30</v>
      </c>
      <c r="K236" s="3">
        <v>360</v>
      </c>
      <c r="L236">
        <f t="shared" si="29"/>
        <v>3.6000000000000002E-4</v>
      </c>
      <c r="M236">
        <f t="shared" si="37"/>
        <v>1.6200000000000003E-2</v>
      </c>
      <c r="N236" s="8">
        <v>45</v>
      </c>
      <c r="O236" s="14">
        <f t="shared" si="30"/>
        <v>584.54999999999995</v>
      </c>
      <c r="P236" s="3">
        <v>30</v>
      </c>
      <c r="Q236" s="8">
        <f t="shared" si="31"/>
        <v>1.5</v>
      </c>
      <c r="R236" s="8">
        <f t="shared" si="32"/>
        <v>45</v>
      </c>
      <c r="S236" s="8">
        <f t="shared" si="33"/>
        <v>46.5</v>
      </c>
      <c r="T236" s="17" t="e">
        <f t="shared" si="34"/>
        <v>#REF!</v>
      </c>
      <c r="U236" s="17" t="e">
        <f t="shared" si="35"/>
        <v>#REF!</v>
      </c>
      <c r="V236" s="28" t="s">
        <v>2983</v>
      </c>
    </row>
    <row r="237" spans="1:22" ht="15" customHeight="1" x14ac:dyDescent="0.25">
      <c r="A237" t="s">
        <v>230</v>
      </c>
      <c r="B237" t="s">
        <v>291</v>
      </c>
      <c r="C237" t="s">
        <v>1574</v>
      </c>
      <c r="D237" t="s">
        <v>1575</v>
      </c>
      <c r="E237" t="s">
        <v>234</v>
      </c>
      <c r="F237" s="5">
        <v>12.67</v>
      </c>
      <c r="G237" t="s">
        <v>289</v>
      </c>
      <c r="H237" s="3">
        <v>0.8</v>
      </c>
      <c r="I237" s="3">
        <v>30</v>
      </c>
      <c r="J237" s="3">
        <v>5</v>
      </c>
      <c r="K237" s="3">
        <v>120</v>
      </c>
      <c r="L237">
        <f t="shared" si="29"/>
        <v>1.2E-4</v>
      </c>
      <c r="M237">
        <f t="shared" si="37"/>
        <v>5.4000000000000003E-3</v>
      </c>
      <c r="N237" s="8">
        <v>45</v>
      </c>
      <c r="O237" s="14">
        <f t="shared" si="30"/>
        <v>570.15</v>
      </c>
      <c r="P237" s="3">
        <v>30</v>
      </c>
      <c r="Q237" s="8">
        <f t="shared" si="31"/>
        <v>1.5</v>
      </c>
      <c r="R237" s="8">
        <f t="shared" si="32"/>
        <v>45</v>
      </c>
      <c r="S237" s="8">
        <f t="shared" si="33"/>
        <v>46.5</v>
      </c>
      <c r="T237" s="17" t="e">
        <f t="shared" si="34"/>
        <v>#REF!</v>
      </c>
      <c r="U237" s="17" t="e">
        <f t="shared" si="35"/>
        <v>#REF!</v>
      </c>
      <c r="V237" s="28" t="s">
        <v>2983</v>
      </c>
    </row>
    <row r="238" spans="1:22" ht="15" customHeight="1" x14ac:dyDescent="0.25">
      <c r="A238" t="s">
        <v>230</v>
      </c>
      <c r="B238" t="s">
        <v>291</v>
      </c>
      <c r="C238" t="s">
        <v>1558</v>
      </c>
      <c r="D238" t="s">
        <v>1559</v>
      </c>
      <c r="E238" t="s">
        <v>234</v>
      </c>
      <c r="F238" s="5">
        <v>11.9</v>
      </c>
      <c r="G238" t="s">
        <v>1560</v>
      </c>
      <c r="H238" s="3">
        <v>3</v>
      </c>
      <c r="I238" s="3">
        <v>30</v>
      </c>
      <c r="J238" s="3">
        <v>8</v>
      </c>
      <c r="K238" s="3">
        <v>7.2</v>
      </c>
      <c r="L238">
        <f t="shared" si="29"/>
        <v>7.2000000000000005E-4</v>
      </c>
      <c r="M238">
        <f t="shared" si="37"/>
        <v>3.2400000000000005E-2</v>
      </c>
      <c r="N238" s="8">
        <v>45</v>
      </c>
      <c r="O238" s="14">
        <f t="shared" si="30"/>
        <v>535.5</v>
      </c>
      <c r="P238" s="3">
        <v>30</v>
      </c>
      <c r="Q238" s="8">
        <f t="shared" si="31"/>
        <v>1.5</v>
      </c>
      <c r="R238" s="8">
        <f t="shared" si="32"/>
        <v>45</v>
      </c>
      <c r="S238" s="8">
        <f t="shared" si="33"/>
        <v>46.5</v>
      </c>
      <c r="T238" s="17" t="e">
        <f t="shared" si="34"/>
        <v>#REF!</v>
      </c>
      <c r="U238" s="17" t="e">
        <f t="shared" si="35"/>
        <v>#REF!</v>
      </c>
      <c r="V238" s="28" t="s">
        <v>2983</v>
      </c>
    </row>
    <row r="239" spans="1:22" ht="15" customHeight="1" x14ac:dyDescent="0.25">
      <c r="A239" t="s">
        <v>230</v>
      </c>
      <c r="B239" t="s">
        <v>291</v>
      </c>
      <c r="C239" t="s">
        <v>1611</v>
      </c>
      <c r="D239" t="s">
        <v>1612</v>
      </c>
      <c r="E239" t="s">
        <v>234</v>
      </c>
      <c r="F239" s="5">
        <v>14.9</v>
      </c>
      <c r="G239" t="s">
        <v>1613</v>
      </c>
      <c r="H239" s="3">
        <v>2.5</v>
      </c>
      <c r="I239" s="3">
        <v>31.5</v>
      </c>
      <c r="J239" s="3">
        <v>31.5</v>
      </c>
      <c r="K239" s="3">
        <v>24</v>
      </c>
      <c r="L239">
        <f t="shared" si="29"/>
        <v>2.4806250000000002E-3</v>
      </c>
      <c r="M239">
        <f t="shared" si="37"/>
        <v>8.6821875000000007E-2</v>
      </c>
      <c r="N239" s="8">
        <v>35</v>
      </c>
      <c r="O239" s="14">
        <f t="shared" si="30"/>
        <v>521.5</v>
      </c>
      <c r="P239" s="3">
        <v>30</v>
      </c>
      <c r="Q239" s="8">
        <f t="shared" si="31"/>
        <v>1.1666666666666667</v>
      </c>
      <c r="R239" s="8">
        <f t="shared" si="32"/>
        <v>35</v>
      </c>
      <c r="S239" s="8">
        <f t="shared" si="33"/>
        <v>36.166666666666664</v>
      </c>
      <c r="T239" s="17" t="e">
        <f t="shared" si="34"/>
        <v>#REF!</v>
      </c>
      <c r="U239" s="17" t="e">
        <f t="shared" si="35"/>
        <v>#REF!</v>
      </c>
      <c r="V239" s="28" t="s">
        <v>2983</v>
      </c>
    </row>
    <row r="240" spans="1:22" ht="15" customHeight="1" x14ac:dyDescent="0.25">
      <c r="A240" t="s">
        <v>230</v>
      </c>
      <c r="B240" t="s">
        <v>291</v>
      </c>
      <c r="C240" t="s">
        <v>1619</v>
      </c>
      <c r="D240" t="s">
        <v>1620</v>
      </c>
      <c r="E240" t="s">
        <v>234</v>
      </c>
      <c r="F240" s="5">
        <v>9.9</v>
      </c>
      <c r="G240" t="s">
        <v>1621</v>
      </c>
      <c r="H240" s="3">
        <v>1.5</v>
      </c>
      <c r="I240" s="3">
        <v>30</v>
      </c>
      <c r="J240" s="3">
        <v>5</v>
      </c>
      <c r="K240" s="3">
        <v>225</v>
      </c>
      <c r="L240">
        <f t="shared" si="29"/>
        <v>2.2499999999999999E-4</v>
      </c>
      <c r="M240">
        <f t="shared" si="37"/>
        <v>1.0125E-2</v>
      </c>
      <c r="N240" s="8">
        <v>45</v>
      </c>
      <c r="O240" s="14">
        <f t="shared" si="30"/>
        <v>445.5</v>
      </c>
      <c r="P240" s="3">
        <v>30</v>
      </c>
      <c r="Q240" s="8">
        <f t="shared" si="31"/>
        <v>1.5</v>
      </c>
      <c r="R240" s="8">
        <f t="shared" si="32"/>
        <v>45</v>
      </c>
      <c r="S240" s="8">
        <f t="shared" si="33"/>
        <v>46.5</v>
      </c>
      <c r="T240" s="17" t="e">
        <f t="shared" si="34"/>
        <v>#REF!</v>
      </c>
      <c r="U240" s="17" t="e">
        <f t="shared" si="35"/>
        <v>#REF!</v>
      </c>
      <c r="V240" s="28" t="s">
        <v>2983</v>
      </c>
    </row>
    <row r="241" spans="1:22" ht="15" customHeight="1" x14ac:dyDescent="0.25">
      <c r="A241" t="s">
        <v>230</v>
      </c>
      <c r="B241" t="s">
        <v>291</v>
      </c>
      <c r="C241" t="s">
        <v>1619</v>
      </c>
      <c r="D241" t="s">
        <v>1622</v>
      </c>
      <c r="E241" t="s">
        <v>234</v>
      </c>
      <c r="F241" s="5">
        <v>9.9</v>
      </c>
      <c r="G241" t="s">
        <v>1621</v>
      </c>
      <c r="H241" s="3">
        <v>1.2</v>
      </c>
      <c r="I241" s="3">
        <v>29</v>
      </c>
      <c r="J241" s="3">
        <v>5</v>
      </c>
      <c r="K241" s="3">
        <v>174</v>
      </c>
      <c r="L241">
        <f t="shared" si="29"/>
        <v>1.74E-4</v>
      </c>
      <c r="M241">
        <f t="shared" si="37"/>
        <v>7.8300000000000002E-3</v>
      </c>
      <c r="N241" s="8">
        <v>45</v>
      </c>
      <c r="O241" s="14">
        <f t="shared" si="30"/>
        <v>445.5</v>
      </c>
      <c r="P241" s="3">
        <v>30</v>
      </c>
      <c r="Q241" s="8">
        <f t="shared" si="31"/>
        <v>1.5</v>
      </c>
      <c r="R241" s="8">
        <f t="shared" si="32"/>
        <v>45</v>
      </c>
      <c r="S241" s="8">
        <f t="shared" si="33"/>
        <v>46.5</v>
      </c>
      <c r="T241" s="17" t="e">
        <f t="shared" si="34"/>
        <v>#REF!</v>
      </c>
      <c r="U241" s="17" t="e">
        <f t="shared" si="35"/>
        <v>#REF!</v>
      </c>
      <c r="V241" s="28" t="s">
        <v>2983</v>
      </c>
    </row>
    <row r="242" spans="1:22" ht="15" customHeight="1" x14ac:dyDescent="0.25">
      <c r="A242" t="s">
        <v>230</v>
      </c>
      <c r="B242" t="s">
        <v>291</v>
      </c>
      <c r="C242" t="s">
        <v>1576</v>
      </c>
      <c r="D242" t="s">
        <v>1577</v>
      </c>
      <c r="E242" t="s">
        <v>234</v>
      </c>
      <c r="F242" s="5">
        <v>9.24</v>
      </c>
      <c r="G242" t="s">
        <v>290</v>
      </c>
      <c r="H242" s="3">
        <v>7</v>
      </c>
      <c r="I242" s="3">
        <v>30</v>
      </c>
      <c r="J242" s="3">
        <v>9</v>
      </c>
      <c r="K242" s="3">
        <v>18</v>
      </c>
      <c r="L242">
        <f t="shared" si="29"/>
        <v>1.89E-3</v>
      </c>
      <c r="M242">
        <f t="shared" si="37"/>
        <v>6.615E-2</v>
      </c>
      <c r="N242" s="8">
        <v>35</v>
      </c>
      <c r="O242" s="14">
        <f t="shared" si="30"/>
        <v>323.40000000000003</v>
      </c>
      <c r="P242" s="3">
        <v>30</v>
      </c>
      <c r="Q242" s="8">
        <f t="shared" si="31"/>
        <v>1.1666666666666667</v>
      </c>
      <c r="R242" s="8">
        <f t="shared" si="32"/>
        <v>35</v>
      </c>
      <c r="S242" s="8">
        <f t="shared" si="33"/>
        <v>36.166666666666664</v>
      </c>
      <c r="T242" s="17" t="e">
        <f t="shared" si="34"/>
        <v>#REF!</v>
      </c>
      <c r="U242" s="17" t="e">
        <f t="shared" si="35"/>
        <v>#REF!</v>
      </c>
      <c r="V242" s="28" t="s">
        <v>2983</v>
      </c>
    </row>
    <row r="243" spans="1:22" ht="15" customHeight="1" x14ac:dyDescent="0.25">
      <c r="A243" t="s">
        <v>230</v>
      </c>
      <c r="B243" t="s">
        <v>291</v>
      </c>
      <c r="C243" t="s">
        <v>1614</v>
      </c>
      <c r="D243" t="s">
        <v>1615</v>
      </c>
      <c r="E243" t="s">
        <v>234</v>
      </c>
      <c r="F243" s="5">
        <v>6</v>
      </c>
      <c r="G243" t="s">
        <v>1616</v>
      </c>
      <c r="H243" s="3">
        <v>2</v>
      </c>
      <c r="I243" s="3">
        <v>31.6</v>
      </c>
      <c r="J243" s="3">
        <v>31.6</v>
      </c>
      <c r="K243" s="3">
        <v>19</v>
      </c>
      <c r="L243">
        <f t="shared" si="29"/>
        <v>1.9971200000000002E-3</v>
      </c>
      <c r="M243">
        <f t="shared" si="37"/>
        <v>6.9899200000000009E-2</v>
      </c>
      <c r="N243" s="8">
        <v>35</v>
      </c>
      <c r="O243" s="14">
        <f t="shared" si="30"/>
        <v>210</v>
      </c>
      <c r="P243" s="3">
        <v>30</v>
      </c>
      <c r="Q243" s="8">
        <f t="shared" si="31"/>
        <v>1.1666666666666667</v>
      </c>
      <c r="R243" s="8">
        <f t="shared" si="32"/>
        <v>35</v>
      </c>
      <c r="S243" s="8">
        <f t="shared" si="33"/>
        <v>36.166666666666664</v>
      </c>
      <c r="T243" s="17" t="e">
        <f t="shared" si="34"/>
        <v>#REF!</v>
      </c>
      <c r="U243" s="17" t="e">
        <f t="shared" si="35"/>
        <v>#REF!</v>
      </c>
      <c r="V243" s="28" t="s">
        <v>2983</v>
      </c>
    </row>
    <row r="244" spans="1:22" ht="15" customHeight="1" x14ac:dyDescent="0.25">
      <c r="A244" t="s">
        <v>1755</v>
      </c>
      <c r="B244" t="s">
        <v>1756</v>
      </c>
      <c r="C244" t="s">
        <v>1768</v>
      </c>
      <c r="D244" t="s">
        <v>1771</v>
      </c>
      <c r="E244" t="s">
        <v>833</v>
      </c>
      <c r="F244" s="5">
        <v>950</v>
      </c>
      <c r="G244" t="s">
        <v>956</v>
      </c>
      <c r="H244" s="3">
        <v>70</v>
      </c>
      <c r="I244" s="3">
        <v>120</v>
      </c>
      <c r="J244" s="3">
        <v>50</v>
      </c>
      <c r="K244" s="3">
        <v>11</v>
      </c>
      <c r="L244">
        <f t="shared" si="29"/>
        <v>0.42</v>
      </c>
      <c r="M244">
        <f t="shared" si="37"/>
        <v>30.24</v>
      </c>
      <c r="N244" s="8">
        <v>72</v>
      </c>
      <c r="O244" s="14">
        <f t="shared" si="30"/>
        <v>68400</v>
      </c>
      <c r="P244" s="8">
        <v>22</v>
      </c>
      <c r="Q244" s="8">
        <f t="shared" si="31"/>
        <v>3.2727272727272729</v>
      </c>
      <c r="R244" s="8">
        <f t="shared" si="32"/>
        <v>52.8</v>
      </c>
      <c r="S244" s="8">
        <f t="shared" si="33"/>
        <v>56.072727272727271</v>
      </c>
      <c r="T244" s="17">
        <f>O244/O1749</f>
        <v>50.627664613927053</v>
      </c>
      <c r="U244" s="19">
        <f>T244</f>
        <v>50.627664613927053</v>
      </c>
      <c r="V244" s="25" t="s">
        <v>2987</v>
      </c>
    </row>
    <row r="245" spans="1:22" ht="15" customHeight="1" x14ac:dyDescent="0.25">
      <c r="A245" t="s">
        <v>1755</v>
      </c>
      <c r="B245" t="s">
        <v>1756</v>
      </c>
      <c r="C245" t="s">
        <v>1768</v>
      </c>
      <c r="D245" t="s">
        <v>954</v>
      </c>
      <c r="E245" t="s">
        <v>833</v>
      </c>
      <c r="F245" s="5">
        <v>850</v>
      </c>
      <c r="G245" t="s">
        <v>955</v>
      </c>
      <c r="H245" s="3">
        <v>70</v>
      </c>
      <c r="I245" s="3">
        <v>120</v>
      </c>
      <c r="J245" s="3">
        <v>50</v>
      </c>
      <c r="K245" s="3">
        <v>11</v>
      </c>
      <c r="L245">
        <f t="shared" si="29"/>
        <v>0.42</v>
      </c>
      <c r="M245">
        <f t="shared" si="37"/>
        <v>30.24</v>
      </c>
      <c r="N245" s="8">
        <v>72</v>
      </c>
      <c r="O245" s="14">
        <f t="shared" si="30"/>
        <v>61200</v>
      </c>
      <c r="P245" s="8">
        <v>22</v>
      </c>
      <c r="Q245" s="8">
        <f t="shared" si="31"/>
        <v>3.2727272727272729</v>
      </c>
      <c r="R245" s="8">
        <f t="shared" si="32"/>
        <v>52.8</v>
      </c>
      <c r="S245" s="8">
        <f t="shared" si="33"/>
        <v>56.072727272727271</v>
      </c>
      <c r="T245" s="17">
        <f t="shared" ref="T245:T308" si="38">O245/O$1749</f>
        <v>45.298436759829464</v>
      </c>
      <c r="U245" s="19">
        <f t="shared" ref="U245:U264" si="39">U244+T245</f>
        <v>95.926101373756524</v>
      </c>
      <c r="V245" s="25" t="s">
        <v>2987</v>
      </c>
    </row>
    <row r="246" spans="1:22" ht="15" customHeight="1" x14ac:dyDescent="0.25">
      <c r="A246" t="s">
        <v>1755</v>
      </c>
      <c r="B246" t="s">
        <v>1756</v>
      </c>
      <c r="C246" t="s">
        <v>1768</v>
      </c>
      <c r="D246" t="s">
        <v>952</v>
      </c>
      <c r="E246" t="s">
        <v>833</v>
      </c>
      <c r="F246" s="5">
        <v>790</v>
      </c>
      <c r="G246" t="s">
        <v>953</v>
      </c>
      <c r="H246" s="3">
        <v>70</v>
      </c>
      <c r="I246" s="3">
        <v>120</v>
      </c>
      <c r="J246" s="3">
        <v>50</v>
      </c>
      <c r="K246" s="3">
        <v>11</v>
      </c>
      <c r="L246">
        <f t="shared" si="29"/>
        <v>0.42</v>
      </c>
      <c r="M246">
        <f t="shared" si="37"/>
        <v>30.24</v>
      </c>
      <c r="N246" s="8">
        <v>72</v>
      </c>
      <c r="O246" s="14">
        <f t="shared" si="30"/>
        <v>56880</v>
      </c>
      <c r="P246" s="8">
        <v>22</v>
      </c>
      <c r="Q246" s="8">
        <f t="shared" si="31"/>
        <v>3.2727272727272729</v>
      </c>
      <c r="R246" s="8">
        <f t="shared" si="32"/>
        <v>52.8</v>
      </c>
      <c r="S246" s="8">
        <f t="shared" si="33"/>
        <v>56.072727272727271</v>
      </c>
      <c r="T246" s="17">
        <f t="shared" si="38"/>
        <v>42.100900047370914</v>
      </c>
      <c r="U246" s="19">
        <f t="shared" si="39"/>
        <v>138.02700142112744</v>
      </c>
      <c r="V246" s="25" t="s">
        <v>2987</v>
      </c>
    </row>
    <row r="247" spans="1:22" ht="15" customHeight="1" x14ac:dyDescent="0.25">
      <c r="A247" t="s">
        <v>1755</v>
      </c>
      <c r="B247" t="s">
        <v>1756</v>
      </c>
      <c r="C247" t="s">
        <v>1757</v>
      </c>
      <c r="D247" t="s">
        <v>1762</v>
      </c>
      <c r="E247" t="s">
        <v>13</v>
      </c>
      <c r="F247" s="5">
        <v>600</v>
      </c>
      <c r="G247" t="s">
        <v>1759</v>
      </c>
      <c r="H247" s="3">
        <v>57.52</v>
      </c>
      <c r="I247" s="3">
        <v>57.52</v>
      </c>
      <c r="J247" s="3">
        <v>17.5</v>
      </c>
      <c r="K247" s="3">
        <v>6</v>
      </c>
      <c r="L247">
        <f t="shared" si="29"/>
        <v>5.7899632000000006E-2</v>
      </c>
      <c r="M247">
        <f t="shared" si="37"/>
        <v>5.2109668800000009</v>
      </c>
      <c r="N247" s="8">
        <v>90</v>
      </c>
      <c r="O247" s="14">
        <f t="shared" si="30"/>
        <v>54000</v>
      </c>
      <c r="P247" s="8">
        <v>22</v>
      </c>
      <c r="Q247" s="8">
        <f t="shared" si="31"/>
        <v>4.0909090909090908</v>
      </c>
      <c r="R247" s="8">
        <f t="shared" si="32"/>
        <v>66</v>
      </c>
      <c r="S247" s="8">
        <f t="shared" si="33"/>
        <v>70.090909090909093</v>
      </c>
      <c r="T247" s="17">
        <f t="shared" si="38"/>
        <v>39.969208905731882</v>
      </c>
      <c r="U247" s="19">
        <f t="shared" si="39"/>
        <v>177.99621032685931</v>
      </c>
      <c r="V247" s="25" t="s">
        <v>2987</v>
      </c>
    </row>
    <row r="248" spans="1:22" ht="15" customHeight="1" x14ac:dyDescent="0.25">
      <c r="A248" t="s">
        <v>1755</v>
      </c>
      <c r="B248" t="s">
        <v>1756</v>
      </c>
      <c r="C248" t="s">
        <v>1768</v>
      </c>
      <c r="D248" t="s">
        <v>1769</v>
      </c>
      <c r="E248" t="s">
        <v>833</v>
      </c>
      <c r="F248" s="5">
        <v>700</v>
      </c>
      <c r="G248" t="s">
        <v>951</v>
      </c>
      <c r="H248" s="3">
        <v>70</v>
      </c>
      <c r="I248" s="3">
        <v>120</v>
      </c>
      <c r="J248" s="3">
        <v>50</v>
      </c>
      <c r="K248" s="3">
        <v>11</v>
      </c>
      <c r="L248">
        <f t="shared" si="29"/>
        <v>0.42</v>
      </c>
      <c r="M248">
        <f t="shared" si="37"/>
        <v>30.24</v>
      </c>
      <c r="N248" s="8">
        <v>72</v>
      </c>
      <c r="O248" s="14">
        <f t="shared" si="30"/>
        <v>50400</v>
      </c>
      <c r="P248" s="8">
        <v>22</v>
      </c>
      <c r="Q248" s="8">
        <f t="shared" si="31"/>
        <v>3.2727272727272729</v>
      </c>
      <c r="R248" s="8">
        <f t="shared" si="32"/>
        <v>52.8</v>
      </c>
      <c r="S248" s="8">
        <f t="shared" si="33"/>
        <v>56.072727272727271</v>
      </c>
      <c r="T248" s="17">
        <f t="shared" si="38"/>
        <v>37.304594978683092</v>
      </c>
      <c r="U248" s="19">
        <f t="shared" si="39"/>
        <v>215.30080530554241</v>
      </c>
      <c r="V248" s="25" t="s">
        <v>2987</v>
      </c>
    </row>
    <row r="249" spans="1:22" ht="15" customHeight="1" x14ac:dyDescent="0.25">
      <c r="A249" t="s">
        <v>1755</v>
      </c>
      <c r="B249" t="s">
        <v>1756</v>
      </c>
      <c r="C249" t="s">
        <v>1768</v>
      </c>
      <c r="D249" t="s">
        <v>1772</v>
      </c>
      <c r="E249" t="s">
        <v>833</v>
      </c>
      <c r="F249" s="5">
        <v>624</v>
      </c>
      <c r="G249" t="s">
        <v>957</v>
      </c>
      <c r="H249" s="3">
        <v>70</v>
      </c>
      <c r="I249" s="3">
        <v>120</v>
      </c>
      <c r="J249" s="3">
        <v>50</v>
      </c>
      <c r="K249" s="3">
        <v>11</v>
      </c>
      <c r="L249">
        <f t="shared" si="29"/>
        <v>0.42</v>
      </c>
      <c r="M249">
        <f t="shared" si="37"/>
        <v>30.24</v>
      </c>
      <c r="N249" s="8">
        <v>72</v>
      </c>
      <c r="O249" s="14">
        <f t="shared" si="30"/>
        <v>44928</v>
      </c>
      <c r="P249" s="8">
        <v>22</v>
      </c>
      <c r="Q249" s="8">
        <f t="shared" si="31"/>
        <v>3.2727272727272729</v>
      </c>
      <c r="R249" s="8">
        <f t="shared" si="32"/>
        <v>52.8</v>
      </c>
      <c r="S249" s="8">
        <f t="shared" si="33"/>
        <v>56.072727272727271</v>
      </c>
      <c r="T249" s="17">
        <f t="shared" si="38"/>
        <v>33.254381809568926</v>
      </c>
      <c r="U249" s="19">
        <f t="shared" si="39"/>
        <v>248.55518711511132</v>
      </c>
      <c r="V249" s="25" t="s">
        <v>2987</v>
      </c>
    </row>
    <row r="250" spans="1:22" ht="15" customHeight="1" x14ac:dyDescent="0.25">
      <c r="A250" t="s">
        <v>1755</v>
      </c>
      <c r="B250" t="s">
        <v>1756</v>
      </c>
      <c r="C250" t="s">
        <v>1757</v>
      </c>
      <c r="D250" t="s">
        <v>947</v>
      </c>
      <c r="E250" t="s">
        <v>13</v>
      </c>
      <c r="F250" s="5">
        <v>400</v>
      </c>
      <c r="G250" t="s">
        <v>1764</v>
      </c>
      <c r="H250" s="3">
        <v>56</v>
      </c>
      <c r="I250" s="3">
        <v>56</v>
      </c>
      <c r="J250" s="3">
        <v>17</v>
      </c>
      <c r="K250" s="3">
        <v>6</v>
      </c>
      <c r="L250">
        <f t="shared" si="29"/>
        <v>5.3311999999999998E-2</v>
      </c>
      <c r="M250">
        <f t="shared" si="37"/>
        <v>5.0646399999999998</v>
      </c>
      <c r="N250" s="8">
        <v>95</v>
      </c>
      <c r="O250" s="14">
        <f t="shared" si="30"/>
        <v>38000</v>
      </c>
      <c r="P250" s="8">
        <v>22</v>
      </c>
      <c r="Q250" s="8">
        <f t="shared" si="31"/>
        <v>4.3181818181818183</v>
      </c>
      <c r="R250" s="8">
        <f t="shared" si="32"/>
        <v>69.666666666666657</v>
      </c>
      <c r="S250" s="8">
        <f t="shared" si="33"/>
        <v>73.98484848484847</v>
      </c>
      <c r="T250" s="17">
        <f t="shared" si="38"/>
        <v>28.126480341070582</v>
      </c>
      <c r="U250" s="19">
        <f t="shared" si="39"/>
        <v>276.68166745618191</v>
      </c>
      <c r="V250" s="25" t="s">
        <v>2987</v>
      </c>
    </row>
    <row r="251" spans="1:22" ht="15" customHeight="1" x14ac:dyDescent="0.25">
      <c r="A251" t="s">
        <v>1755</v>
      </c>
      <c r="B251" t="s">
        <v>1756</v>
      </c>
      <c r="C251" t="s">
        <v>1757</v>
      </c>
      <c r="D251" t="s">
        <v>1763</v>
      </c>
      <c r="E251" t="s">
        <v>13</v>
      </c>
      <c r="F251" s="5">
        <v>365</v>
      </c>
      <c r="G251" t="s">
        <v>1759</v>
      </c>
      <c r="H251" s="3">
        <v>56.12</v>
      </c>
      <c r="I251" s="3">
        <v>56.12</v>
      </c>
      <c r="J251" s="3">
        <v>16.5</v>
      </c>
      <c r="K251" s="3">
        <v>5</v>
      </c>
      <c r="L251">
        <f t="shared" si="29"/>
        <v>5.1965997599999994E-2</v>
      </c>
      <c r="M251">
        <f t="shared" si="37"/>
        <v>5.1965997599999998</v>
      </c>
      <c r="N251" s="8">
        <v>100</v>
      </c>
      <c r="O251" s="14">
        <f t="shared" si="30"/>
        <v>36500</v>
      </c>
      <c r="P251" s="8">
        <v>22</v>
      </c>
      <c r="Q251" s="8">
        <f t="shared" si="31"/>
        <v>4.5454545454545459</v>
      </c>
      <c r="R251" s="8">
        <f t="shared" si="32"/>
        <v>73.333333333333343</v>
      </c>
      <c r="S251" s="8">
        <f t="shared" si="33"/>
        <v>77.87878787878789</v>
      </c>
      <c r="T251" s="17">
        <f t="shared" si="38"/>
        <v>27.016224538133585</v>
      </c>
      <c r="U251" s="19">
        <f t="shared" si="39"/>
        <v>303.69789199431551</v>
      </c>
      <c r="V251" s="25" t="s">
        <v>2987</v>
      </c>
    </row>
    <row r="252" spans="1:22" ht="15" customHeight="1" x14ac:dyDescent="0.25">
      <c r="A252" t="s">
        <v>1755</v>
      </c>
      <c r="B252" t="s">
        <v>1756</v>
      </c>
      <c r="C252" t="s">
        <v>1757</v>
      </c>
      <c r="D252" t="s">
        <v>1767</v>
      </c>
      <c r="E252" t="s">
        <v>13</v>
      </c>
      <c r="F252" s="5">
        <v>500</v>
      </c>
      <c r="G252" t="s">
        <v>1319</v>
      </c>
      <c r="H252" s="3">
        <v>65</v>
      </c>
      <c r="I252" s="3">
        <v>65</v>
      </c>
      <c r="J252" s="3">
        <v>20</v>
      </c>
      <c r="K252" s="3">
        <v>10</v>
      </c>
      <c r="L252">
        <f t="shared" si="29"/>
        <v>8.4500000000000006E-2</v>
      </c>
      <c r="M252">
        <f t="shared" si="37"/>
        <v>6.0840000000000005</v>
      </c>
      <c r="N252" s="8">
        <v>72</v>
      </c>
      <c r="O252" s="14">
        <f t="shared" si="30"/>
        <v>36000</v>
      </c>
      <c r="P252" s="8">
        <v>22</v>
      </c>
      <c r="Q252" s="8">
        <f t="shared" si="31"/>
        <v>3.2727272727272729</v>
      </c>
      <c r="R252" s="8">
        <f t="shared" si="32"/>
        <v>52.8</v>
      </c>
      <c r="S252" s="8">
        <f t="shared" si="33"/>
        <v>56.072727272727271</v>
      </c>
      <c r="T252" s="17">
        <f t="shared" si="38"/>
        <v>26.646139270487922</v>
      </c>
      <c r="U252" s="19">
        <f t="shared" si="39"/>
        <v>330.34403126480345</v>
      </c>
      <c r="V252" s="25" t="s">
        <v>2987</v>
      </c>
    </row>
    <row r="253" spans="1:22" ht="15" customHeight="1" x14ac:dyDescent="0.25">
      <c r="A253" t="s">
        <v>1755</v>
      </c>
      <c r="B253" t="s">
        <v>1756</v>
      </c>
      <c r="C253" t="s">
        <v>1757</v>
      </c>
      <c r="D253" t="s">
        <v>1760</v>
      </c>
      <c r="E253" t="s">
        <v>13</v>
      </c>
      <c r="F253" s="5">
        <v>400</v>
      </c>
      <c r="G253" t="s">
        <v>1759</v>
      </c>
      <c r="H253" s="3">
        <v>57.52</v>
      </c>
      <c r="I253" s="3">
        <v>57.52</v>
      </c>
      <c r="J253" s="3">
        <v>17.5</v>
      </c>
      <c r="K253" s="3">
        <v>6</v>
      </c>
      <c r="L253">
        <f t="shared" si="29"/>
        <v>5.7899632000000006E-2</v>
      </c>
      <c r="M253">
        <f t="shared" si="37"/>
        <v>4.1687735040000007</v>
      </c>
      <c r="N253" s="8">
        <v>72</v>
      </c>
      <c r="O253" s="14">
        <f t="shared" si="30"/>
        <v>28800</v>
      </c>
      <c r="P253" s="8">
        <v>22</v>
      </c>
      <c r="Q253" s="8">
        <f t="shared" si="31"/>
        <v>3.2727272727272729</v>
      </c>
      <c r="R253" s="8">
        <f t="shared" si="32"/>
        <v>52.8</v>
      </c>
      <c r="S253" s="8">
        <f t="shared" si="33"/>
        <v>56.072727272727271</v>
      </c>
      <c r="T253" s="17">
        <f t="shared" si="38"/>
        <v>21.316911416390337</v>
      </c>
      <c r="U253" s="19">
        <f t="shared" si="39"/>
        <v>351.66094268119377</v>
      </c>
      <c r="V253" s="25" t="s">
        <v>2987</v>
      </c>
    </row>
    <row r="254" spans="1:22" ht="15" customHeight="1" x14ac:dyDescent="0.25">
      <c r="A254" t="s">
        <v>1755</v>
      </c>
      <c r="B254" t="s">
        <v>1756</v>
      </c>
      <c r="C254" t="s">
        <v>1757</v>
      </c>
      <c r="D254" t="s">
        <v>1761</v>
      </c>
      <c r="E254" t="s">
        <v>13</v>
      </c>
      <c r="F254" s="5">
        <v>300</v>
      </c>
      <c r="G254" t="s">
        <v>1759</v>
      </c>
      <c r="H254" s="3">
        <v>56.12</v>
      </c>
      <c r="I254" s="3">
        <v>56.12</v>
      </c>
      <c r="J254" s="3">
        <v>16.5</v>
      </c>
      <c r="K254" s="3">
        <v>6</v>
      </c>
      <c r="L254">
        <f t="shared" si="29"/>
        <v>5.1965997599999994E-2</v>
      </c>
      <c r="M254">
        <f t="shared" si="37"/>
        <v>4.6769397839999991</v>
      </c>
      <c r="N254" s="8">
        <v>90</v>
      </c>
      <c r="O254" s="14">
        <f t="shared" si="30"/>
        <v>27000</v>
      </c>
      <c r="P254" s="8">
        <v>22</v>
      </c>
      <c r="Q254" s="8">
        <f t="shared" si="31"/>
        <v>4.0909090909090908</v>
      </c>
      <c r="R254" s="8">
        <f t="shared" si="32"/>
        <v>66</v>
      </c>
      <c r="S254" s="8">
        <f t="shared" si="33"/>
        <v>70.090909090909093</v>
      </c>
      <c r="T254" s="17">
        <f t="shared" si="38"/>
        <v>19.984604452865941</v>
      </c>
      <c r="U254" s="19">
        <f t="shared" si="39"/>
        <v>371.64554713405971</v>
      </c>
      <c r="V254" s="25" t="s">
        <v>2987</v>
      </c>
    </row>
    <row r="255" spans="1:22" ht="15" customHeight="1" x14ac:dyDescent="0.25">
      <c r="A255" t="s">
        <v>1755</v>
      </c>
      <c r="B255" t="s">
        <v>1756</v>
      </c>
      <c r="C255" t="s">
        <v>1757</v>
      </c>
      <c r="D255" t="s">
        <v>945</v>
      </c>
      <c r="E255" t="s">
        <v>13</v>
      </c>
      <c r="F255" s="5">
        <v>350</v>
      </c>
      <c r="G255" t="s">
        <v>946</v>
      </c>
      <c r="H255" s="3">
        <v>58</v>
      </c>
      <c r="I255" s="3">
        <v>58</v>
      </c>
      <c r="J255" s="3">
        <v>11</v>
      </c>
      <c r="K255" s="3">
        <v>7.31</v>
      </c>
      <c r="L255">
        <f t="shared" si="29"/>
        <v>3.7004000000000002E-2</v>
      </c>
      <c r="M255">
        <f t="shared" si="37"/>
        <v>2.664288</v>
      </c>
      <c r="N255" s="8">
        <v>72</v>
      </c>
      <c r="O255" s="14">
        <f t="shared" si="30"/>
        <v>25200</v>
      </c>
      <c r="P255" s="8">
        <v>22</v>
      </c>
      <c r="Q255" s="8">
        <f t="shared" si="31"/>
        <v>3.2727272727272729</v>
      </c>
      <c r="R255" s="8">
        <f t="shared" si="32"/>
        <v>52.8</v>
      </c>
      <c r="S255" s="8">
        <f t="shared" si="33"/>
        <v>56.072727272727271</v>
      </c>
      <c r="T255" s="17">
        <f t="shared" si="38"/>
        <v>18.652297489341546</v>
      </c>
      <c r="U255" s="19">
        <f t="shared" si="39"/>
        <v>390.29784462340126</v>
      </c>
      <c r="V255" s="25" t="s">
        <v>2987</v>
      </c>
    </row>
    <row r="256" spans="1:22" ht="15" customHeight="1" x14ac:dyDescent="0.25">
      <c r="A256" t="s">
        <v>1755</v>
      </c>
      <c r="B256" t="s">
        <v>1756</v>
      </c>
      <c r="C256" t="s">
        <v>1757</v>
      </c>
      <c r="D256" t="s">
        <v>1758</v>
      </c>
      <c r="E256" t="s">
        <v>13</v>
      </c>
      <c r="F256" s="5">
        <v>190</v>
      </c>
      <c r="G256" t="s">
        <v>1759</v>
      </c>
      <c r="H256" s="3">
        <v>56.12</v>
      </c>
      <c r="I256" s="3">
        <v>56.12</v>
      </c>
      <c r="J256" s="3">
        <v>16.5</v>
      </c>
      <c r="K256" s="3">
        <v>5</v>
      </c>
      <c r="L256">
        <f t="shared" si="29"/>
        <v>5.1965997599999994E-2</v>
      </c>
      <c r="M256">
        <f t="shared" si="37"/>
        <v>5.1965997599999998</v>
      </c>
      <c r="N256" s="8">
        <v>100</v>
      </c>
      <c r="O256" s="14">
        <f t="shared" si="30"/>
        <v>19000</v>
      </c>
      <c r="P256" s="8">
        <v>22</v>
      </c>
      <c r="Q256" s="8">
        <f t="shared" si="31"/>
        <v>4.5454545454545459</v>
      </c>
      <c r="R256" s="8">
        <f t="shared" si="32"/>
        <v>73.333333333333343</v>
      </c>
      <c r="S256" s="8">
        <f t="shared" si="33"/>
        <v>77.87878787878789</v>
      </c>
      <c r="T256" s="17">
        <f t="shared" si="38"/>
        <v>14.063240170535291</v>
      </c>
      <c r="U256" s="19">
        <f t="shared" si="39"/>
        <v>404.36108479393653</v>
      </c>
      <c r="V256" s="27" t="s">
        <v>2982</v>
      </c>
    </row>
    <row r="257" spans="1:22" ht="15" customHeight="1" x14ac:dyDescent="0.25">
      <c r="A257" t="s">
        <v>1755</v>
      </c>
      <c r="B257" t="s">
        <v>1756</v>
      </c>
      <c r="C257" t="s">
        <v>1773</v>
      </c>
      <c r="D257" t="s">
        <v>962</v>
      </c>
      <c r="E257" t="s">
        <v>13</v>
      </c>
      <c r="F257" s="5">
        <v>445</v>
      </c>
      <c r="G257" t="s">
        <v>1774</v>
      </c>
      <c r="H257" s="3">
        <v>15</v>
      </c>
      <c r="I257" s="3">
        <v>30</v>
      </c>
      <c r="J257" s="3">
        <v>15</v>
      </c>
      <c r="K257" s="3">
        <v>5</v>
      </c>
      <c r="L257">
        <f t="shared" si="29"/>
        <v>6.7499999999999999E-3</v>
      </c>
      <c r="M257">
        <f t="shared" si="37"/>
        <v>0.27</v>
      </c>
      <c r="N257" s="8">
        <v>40</v>
      </c>
      <c r="O257" s="14">
        <f t="shared" si="30"/>
        <v>17800</v>
      </c>
      <c r="P257" s="8">
        <v>22</v>
      </c>
      <c r="Q257" s="8">
        <f t="shared" si="31"/>
        <v>1.8181818181818181</v>
      </c>
      <c r="R257" s="8">
        <f t="shared" si="32"/>
        <v>29.333333333333332</v>
      </c>
      <c r="S257" s="8">
        <f t="shared" si="33"/>
        <v>31.151515151515149</v>
      </c>
      <c r="T257" s="17">
        <f t="shared" si="38"/>
        <v>13.175035528185694</v>
      </c>
      <c r="U257" s="19">
        <f t="shared" si="39"/>
        <v>417.5361203221222</v>
      </c>
      <c r="V257" s="27" t="s">
        <v>2982</v>
      </c>
    </row>
    <row r="258" spans="1:22" ht="15" customHeight="1" x14ac:dyDescent="0.25">
      <c r="A258" t="s">
        <v>1755</v>
      </c>
      <c r="B258" t="s">
        <v>1756</v>
      </c>
      <c r="C258" t="s">
        <v>1757</v>
      </c>
      <c r="D258" t="s">
        <v>1765</v>
      </c>
      <c r="E258" t="s">
        <v>13</v>
      </c>
      <c r="F258" s="5">
        <v>200</v>
      </c>
      <c r="G258" t="s">
        <v>1766</v>
      </c>
      <c r="H258" s="3">
        <v>65</v>
      </c>
      <c r="I258" s="3">
        <v>65</v>
      </c>
      <c r="J258" s="3">
        <v>21</v>
      </c>
      <c r="K258" s="3">
        <v>10.43</v>
      </c>
      <c r="L258">
        <f t="shared" ref="L258:L321" si="40">J258*I258*H258/1000000</f>
        <v>8.8724999999999998E-2</v>
      </c>
      <c r="M258">
        <f t="shared" si="37"/>
        <v>6.3881999999999994</v>
      </c>
      <c r="N258" s="8">
        <v>72</v>
      </c>
      <c r="O258" s="14">
        <f t="shared" ref="O258:O321" si="41">N258*F258</f>
        <v>14400</v>
      </c>
      <c r="P258" s="8">
        <v>22</v>
      </c>
      <c r="Q258" s="8">
        <f t="shared" ref="Q258:Q321" si="42">N258/P258</f>
        <v>3.2727272727272729</v>
      </c>
      <c r="R258" s="8">
        <f t="shared" ref="R258:R321" si="43">(N258/30)*P258</f>
        <v>52.8</v>
      </c>
      <c r="S258" s="8">
        <f t="shared" ref="S258:S321" si="44">Q258+R258</f>
        <v>56.072727272727271</v>
      </c>
      <c r="T258" s="17">
        <f t="shared" si="38"/>
        <v>10.658455708195168</v>
      </c>
      <c r="U258" s="19">
        <f t="shared" si="39"/>
        <v>428.19457603031736</v>
      </c>
      <c r="V258" s="27" t="s">
        <v>2982</v>
      </c>
    </row>
    <row r="259" spans="1:22" ht="15" customHeight="1" x14ac:dyDescent="0.25">
      <c r="A259" t="s">
        <v>1755</v>
      </c>
      <c r="B259" t="s">
        <v>1756</v>
      </c>
      <c r="C259" t="s">
        <v>1757</v>
      </c>
      <c r="D259" t="s">
        <v>949</v>
      </c>
      <c r="E259" t="s">
        <v>13</v>
      </c>
      <c r="F259" s="5">
        <v>200</v>
      </c>
      <c r="G259" t="s">
        <v>950</v>
      </c>
      <c r="H259" s="3">
        <v>60</v>
      </c>
      <c r="I259" s="3">
        <v>65</v>
      </c>
      <c r="J259" s="3">
        <v>20</v>
      </c>
      <c r="K259" s="3">
        <v>9</v>
      </c>
      <c r="L259">
        <f t="shared" si="40"/>
        <v>7.8E-2</v>
      </c>
      <c r="M259">
        <f t="shared" si="37"/>
        <v>5.6159999999999997</v>
      </c>
      <c r="N259" s="8">
        <v>72</v>
      </c>
      <c r="O259" s="14">
        <f t="shared" si="41"/>
        <v>14400</v>
      </c>
      <c r="P259" s="8">
        <v>22</v>
      </c>
      <c r="Q259" s="8">
        <f t="shared" si="42"/>
        <v>3.2727272727272729</v>
      </c>
      <c r="R259" s="8">
        <f t="shared" si="43"/>
        <v>52.8</v>
      </c>
      <c r="S259" s="8">
        <f t="shared" si="44"/>
        <v>56.072727272727271</v>
      </c>
      <c r="T259" s="17">
        <f t="shared" si="38"/>
        <v>10.658455708195168</v>
      </c>
      <c r="U259" s="19">
        <f t="shared" si="39"/>
        <v>438.85303173851253</v>
      </c>
      <c r="V259" s="27" t="s">
        <v>2982</v>
      </c>
    </row>
    <row r="260" spans="1:22" ht="15" customHeight="1" x14ac:dyDescent="0.25">
      <c r="A260" t="s">
        <v>1755</v>
      </c>
      <c r="B260" t="s">
        <v>1756</v>
      </c>
      <c r="C260" t="s">
        <v>1773</v>
      </c>
      <c r="D260" t="s">
        <v>961</v>
      </c>
      <c r="E260" t="s">
        <v>13</v>
      </c>
      <c r="F260" s="5">
        <v>350</v>
      </c>
      <c r="G260" t="s">
        <v>1774</v>
      </c>
      <c r="H260" s="3">
        <v>15</v>
      </c>
      <c r="I260" s="3">
        <v>30</v>
      </c>
      <c r="J260" s="3">
        <v>15</v>
      </c>
      <c r="K260" s="3">
        <v>5</v>
      </c>
      <c r="L260">
        <f t="shared" si="40"/>
        <v>6.7499999999999999E-3</v>
      </c>
      <c r="M260">
        <f t="shared" si="37"/>
        <v>0.27</v>
      </c>
      <c r="N260" s="8">
        <v>40</v>
      </c>
      <c r="O260" s="14">
        <f t="shared" si="41"/>
        <v>14000</v>
      </c>
      <c r="P260" s="8">
        <v>22</v>
      </c>
      <c r="Q260" s="8">
        <f t="shared" si="42"/>
        <v>1.8181818181818181</v>
      </c>
      <c r="R260" s="8">
        <f t="shared" si="43"/>
        <v>29.333333333333332</v>
      </c>
      <c r="S260" s="8">
        <f t="shared" si="44"/>
        <v>31.151515151515149</v>
      </c>
      <c r="T260" s="17">
        <f t="shared" si="38"/>
        <v>10.362387494078636</v>
      </c>
      <c r="U260" s="19">
        <f t="shared" si="39"/>
        <v>449.21541923259116</v>
      </c>
      <c r="V260" s="29" t="s">
        <v>2983</v>
      </c>
    </row>
    <row r="261" spans="1:22" ht="15" customHeight="1" x14ac:dyDescent="0.25">
      <c r="A261" t="s">
        <v>1755</v>
      </c>
      <c r="B261" t="s">
        <v>1756</v>
      </c>
      <c r="C261" t="s">
        <v>1757</v>
      </c>
      <c r="D261" t="s">
        <v>948</v>
      </c>
      <c r="E261" t="s">
        <v>13</v>
      </c>
      <c r="F261" s="5">
        <v>190</v>
      </c>
      <c r="G261" t="s">
        <v>950</v>
      </c>
      <c r="H261" s="3">
        <v>60</v>
      </c>
      <c r="I261" s="3">
        <v>60</v>
      </c>
      <c r="J261" s="3">
        <v>20</v>
      </c>
      <c r="K261" s="3">
        <v>9</v>
      </c>
      <c r="L261">
        <f t="shared" si="40"/>
        <v>7.1999999999999995E-2</v>
      </c>
      <c r="M261">
        <f t="shared" si="37"/>
        <v>5.1839999999999993</v>
      </c>
      <c r="N261" s="8">
        <v>72</v>
      </c>
      <c r="O261" s="14">
        <f t="shared" si="41"/>
        <v>13680</v>
      </c>
      <c r="P261" s="8">
        <v>22</v>
      </c>
      <c r="Q261" s="8">
        <f t="shared" si="42"/>
        <v>3.2727272727272729</v>
      </c>
      <c r="R261" s="8">
        <f t="shared" si="43"/>
        <v>52.8</v>
      </c>
      <c r="S261" s="8">
        <f t="shared" si="44"/>
        <v>56.072727272727271</v>
      </c>
      <c r="T261" s="17">
        <f t="shared" si="38"/>
        <v>10.125532922785411</v>
      </c>
      <c r="U261" s="19">
        <f t="shared" si="39"/>
        <v>459.34095215537656</v>
      </c>
      <c r="V261" s="29" t="s">
        <v>2983</v>
      </c>
    </row>
    <row r="262" spans="1:22" ht="15" customHeight="1" x14ac:dyDescent="0.25">
      <c r="A262" t="s">
        <v>1755</v>
      </c>
      <c r="B262" t="s">
        <v>1756</v>
      </c>
      <c r="C262" t="s">
        <v>1773</v>
      </c>
      <c r="D262" t="s">
        <v>959</v>
      </c>
      <c r="E262" t="s">
        <v>13</v>
      </c>
      <c r="F262" s="5">
        <v>290</v>
      </c>
      <c r="G262" t="s">
        <v>1774</v>
      </c>
      <c r="H262" s="3">
        <v>15</v>
      </c>
      <c r="I262" s="3">
        <v>30</v>
      </c>
      <c r="J262" s="3">
        <v>15</v>
      </c>
      <c r="K262" s="3">
        <v>5</v>
      </c>
      <c r="L262">
        <f t="shared" si="40"/>
        <v>6.7499999999999999E-3</v>
      </c>
      <c r="M262">
        <f t="shared" si="37"/>
        <v>0.27</v>
      </c>
      <c r="N262" s="8">
        <v>40</v>
      </c>
      <c r="O262" s="14">
        <f t="shared" si="41"/>
        <v>11600</v>
      </c>
      <c r="P262" s="8">
        <v>22</v>
      </c>
      <c r="Q262" s="8">
        <f t="shared" si="42"/>
        <v>1.8181818181818181</v>
      </c>
      <c r="R262" s="8">
        <f t="shared" si="43"/>
        <v>29.333333333333332</v>
      </c>
      <c r="S262" s="8">
        <f t="shared" si="44"/>
        <v>31.151515151515149</v>
      </c>
      <c r="T262" s="17">
        <f t="shared" si="38"/>
        <v>8.5859782093794408</v>
      </c>
      <c r="U262" s="19">
        <f t="shared" si="39"/>
        <v>467.926930364756</v>
      </c>
      <c r="V262" s="29" t="s">
        <v>2983</v>
      </c>
    </row>
    <row r="263" spans="1:22" ht="15" customHeight="1" x14ac:dyDescent="0.25">
      <c r="A263" t="s">
        <v>1755</v>
      </c>
      <c r="B263" t="s">
        <v>1756</v>
      </c>
      <c r="C263" t="s">
        <v>1773</v>
      </c>
      <c r="D263" t="s">
        <v>958</v>
      </c>
      <c r="E263" t="s">
        <v>13</v>
      </c>
      <c r="F263" s="5">
        <v>245</v>
      </c>
      <c r="G263" t="s">
        <v>1774</v>
      </c>
      <c r="H263" s="3">
        <v>15</v>
      </c>
      <c r="I263" s="3">
        <v>30</v>
      </c>
      <c r="J263" s="3">
        <v>15</v>
      </c>
      <c r="K263" s="3">
        <v>5</v>
      </c>
      <c r="L263">
        <f t="shared" si="40"/>
        <v>6.7499999999999999E-3</v>
      </c>
      <c r="M263">
        <f t="shared" si="37"/>
        <v>0.27</v>
      </c>
      <c r="N263" s="8">
        <v>40</v>
      </c>
      <c r="O263" s="14">
        <f t="shared" si="41"/>
        <v>9800</v>
      </c>
      <c r="P263" s="8">
        <v>22</v>
      </c>
      <c r="Q263" s="8">
        <f t="shared" si="42"/>
        <v>1.8181818181818181</v>
      </c>
      <c r="R263" s="8">
        <f t="shared" si="43"/>
        <v>29.333333333333332</v>
      </c>
      <c r="S263" s="8">
        <f t="shared" si="44"/>
        <v>31.151515151515149</v>
      </c>
      <c r="T263" s="17">
        <f t="shared" si="38"/>
        <v>7.2536712458550454</v>
      </c>
      <c r="U263" s="19">
        <f t="shared" si="39"/>
        <v>475.18060161061106</v>
      </c>
      <c r="V263" s="29" t="s">
        <v>2983</v>
      </c>
    </row>
    <row r="264" spans="1:22" ht="15" customHeight="1" x14ac:dyDescent="0.25">
      <c r="A264" t="s">
        <v>1755</v>
      </c>
      <c r="B264" t="s">
        <v>1756</v>
      </c>
      <c r="C264" t="s">
        <v>1773</v>
      </c>
      <c r="D264" t="s">
        <v>960</v>
      </c>
      <c r="E264" t="s">
        <v>13</v>
      </c>
      <c r="F264" s="5">
        <v>210</v>
      </c>
      <c r="G264" t="s">
        <v>1774</v>
      </c>
      <c r="H264" s="3">
        <v>15</v>
      </c>
      <c r="I264" s="3">
        <v>30</v>
      </c>
      <c r="J264" s="3">
        <v>15</v>
      </c>
      <c r="K264" s="3">
        <v>5</v>
      </c>
      <c r="L264">
        <f t="shared" si="40"/>
        <v>6.7499999999999999E-3</v>
      </c>
      <c r="M264">
        <f t="shared" si="37"/>
        <v>0.27</v>
      </c>
      <c r="N264" s="8">
        <v>40</v>
      </c>
      <c r="O264" s="14">
        <f t="shared" si="41"/>
        <v>8400</v>
      </c>
      <c r="P264" s="8">
        <v>22</v>
      </c>
      <c r="Q264" s="8">
        <f t="shared" si="42"/>
        <v>1.8181818181818181</v>
      </c>
      <c r="R264" s="8">
        <f t="shared" si="43"/>
        <v>29.333333333333332</v>
      </c>
      <c r="S264" s="8">
        <f t="shared" si="44"/>
        <v>31.151515151515149</v>
      </c>
      <c r="T264" s="17">
        <f t="shared" si="38"/>
        <v>6.2174324964471817</v>
      </c>
      <c r="U264" s="19">
        <f t="shared" si="39"/>
        <v>481.39803410705827</v>
      </c>
      <c r="V264" s="29" t="s">
        <v>2983</v>
      </c>
    </row>
    <row r="265" spans="1:22" ht="15" customHeight="1" x14ac:dyDescent="0.25">
      <c r="A265" t="s">
        <v>365</v>
      </c>
      <c r="B265" t="s">
        <v>1791</v>
      </c>
      <c r="C265" t="s">
        <v>379</v>
      </c>
      <c r="D265" t="s">
        <v>382</v>
      </c>
      <c r="E265" t="s">
        <v>234</v>
      </c>
      <c r="F265" s="5">
        <v>2199</v>
      </c>
      <c r="G265" t="s">
        <v>368</v>
      </c>
      <c r="H265" s="3">
        <v>6.5</v>
      </c>
      <c r="I265" s="3">
        <v>52</v>
      </c>
      <c r="J265" s="3">
        <v>59</v>
      </c>
      <c r="K265" s="3">
        <v>11.1</v>
      </c>
      <c r="L265">
        <f t="shared" si="40"/>
        <v>1.9942000000000001E-2</v>
      </c>
      <c r="M265">
        <f t="shared" ref="M265:M293" si="45">L265*N265</f>
        <v>11.905374</v>
      </c>
      <c r="N265" s="8">
        <v>597</v>
      </c>
      <c r="O265" s="14">
        <f t="shared" si="41"/>
        <v>1312803</v>
      </c>
      <c r="P265" s="8">
        <v>40</v>
      </c>
      <c r="Q265" s="8">
        <f t="shared" si="42"/>
        <v>14.925000000000001</v>
      </c>
      <c r="R265" s="8">
        <f t="shared" si="43"/>
        <v>796</v>
      </c>
      <c r="S265" s="8">
        <f t="shared" si="44"/>
        <v>810.92499999999995</v>
      </c>
      <c r="T265" s="17">
        <f t="shared" si="38"/>
        <v>971.69809924206538</v>
      </c>
      <c r="U265" s="19">
        <f>T265</f>
        <v>971.69809924206538</v>
      </c>
      <c r="V265" s="25" t="s">
        <v>2987</v>
      </c>
    </row>
    <row r="266" spans="1:22" ht="15" customHeight="1" x14ac:dyDescent="0.25">
      <c r="A266" t="s">
        <v>365</v>
      </c>
      <c r="B266" t="s">
        <v>1790</v>
      </c>
      <c r="C266" t="s">
        <v>328</v>
      </c>
      <c r="D266" t="s">
        <v>329</v>
      </c>
      <c r="E266" t="s">
        <v>480</v>
      </c>
      <c r="F266" s="5">
        <v>871</v>
      </c>
      <c r="G266" t="s">
        <v>359</v>
      </c>
      <c r="H266" s="3">
        <v>50</v>
      </c>
      <c r="I266" s="3">
        <v>80</v>
      </c>
      <c r="J266" s="3">
        <v>75</v>
      </c>
      <c r="K266" s="3">
        <v>46</v>
      </c>
      <c r="L266">
        <f t="shared" si="40"/>
        <v>0.3</v>
      </c>
      <c r="M266">
        <f t="shared" si="45"/>
        <v>390</v>
      </c>
      <c r="N266" s="8">
        <v>1300</v>
      </c>
      <c r="O266" s="14">
        <f t="shared" si="41"/>
        <v>1132300</v>
      </c>
      <c r="P266" s="8">
        <v>40</v>
      </c>
      <c r="Q266" s="8">
        <f t="shared" si="42"/>
        <v>32.5</v>
      </c>
      <c r="R266" s="8">
        <f t="shared" si="43"/>
        <v>1733.3333333333335</v>
      </c>
      <c r="S266" s="8">
        <f t="shared" si="44"/>
        <v>1765.8333333333335</v>
      </c>
      <c r="T266" s="17">
        <f t="shared" si="38"/>
        <v>838.09509711037424</v>
      </c>
      <c r="U266" s="19">
        <f t="shared" ref="U266:U297" si="46">U265+T266</f>
        <v>1809.7931963524397</v>
      </c>
      <c r="V266" s="25" t="s">
        <v>2987</v>
      </c>
    </row>
    <row r="267" spans="1:22" ht="15" customHeight="1" x14ac:dyDescent="0.25">
      <c r="A267" t="s">
        <v>365</v>
      </c>
      <c r="B267" t="s">
        <v>1791</v>
      </c>
      <c r="C267" t="s">
        <v>397</v>
      </c>
      <c r="D267" t="s">
        <v>402</v>
      </c>
      <c r="E267" t="s">
        <v>234</v>
      </c>
      <c r="F267" s="5">
        <v>4059</v>
      </c>
      <c r="G267" t="s">
        <v>368</v>
      </c>
      <c r="H267" s="3">
        <v>109</v>
      </c>
      <c r="I267" s="3">
        <v>50</v>
      </c>
      <c r="J267" s="3">
        <v>90</v>
      </c>
      <c r="K267" s="3">
        <v>27.9</v>
      </c>
      <c r="L267">
        <f t="shared" si="40"/>
        <v>0.49049999999999999</v>
      </c>
      <c r="M267">
        <f t="shared" si="45"/>
        <v>122.625</v>
      </c>
      <c r="N267" s="8">
        <v>250</v>
      </c>
      <c r="O267" s="14">
        <f t="shared" si="41"/>
        <v>1014750</v>
      </c>
      <c r="P267" s="8">
        <v>40</v>
      </c>
      <c r="Q267" s="8">
        <f t="shared" si="42"/>
        <v>6.25</v>
      </c>
      <c r="R267" s="8">
        <f t="shared" si="43"/>
        <v>333.33333333333337</v>
      </c>
      <c r="S267" s="8">
        <f t="shared" si="44"/>
        <v>339.58333333333337</v>
      </c>
      <c r="T267" s="17">
        <f t="shared" si="38"/>
        <v>751.08805068687832</v>
      </c>
      <c r="U267" s="19">
        <f t="shared" si="46"/>
        <v>2560.8812470393182</v>
      </c>
      <c r="V267" s="25" t="s">
        <v>2987</v>
      </c>
    </row>
    <row r="268" spans="1:22" ht="15" customHeight="1" x14ac:dyDescent="0.25">
      <c r="A268" t="s">
        <v>365</v>
      </c>
      <c r="B268" t="s">
        <v>1791</v>
      </c>
      <c r="C268" t="s">
        <v>397</v>
      </c>
      <c r="D268" t="s">
        <v>401</v>
      </c>
      <c r="E268" t="s">
        <v>234</v>
      </c>
      <c r="F268" s="5">
        <v>3109</v>
      </c>
      <c r="G268" t="s">
        <v>368</v>
      </c>
      <c r="H268" s="3">
        <v>133.19999999999999</v>
      </c>
      <c r="I268" s="3">
        <v>40</v>
      </c>
      <c r="J268" s="3">
        <v>90</v>
      </c>
      <c r="K268" s="3">
        <v>28</v>
      </c>
      <c r="L268">
        <f t="shared" si="40"/>
        <v>0.47951999999999995</v>
      </c>
      <c r="M268">
        <f t="shared" si="45"/>
        <v>143.85599999999999</v>
      </c>
      <c r="N268" s="8">
        <v>300</v>
      </c>
      <c r="O268" s="14">
        <f t="shared" si="41"/>
        <v>932700</v>
      </c>
      <c r="P268" s="8">
        <v>40</v>
      </c>
      <c r="Q268" s="8">
        <f t="shared" si="42"/>
        <v>7.5</v>
      </c>
      <c r="R268" s="8">
        <f t="shared" si="43"/>
        <v>400</v>
      </c>
      <c r="S268" s="8">
        <f t="shared" si="44"/>
        <v>407.5</v>
      </c>
      <c r="T268" s="17">
        <f t="shared" si="38"/>
        <v>690.35705826622461</v>
      </c>
      <c r="U268" s="19">
        <f t="shared" si="46"/>
        <v>3251.2383053055428</v>
      </c>
      <c r="V268" s="25" t="s">
        <v>2987</v>
      </c>
    </row>
    <row r="269" spans="1:22" ht="15" customHeight="1" x14ac:dyDescent="0.25">
      <c r="A269" t="s">
        <v>365</v>
      </c>
      <c r="B269" t="s">
        <v>303</v>
      </c>
      <c r="C269" t="s">
        <v>1780</v>
      </c>
      <c r="D269" t="s">
        <v>1782</v>
      </c>
      <c r="E269" t="s">
        <v>234</v>
      </c>
      <c r="F269" s="5">
        <v>630</v>
      </c>
      <c r="G269" t="s">
        <v>305</v>
      </c>
      <c r="H269" s="3">
        <v>20</v>
      </c>
      <c r="I269" s="3">
        <v>7</v>
      </c>
      <c r="J269" s="3">
        <v>15</v>
      </c>
      <c r="K269" s="3">
        <v>0.32300000000000001</v>
      </c>
      <c r="L269">
        <f t="shared" si="40"/>
        <v>2.0999999999999999E-3</v>
      </c>
      <c r="M269">
        <f t="shared" si="45"/>
        <v>3.024</v>
      </c>
      <c r="N269" s="8">
        <v>1440</v>
      </c>
      <c r="O269" s="14">
        <f t="shared" si="41"/>
        <v>907200</v>
      </c>
      <c r="P269" s="8">
        <v>10</v>
      </c>
      <c r="Q269" s="8">
        <f t="shared" si="42"/>
        <v>144</v>
      </c>
      <c r="R269" s="8">
        <f t="shared" si="43"/>
        <v>480</v>
      </c>
      <c r="S269" s="8">
        <f t="shared" si="44"/>
        <v>624</v>
      </c>
      <c r="T269" s="17">
        <f t="shared" si="38"/>
        <v>671.48270961629567</v>
      </c>
      <c r="U269" s="19">
        <f t="shared" si="46"/>
        <v>3922.7210149218386</v>
      </c>
      <c r="V269" s="25" t="s">
        <v>2987</v>
      </c>
    </row>
    <row r="270" spans="1:22" ht="15" customHeight="1" x14ac:dyDescent="0.25">
      <c r="A270" t="s">
        <v>365</v>
      </c>
      <c r="B270" t="s">
        <v>1315</v>
      </c>
      <c r="C270" t="s">
        <v>1316</v>
      </c>
      <c r="D270" t="s">
        <v>1798</v>
      </c>
      <c r="E270" t="s">
        <v>13</v>
      </c>
      <c r="F270" s="5">
        <v>2429.1</v>
      </c>
      <c r="G270" t="s">
        <v>1317</v>
      </c>
      <c r="H270" s="3">
        <v>189</v>
      </c>
      <c r="I270" s="3">
        <v>68.2</v>
      </c>
      <c r="J270" s="3">
        <v>71.099999999999994</v>
      </c>
      <c r="K270" s="3">
        <v>92</v>
      </c>
      <c r="L270">
        <f t="shared" si="40"/>
        <v>0.91646477999999987</v>
      </c>
      <c r="M270">
        <f t="shared" si="45"/>
        <v>320.76267299999995</v>
      </c>
      <c r="N270" s="8">
        <v>350</v>
      </c>
      <c r="O270" s="14">
        <f t="shared" si="41"/>
        <v>850185</v>
      </c>
      <c r="P270" s="8">
        <v>30</v>
      </c>
      <c r="Q270" s="8">
        <f t="shared" si="42"/>
        <v>11.666666666666666</v>
      </c>
      <c r="R270" s="8">
        <f t="shared" si="43"/>
        <v>350</v>
      </c>
      <c r="S270" s="8">
        <f t="shared" si="44"/>
        <v>361.66666666666669</v>
      </c>
      <c r="T270" s="17">
        <f t="shared" si="38"/>
        <v>629.28188654666042</v>
      </c>
      <c r="U270" s="19">
        <f t="shared" si="46"/>
        <v>4552.0029014684987</v>
      </c>
      <c r="V270" s="25" t="s">
        <v>2987</v>
      </c>
    </row>
    <row r="271" spans="1:22" ht="15" customHeight="1" x14ac:dyDescent="0.25">
      <c r="A271" t="s">
        <v>365</v>
      </c>
      <c r="B271" t="s">
        <v>1791</v>
      </c>
      <c r="C271" t="s">
        <v>397</v>
      </c>
      <c r="D271" t="s">
        <v>403</v>
      </c>
      <c r="E271" t="s">
        <v>234</v>
      </c>
      <c r="F271" s="5">
        <v>2159</v>
      </c>
      <c r="G271" t="s">
        <v>368</v>
      </c>
      <c r="H271" s="3">
        <v>114.5</v>
      </c>
      <c r="I271" s="3">
        <v>50</v>
      </c>
      <c r="J271" s="3">
        <v>90</v>
      </c>
      <c r="K271" s="3">
        <v>19</v>
      </c>
      <c r="L271">
        <f t="shared" si="40"/>
        <v>0.51524999999999999</v>
      </c>
      <c r="M271">
        <f t="shared" si="45"/>
        <v>180.33750000000001</v>
      </c>
      <c r="N271" s="8">
        <v>350</v>
      </c>
      <c r="O271" s="14">
        <f t="shared" si="41"/>
        <v>755650</v>
      </c>
      <c r="P271" s="8">
        <v>40</v>
      </c>
      <c r="Q271" s="8">
        <f t="shared" si="42"/>
        <v>8.75</v>
      </c>
      <c r="R271" s="8">
        <f t="shared" si="43"/>
        <v>466.66666666666663</v>
      </c>
      <c r="S271" s="8">
        <f t="shared" si="44"/>
        <v>475.41666666666663</v>
      </c>
      <c r="T271" s="17">
        <f t="shared" si="38"/>
        <v>559.3098649928944</v>
      </c>
      <c r="U271" s="19">
        <f t="shared" si="46"/>
        <v>5111.312766461393</v>
      </c>
      <c r="V271" s="25" t="s">
        <v>2987</v>
      </c>
    </row>
    <row r="272" spans="1:22" ht="15" customHeight="1" x14ac:dyDescent="0.25">
      <c r="A272" t="s">
        <v>365</v>
      </c>
      <c r="B272" t="s">
        <v>1791</v>
      </c>
      <c r="C272" t="s">
        <v>393</v>
      </c>
      <c r="D272" t="s">
        <v>395</v>
      </c>
      <c r="E272" t="s">
        <v>234</v>
      </c>
      <c r="F272" s="5">
        <v>2119</v>
      </c>
      <c r="G272" t="s">
        <v>368</v>
      </c>
      <c r="H272" s="3">
        <v>32.6</v>
      </c>
      <c r="I272" s="3">
        <v>45.1</v>
      </c>
      <c r="J272" s="3">
        <v>52</v>
      </c>
      <c r="K272" s="3">
        <v>18</v>
      </c>
      <c r="L272">
        <f t="shared" si="40"/>
        <v>7.6453520000000025E-2</v>
      </c>
      <c r="M272">
        <f t="shared" si="45"/>
        <v>26.758732000000009</v>
      </c>
      <c r="N272" s="8">
        <v>350</v>
      </c>
      <c r="O272" s="14">
        <f t="shared" si="41"/>
        <v>741650</v>
      </c>
      <c r="P272" s="8">
        <v>40</v>
      </c>
      <c r="Q272" s="8">
        <f t="shared" si="42"/>
        <v>8.75</v>
      </c>
      <c r="R272" s="8">
        <f t="shared" si="43"/>
        <v>466.66666666666663</v>
      </c>
      <c r="S272" s="8">
        <f t="shared" si="44"/>
        <v>475.41666666666663</v>
      </c>
      <c r="T272" s="17">
        <f t="shared" si="38"/>
        <v>548.94747749881572</v>
      </c>
      <c r="U272" s="19">
        <f t="shared" si="46"/>
        <v>5660.2602439602088</v>
      </c>
      <c r="V272" s="25" t="s">
        <v>2987</v>
      </c>
    </row>
    <row r="273" spans="1:22" ht="15" customHeight="1" x14ac:dyDescent="0.25">
      <c r="A273" t="s">
        <v>365</v>
      </c>
      <c r="B273" t="s">
        <v>1790</v>
      </c>
      <c r="C273" t="s">
        <v>330</v>
      </c>
      <c r="D273" t="s">
        <v>331</v>
      </c>
      <c r="E273" t="s">
        <v>480</v>
      </c>
      <c r="F273" s="5">
        <v>497.185</v>
      </c>
      <c r="G273" t="s">
        <v>360</v>
      </c>
      <c r="H273" s="3">
        <v>40</v>
      </c>
      <c r="I273" s="3">
        <v>75</v>
      </c>
      <c r="J273" s="3">
        <v>60</v>
      </c>
      <c r="K273" s="3">
        <v>38</v>
      </c>
      <c r="L273">
        <f t="shared" si="40"/>
        <v>0.18</v>
      </c>
      <c r="M273">
        <f t="shared" si="45"/>
        <v>234</v>
      </c>
      <c r="N273" s="8">
        <v>1300</v>
      </c>
      <c r="O273" s="14">
        <f t="shared" si="41"/>
        <v>646340.5</v>
      </c>
      <c r="P273" s="8">
        <v>40</v>
      </c>
      <c r="Q273" s="8">
        <f t="shared" si="42"/>
        <v>32.5</v>
      </c>
      <c r="R273" s="8">
        <f t="shared" si="43"/>
        <v>1733.3333333333335</v>
      </c>
      <c r="S273" s="8">
        <f t="shared" si="44"/>
        <v>1765.8333333333335</v>
      </c>
      <c r="T273" s="17">
        <f t="shared" si="38"/>
        <v>478.40219386546664</v>
      </c>
      <c r="U273" s="19">
        <f t="shared" si="46"/>
        <v>6138.6624378256756</v>
      </c>
      <c r="V273" s="25" t="s">
        <v>2987</v>
      </c>
    </row>
    <row r="274" spans="1:22" ht="15" customHeight="1" x14ac:dyDescent="0.25">
      <c r="A274" t="s">
        <v>365</v>
      </c>
      <c r="B274" t="s">
        <v>1791</v>
      </c>
      <c r="C274" t="s">
        <v>397</v>
      </c>
      <c r="D274" t="s">
        <v>399</v>
      </c>
      <c r="E274" t="s">
        <v>234</v>
      </c>
      <c r="F274" s="5">
        <v>1439</v>
      </c>
      <c r="G274" t="s">
        <v>368</v>
      </c>
      <c r="H274" s="3">
        <v>113</v>
      </c>
      <c r="I274" s="3">
        <v>50</v>
      </c>
      <c r="J274" s="3">
        <v>60</v>
      </c>
      <c r="K274" s="3">
        <v>15.5</v>
      </c>
      <c r="L274">
        <f t="shared" si="40"/>
        <v>0.33900000000000002</v>
      </c>
      <c r="M274">
        <f t="shared" si="45"/>
        <v>133.566</v>
      </c>
      <c r="N274" s="8">
        <v>394</v>
      </c>
      <c r="O274" s="14">
        <f t="shared" si="41"/>
        <v>566966</v>
      </c>
      <c r="P274" s="8">
        <v>40</v>
      </c>
      <c r="Q274" s="8">
        <f t="shared" si="42"/>
        <v>9.85</v>
      </c>
      <c r="R274" s="8">
        <f t="shared" si="43"/>
        <v>525.33333333333326</v>
      </c>
      <c r="S274" s="8">
        <f t="shared" si="44"/>
        <v>535.18333333333328</v>
      </c>
      <c r="T274" s="17">
        <f t="shared" si="38"/>
        <v>419.65152771198484</v>
      </c>
      <c r="U274" s="19">
        <f t="shared" si="46"/>
        <v>6558.3139655376608</v>
      </c>
      <c r="V274" s="25" t="s">
        <v>2987</v>
      </c>
    </row>
    <row r="275" spans="1:22" ht="15" customHeight="1" x14ac:dyDescent="0.25">
      <c r="A275" t="s">
        <v>365</v>
      </c>
      <c r="B275" t="s">
        <v>1790</v>
      </c>
      <c r="C275" t="s">
        <v>332</v>
      </c>
      <c r="D275" t="s">
        <v>333</v>
      </c>
      <c r="E275" t="s">
        <v>480</v>
      </c>
      <c r="F275" s="5">
        <v>422.37</v>
      </c>
      <c r="G275" t="s">
        <v>361</v>
      </c>
      <c r="H275" s="3">
        <v>35</v>
      </c>
      <c r="I275" s="3">
        <v>40</v>
      </c>
      <c r="J275" s="3">
        <v>80</v>
      </c>
      <c r="K275" s="3">
        <v>40</v>
      </c>
      <c r="L275">
        <f t="shared" si="40"/>
        <v>0.112</v>
      </c>
      <c r="M275">
        <f t="shared" si="45"/>
        <v>145.6</v>
      </c>
      <c r="N275" s="8">
        <v>1300</v>
      </c>
      <c r="O275" s="14">
        <f t="shared" si="41"/>
        <v>549081</v>
      </c>
      <c r="P275" s="8">
        <v>40</v>
      </c>
      <c r="Q275" s="8">
        <f t="shared" si="42"/>
        <v>32.5</v>
      </c>
      <c r="R275" s="8">
        <f t="shared" si="43"/>
        <v>1733.3333333333335</v>
      </c>
      <c r="S275" s="8">
        <f t="shared" si="44"/>
        <v>1765.8333333333335</v>
      </c>
      <c r="T275" s="17">
        <f t="shared" si="38"/>
        <v>406.41357768829937</v>
      </c>
      <c r="U275" s="19">
        <f t="shared" si="46"/>
        <v>6964.7275432259603</v>
      </c>
      <c r="V275" s="25" t="s">
        <v>2987</v>
      </c>
    </row>
    <row r="276" spans="1:22" ht="15" customHeight="1" x14ac:dyDescent="0.25">
      <c r="A276" t="s">
        <v>365</v>
      </c>
      <c r="B276" t="s">
        <v>303</v>
      </c>
      <c r="C276" t="s">
        <v>1780</v>
      </c>
      <c r="D276" t="s">
        <v>1781</v>
      </c>
      <c r="E276" t="s">
        <v>234</v>
      </c>
      <c r="F276" s="5">
        <v>377</v>
      </c>
      <c r="G276" t="s">
        <v>305</v>
      </c>
      <c r="H276" s="3">
        <v>20</v>
      </c>
      <c r="I276" s="3">
        <v>7</v>
      </c>
      <c r="J276" s="3">
        <v>15</v>
      </c>
      <c r="K276" s="3">
        <v>0.32300000000000001</v>
      </c>
      <c r="L276">
        <f t="shared" si="40"/>
        <v>2.0999999999999999E-3</v>
      </c>
      <c r="M276">
        <f t="shared" si="45"/>
        <v>3.024</v>
      </c>
      <c r="N276" s="8">
        <v>1440</v>
      </c>
      <c r="O276" s="14">
        <f t="shared" si="41"/>
        <v>542880</v>
      </c>
      <c r="P276" s="8">
        <v>10</v>
      </c>
      <c r="Q276" s="8">
        <f t="shared" si="42"/>
        <v>144</v>
      </c>
      <c r="R276" s="8">
        <f t="shared" si="43"/>
        <v>480</v>
      </c>
      <c r="S276" s="8">
        <f t="shared" si="44"/>
        <v>624</v>
      </c>
      <c r="T276" s="17">
        <f t="shared" si="38"/>
        <v>401.82378019895788</v>
      </c>
      <c r="U276" s="19">
        <f t="shared" si="46"/>
        <v>7366.5513234249183</v>
      </c>
      <c r="V276" s="25" t="s">
        <v>2987</v>
      </c>
    </row>
    <row r="277" spans="1:22" ht="15" customHeight="1" x14ac:dyDescent="0.25">
      <c r="A277" t="s">
        <v>365</v>
      </c>
      <c r="B277" t="s">
        <v>1791</v>
      </c>
      <c r="C277" t="s">
        <v>389</v>
      </c>
      <c r="D277" t="s">
        <v>392</v>
      </c>
      <c r="E277" t="s">
        <v>480</v>
      </c>
      <c r="F277" s="5">
        <v>999</v>
      </c>
      <c r="G277" t="s">
        <v>368</v>
      </c>
      <c r="H277" s="3">
        <v>47.9</v>
      </c>
      <c r="I277" s="3">
        <v>43.1</v>
      </c>
      <c r="J277" s="3">
        <v>53.5</v>
      </c>
      <c r="K277" s="3">
        <v>15.9</v>
      </c>
      <c r="L277">
        <f t="shared" si="40"/>
        <v>0.11045021499999999</v>
      </c>
      <c r="M277">
        <f t="shared" si="45"/>
        <v>50.917549114999993</v>
      </c>
      <c r="N277" s="8">
        <v>461</v>
      </c>
      <c r="O277" s="14">
        <f t="shared" si="41"/>
        <v>460539</v>
      </c>
      <c r="P277" s="8">
        <v>40</v>
      </c>
      <c r="Q277" s="8">
        <f t="shared" si="42"/>
        <v>11.525</v>
      </c>
      <c r="R277" s="8">
        <f t="shared" si="43"/>
        <v>614.66666666666674</v>
      </c>
      <c r="S277" s="8">
        <f t="shared" si="44"/>
        <v>626.19166666666672</v>
      </c>
      <c r="T277" s="17">
        <f t="shared" si="38"/>
        <v>340.87739815253434</v>
      </c>
      <c r="U277" s="19">
        <f t="shared" si="46"/>
        <v>7707.428721577453</v>
      </c>
      <c r="V277" s="25" t="s">
        <v>2987</v>
      </c>
    </row>
    <row r="278" spans="1:22" ht="15" customHeight="1" x14ac:dyDescent="0.25">
      <c r="A278" t="s">
        <v>365</v>
      </c>
      <c r="B278" t="s">
        <v>1818</v>
      </c>
      <c r="C278" t="s">
        <v>1861</v>
      </c>
      <c r="D278" t="s">
        <v>1862</v>
      </c>
      <c r="E278" t="s">
        <v>1411</v>
      </c>
      <c r="F278" s="5">
        <v>429.99</v>
      </c>
      <c r="G278" t="s">
        <v>1849</v>
      </c>
      <c r="H278" s="3">
        <v>8</v>
      </c>
      <c r="I278" s="3">
        <v>23</v>
      </c>
      <c r="J278" s="3">
        <v>21</v>
      </c>
      <c r="K278" s="3">
        <v>1.5</v>
      </c>
      <c r="L278">
        <f t="shared" si="40"/>
        <v>3.8639999999999998E-3</v>
      </c>
      <c r="M278">
        <f t="shared" si="45"/>
        <v>3.8639999999999999</v>
      </c>
      <c r="N278" s="8">
        <v>1000</v>
      </c>
      <c r="O278" s="14">
        <f t="shared" si="41"/>
        <v>429990</v>
      </c>
      <c r="P278" s="8">
        <v>30</v>
      </c>
      <c r="Q278" s="8">
        <f t="shared" si="42"/>
        <v>33.333333333333336</v>
      </c>
      <c r="R278" s="8">
        <f t="shared" si="43"/>
        <v>1000.0000000000001</v>
      </c>
      <c r="S278" s="8">
        <f t="shared" si="44"/>
        <v>1033.3333333333335</v>
      </c>
      <c r="T278" s="17">
        <f t="shared" si="38"/>
        <v>318.26592846991946</v>
      </c>
      <c r="U278" s="19">
        <f t="shared" si="46"/>
        <v>8025.6946500473723</v>
      </c>
      <c r="V278" s="25" t="s">
        <v>2987</v>
      </c>
    </row>
    <row r="279" spans="1:22" ht="15" customHeight="1" x14ac:dyDescent="0.25">
      <c r="A279" t="s">
        <v>365</v>
      </c>
      <c r="B279" t="s">
        <v>1818</v>
      </c>
      <c r="C279" t="s">
        <v>1859</v>
      </c>
      <c r="D279" t="s">
        <v>1860</v>
      </c>
      <c r="E279" t="s">
        <v>1411</v>
      </c>
      <c r="F279" s="5">
        <v>399</v>
      </c>
      <c r="G279" t="s">
        <v>1849</v>
      </c>
      <c r="H279" s="3">
        <v>37</v>
      </c>
      <c r="I279" s="3">
        <v>23</v>
      </c>
      <c r="J279" s="3">
        <v>21</v>
      </c>
      <c r="K279" s="3">
        <v>1.2</v>
      </c>
      <c r="L279">
        <f t="shared" si="40"/>
        <v>1.7871000000000001E-2</v>
      </c>
      <c r="M279">
        <f t="shared" si="45"/>
        <v>17.871000000000002</v>
      </c>
      <c r="N279" s="8">
        <v>1000</v>
      </c>
      <c r="O279" s="14">
        <f t="shared" si="41"/>
        <v>399000</v>
      </c>
      <c r="P279" s="8">
        <v>30</v>
      </c>
      <c r="Q279" s="8">
        <f t="shared" si="42"/>
        <v>33.333333333333336</v>
      </c>
      <c r="R279" s="8">
        <f t="shared" si="43"/>
        <v>1000.0000000000001</v>
      </c>
      <c r="S279" s="8">
        <f t="shared" si="44"/>
        <v>1033.3333333333335</v>
      </c>
      <c r="T279" s="17">
        <f t="shared" si="38"/>
        <v>295.3280435812411</v>
      </c>
      <c r="U279" s="19">
        <f t="shared" si="46"/>
        <v>8321.0226936286126</v>
      </c>
      <c r="V279" s="25" t="s">
        <v>2987</v>
      </c>
    </row>
    <row r="280" spans="1:22" ht="15" customHeight="1" x14ac:dyDescent="0.25">
      <c r="A280" t="s">
        <v>365</v>
      </c>
      <c r="B280" t="s">
        <v>303</v>
      </c>
      <c r="C280" t="s">
        <v>1788</v>
      </c>
      <c r="D280" t="s">
        <v>1789</v>
      </c>
      <c r="E280" t="s">
        <v>234</v>
      </c>
      <c r="F280" s="5">
        <v>404.1</v>
      </c>
      <c r="G280" t="s">
        <v>307</v>
      </c>
      <c r="H280" s="3">
        <v>10</v>
      </c>
      <c r="I280" s="3">
        <v>30</v>
      </c>
      <c r="J280" s="3">
        <v>8</v>
      </c>
      <c r="K280" s="3">
        <v>0.89</v>
      </c>
      <c r="L280">
        <f t="shared" si="40"/>
        <v>2.3999999999999998E-3</v>
      </c>
      <c r="M280">
        <f t="shared" si="45"/>
        <v>2.3039999999999998</v>
      </c>
      <c r="N280" s="8">
        <v>960</v>
      </c>
      <c r="O280" s="14">
        <f t="shared" si="41"/>
        <v>387936</v>
      </c>
      <c r="P280" s="8">
        <v>10</v>
      </c>
      <c r="Q280" s="8">
        <f t="shared" si="42"/>
        <v>96</v>
      </c>
      <c r="R280" s="8">
        <f t="shared" si="43"/>
        <v>320</v>
      </c>
      <c r="S280" s="8">
        <f t="shared" si="44"/>
        <v>416</v>
      </c>
      <c r="T280" s="17">
        <f t="shared" si="38"/>
        <v>287.13879677877782</v>
      </c>
      <c r="U280" s="19">
        <f t="shared" si="46"/>
        <v>8608.1614904073904</v>
      </c>
      <c r="V280" s="25" t="s">
        <v>2987</v>
      </c>
    </row>
    <row r="281" spans="1:22" ht="15" customHeight="1" x14ac:dyDescent="0.25">
      <c r="A281" t="s">
        <v>365</v>
      </c>
      <c r="B281" t="s">
        <v>1790</v>
      </c>
      <c r="C281" t="s">
        <v>326</v>
      </c>
      <c r="D281" t="s">
        <v>327</v>
      </c>
      <c r="E281" t="s">
        <v>480</v>
      </c>
      <c r="F281" s="5">
        <v>286.26</v>
      </c>
      <c r="G281" t="s">
        <v>358</v>
      </c>
      <c r="H281" s="3">
        <v>40</v>
      </c>
      <c r="I281" s="3">
        <v>80</v>
      </c>
      <c r="J281" s="3">
        <v>60</v>
      </c>
      <c r="K281" s="3">
        <v>35</v>
      </c>
      <c r="L281">
        <f t="shared" si="40"/>
        <v>0.192</v>
      </c>
      <c r="M281">
        <f t="shared" si="45"/>
        <v>249.6</v>
      </c>
      <c r="N281" s="8">
        <v>1300</v>
      </c>
      <c r="O281" s="14">
        <f t="shared" si="41"/>
        <v>372138</v>
      </c>
      <c r="P281" s="8">
        <v>40</v>
      </c>
      <c r="Q281" s="8">
        <f t="shared" si="42"/>
        <v>32.5</v>
      </c>
      <c r="R281" s="8">
        <f t="shared" si="43"/>
        <v>1733.3333333333335</v>
      </c>
      <c r="S281" s="8">
        <f t="shared" si="44"/>
        <v>1765.8333333333335</v>
      </c>
      <c r="T281" s="17">
        <f t="shared" si="38"/>
        <v>275.44558266224539</v>
      </c>
      <c r="U281" s="19">
        <f t="shared" si="46"/>
        <v>8883.6070730696356</v>
      </c>
      <c r="V281" s="25" t="s">
        <v>2987</v>
      </c>
    </row>
    <row r="282" spans="1:22" ht="15" customHeight="1" x14ac:dyDescent="0.25">
      <c r="A282" t="s">
        <v>365</v>
      </c>
      <c r="B282" t="s">
        <v>303</v>
      </c>
      <c r="C282" t="s">
        <v>1784</v>
      </c>
      <c r="D282" t="s">
        <v>1786</v>
      </c>
      <c r="E282" t="s">
        <v>234</v>
      </c>
      <c r="F282" s="5">
        <v>359</v>
      </c>
      <c r="G282" t="s">
        <v>304</v>
      </c>
      <c r="H282" s="3">
        <v>10</v>
      </c>
      <c r="I282" s="3">
        <v>30</v>
      </c>
      <c r="J282" s="3">
        <v>8</v>
      </c>
      <c r="K282" s="3">
        <v>0.89</v>
      </c>
      <c r="L282">
        <f t="shared" si="40"/>
        <v>2.3999999999999998E-3</v>
      </c>
      <c r="M282">
        <f t="shared" si="45"/>
        <v>2.3039999999999998</v>
      </c>
      <c r="N282" s="8">
        <v>960</v>
      </c>
      <c r="O282" s="14">
        <f t="shared" si="41"/>
        <v>344640</v>
      </c>
      <c r="P282" s="8">
        <v>10</v>
      </c>
      <c r="Q282" s="8">
        <f t="shared" si="42"/>
        <v>96</v>
      </c>
      <c r="R282" s="8">
        <f t="shared" si="43"/>
        <v>320</v>
      </c>
      <c r="S282" s="8">
        <f t="shared" si="44"/>
        <v>416</v>
      </c>
      <c r="T282" s="17">
        <f t="shared" si="38"/>
        <v>255.09237328280437</v>
      </c>
      <c r="U282" s="19">
        <f t="shared" si="46"/>
        <v>9138.6994463524406</v>
      </c>
      <c r="V282" s="25" t="s">
        <v>2987</v>
      </c>
    </row>
    <row r="283" spans="1:22" ht="15" customHeight="1" x14ac:dyDescent="0.25">
      <c r="A283" t="s">
        <v>365</v>
      </c>
      <c r="B283" t="s">
        <v>1315</v>
      </c>
      <c r="C283" t="s">
        <v>1326</v>
      </c>
      <c r="D283" t="s">
        <v>1806</v>
      </c>
      <c r="E283" t="s">
        <v>13</v>
      </c>
      <c r="F283" s="5">
        <v>1275</v>
      </c>
      <c r="G283" t="s">
        <v>1327</v>
      </c>
      <c r="H283" s="3">
        <v>59</v>
      </c>
      <c r="I283" s="3">
        <v>84</v>
      </c>
      <c r="J283" s="3">
        <v>55</v>
      </c>
      <c r="K283" s="3">
        <v>35</v>
      </c>
      <c r="L283">
        <f t="shared" si="40"/>
        <v>0.27257999999999999</v>
      </c>
      <c r="M283">
        <f t="shared" si="45"/>
        <v>70.870800000000003</v>
      </c>
      <c r="N283" s="8">
        <v>260</v>
      </c>
      <c r="O283" s="14">
        <f t="shared" si="41"/>
        <v>331500</v>
      </c>
      <c r="P283" s="8">
        <v>30</v>
      </c>
      <c r="Q283" s="8">
        <f t="shared" si="42"/>
        <v>8.6666666666666661</v>
      </c>
      <c r="R283" s="8">
        <f t="shared" si="43"/>
        <v>260</v>
      </c>
      <c r="S283" s="8">
        <f t="shared" si="44"/>
        <v>268.66666666666669</v>
      </c>
      <c r="T283" s="17">
        <f t="shared" si="38"/>
        <v>245.36653244907626</v>
      </c>
      <c r="U283" s="19">
        <f t="shared" si="46"/>
        <v>9384.0659788015164</v>
      </c>
      <c r="V283" s="25" t="s">
        <v>2987</v>
      </c>
    </row>
    <row r="284" spans="1:22" ht="15" customHeight="1" x14ac:dyDescent="0.25">
      <c r="A284" t="s">
        <v>365</v>
      </c>
      <c r="B284" t="s">
        <v>1791</v>
      </c>
      <c r="C284" t="s">
        <v>389</v>
      </c>
      <c r="D284" t="s">
        <v>391</v>
      </c>
      <c r="E284" t="s">
        <v>480</v>
      </c>
      <c r="F284" s="5">
        <v>1099</v>
      </c>
      <c r="G284" t="s">
        <v>368</v>
      </c>
      <c r="H284" s="3">
        <v>47.9</v>
      </c>
      <c r="I284" s="3">
        <v>43.1</v>
      </c>
      <c r="J284" s="3">
        <v>53.5</v>
      </c>
      <c r="K284" s="3">
        <v>15.9</v>
      </c>
      <c r="L284">
        <f t="shared" si="40"/>
        <v>0.11045021499999999</v>
      </c>
      <c r="M284">
        <f t="shared" si="45"/>
        <v>33.135064499999999</v>
      </c>
      <c r="N284" s="8">
        <v>300</v>
      </c>
      <c r="O284" s="14">
        <f t="shared" si="41"/>
        <v>329700</v>
      </c>
      <c r="P284" s="8">
        <v>40</v>
      </c>
      <c r="Q284" s="8">
        <f t="shared" si="42"/>
        <v>7.5</v>
      </c>
      <c r="R284" s="8">
        <f t="shared" si="43"/>
        <v>400</v>
      </c>
      <c r="S284" s="8">
        <f t="shared" si="44"/>
        <v>407.5</v>
      </c>
      <c r="T284" s="17">
        <f t="shared" si="38"/>
        <v>244.03422548555187</v>
      </c>
      <c r="U284" s="19">
        <f t="shared" si="46"/>
        <v>9628.1002042870678</v>
      </c>
      <c r="V284" s="25" t="s">
        <v>2987</v>
      </c>
    </row>
    <row r="285" spans="1:22" ht="15" customHeight="1" x14ac:dyDescent="0.25">
      <c r="A285" t="s">
        <v>365</v>
      </c>
      <c r="B285" t="s">
        <v>303</v>
      </c>
      <c r="C285" t="s">
        <v>1784</v>
      </c>
      <c r="D285" t="s">
        <v>1787</v>
      </c>
      <c r="E285" t="s">
        <v>234</v>
      </c>
      <c r="F285" s="5">
        <v>339.3</v>
      </c>
      <c r="G285" t="s">
        <v>304</v>
      </c>
      <c r="H285" s="3">
        <v>10</v>
      </c>
      <c r="I285" s="3">
        <v>30</v>
      </c>
      <c r="J285" s="3">
        <v>8</v>
      </c>
      <c r="K285" s="3">
        <v>0.89</v>
      </c>
      <c r="L285">
        <f t="shared" si="40"/>
        <v>2.3999999999999998E-3</v>
      </c>
      <c r="M285">
        <f t="shared" si="45"/>
        <v>2.3039999999999998</v>
      </c>
      <c r="N285" s="8">
        <v>960</v>
      </c>
      <c r="O285" s="14">
        <f t="shared" si="41"/>
        <v>325728</v>
      </c>
      <c r="P285" s="8">
        <v>10</v>
      </c>
      <c r="Q285" s="8">
        <f t="shared" si="42"/>
        <v>96</v>
      </c>
      <c r="R285" s="8">
        <f t="shared" si="43"/>
        <v>320</v>
      </c>
      <c r="S285" s="8">
        <f t="shared" si="44"/>
        <v>416</v>
      </c>
      <c r="T285" s="17">
        <f t="shared" si="38"/>
        <v>241.0942681193747</v>
      </c>
      <c r="U285" s="19">
        <f t="shared" si="46"/>
        <v>9869.1944724064433</v>
      </c>
      <c r="V285" s="25" t="s">
        <v>2987</v>
      </c>
    </row>
    <row r="286" spans="1:22" ht="15" customHeight="1" x14ac:dyDescent="0.25">
      <c r="A286" t="s">
        <v>365</v>
      </c>
      <c r="B286" t="s">
        <v>303</v>
      </c>
      <c r="C286" t="s">
        <v>1775</v>
      </c>
      <c r="D286" t="s">
        <v>1776</v>
      </c>
      <c r="E286" t="s">
        <v>234</v>
      </c>
      <c r="F286" s="5">
        <v>339</v>
      </c>
      <c r="G286" t="s">
        <v>304</v>
      </c>
      <c r="H286" s="3">
        <v>4.5</v>
      </c>
      <c r="I286" s="3">
        <v>4</v>
      </c>
      <c r="J286" s="3">
        <v>30</v>
      </c>
      <c r="K286" s="3">
        <v>0.46300000000000002</v>
      </c>
      <c r="L286">
        <f t="shared" si="40"/>
        <v>5.4000000000000001E-4</v>
      </c>
      <c r="M286">
        <f t="shared" si="45"/>
        <v>0.51839999999999997</v>
      </c>
      <c r="N286" s="8">
        <v>960</v>
      </c>
      <c r="O286" s="14">
        <f t="shared" si="41"/>
        <v>325440</v>
      </c>
      <c r="P286" s="8">
        <v>10</v>
      </c>
      <c r="Q286" s="8">
        <f t="shared" si="42"/>
        <v>96</v>
      </c>
      <c r="R286" s="8">
        <f t="shared" si="43"/>
        <v>320</v>
      </c>
      <c r="S286" s="8">
        <f t="shared" si="44"/>
        <v>416</v>
      </c>
      <c r="T286" s="17">
        <f t="shared" si="38"/>
        <v>240.88109900521081</v>
      </c>
      <c r="U286" s="19">
        <f t="shared" si="46"/>
        <v>10110.075571411655</v>
      </c>
      <c r="V286" s="25" t="s">
        <v>2987</v>
      </c>
    </row>
    <row r="287" spans="1:22" ht="15" customHeight="1" x14ac:dyDescent="0.25">
      <c r="A287" t="s">
        <v>365</v>
      </c>
      <c r="B287" t="s">
        <v>303</v>
      </c>
      <c r="C287" t="s">
        <v>1775</v>
      </c>
      <c r="D287" t="s">
        <v>1779</v>
      </c>
      <c r="E287" t="s">
        <v>234</v>
      </c>
      <c r="F287" s="5">
        <v>219</v>
      </c>
      <c r="G287" t="s">
        <v>304</v>
      </c>
      <c r="H287" s="3">
        <v>4.5</v>
      </c>
      <c r="I287" s="3">
        <v>4</v>
      </c>
      <c r="J287" s="3">
        <v>30</v>
      </c>
      <c r="K287" s="3">
        <v>0.46300000000000002</v>
      </c>
      <c r="L287">
        <f t="shared" si="40"/>
        <v>5.4000000000000001E-4</v>
      </c>
      <c r="M287">
        <f t="shared" si="45"/>
        <v>0.77759999999999996</v>
      </c>
      <c r="N287" s="8">
        <v>1440</v>
      </c>
      <c r="O287" s="14">
        <f t="shared" si="41"/>
        <v>315360</v>
      </c>
      <c r="P287" s="8">
        <v>10</v>
      </c>
      <c r="Q287" s="8">
        <f t="shared" si="42"/>
        <v>144</v>
      </c>
      <c r="R287" s="8">
        <f t="shared" si="43"/>
        <v>480</v>
      </c>
      <c r="S287" s="8">
        <f t="shared" si="44"/>
        <v>624</v>
      </c>
      <c r="T287" s="17">
        <f t="shared" si="38"/>
        <v>233.42018000947419</v>
      </c>
      <c r="U287" s="19">
        <f t="shared" si="46"/>
        <v>10343.495751421129</v>
      </c>
      <c r="V287" s="25" t="s">
        <v>2987</v>
      </c>
    </row>
    <row r="288" spans="1:22" ht="15" customHeight="1" x14ac:dyDescent="0.25">
      <c r="A288" t="s">
        <v>365</v>
      </c>
      <c r="B288" t="s">
        <v>1818</v>
      </c>
      <c r="C288" t="s">
        <v>1865</v>
      </c>
      <c r="D288" t="s">
        <v>1864</v>
      </c>
      <c r="E288" t="s">
        <v>1411</v>
      </c>
      <c r="F288" s="5">
        <v>299</v>
      </c>
      <c r="G288" t="s">
        <v>1849</v>
      </c>
      <c r="H288" s="3">
        <v>21</v>
      </c>
      <c r="I288" s="3">
        <v>16</v>
      </c>
      <c r="J288" s="3">
        <v>16</v>
      </c>
      <c r="K288" s="3">
        <v>1.3</v>
      </c>
      <c r="L288">
        <f t="shared" si="40"/>
        <v>5.3759999999999997E-3</v>
      </c>
      <c r="M288">
        <f t="shared" si="45"/>
        <v>5.3759999999999994</v>
      </c>
      <c r="N288" s="8">
        <v>1000</v>
      </c>
      <c r="O288" s="14">
        <f t="shared" si="41"/>
        <v>299000</v>
      </c>
      <c r="P288" s="8">
        <v>30</v>
      </c>
      <c r="Q288" s="8">
        <f t="shared" si="42"/>
        <v>33.333333333333336</v>
      </c>
      <c r="R288" s="8">
        <f t="shared" si="43"/>
        <v>1000.0000000000001</v>
      </c>
      <c r="S288" s="8">
        <f t="shared" si="44"/>
        <v>1033.3333333333335</v>
      </c>
      <c r="T288" s="17">
        <f t="shared" si="38"/>
        <v>221.31099005210802</v>
      </c>
      <c r="U288" s="19">
        <f t="shared" si="46"/>
        <v>10564.806741473238</v>
      </c>
      <c r="V288" s="25" t="s">
        <v>2987</v>
      </c>
    </row>
    <row r="289" spans="1:22" ht="15" customHeight="1" x14ac:dyDescent="0.25">
      <c r="A289" t="s">
        <v>365</v>
      </c>
      <c r="B289" t="s">
        <v>1315</v>
      </c>
      <c r="C289" t="s">
        <v>1331</v>
      </c>
      <c r="D289" t="s">
        <v>1810</v>
      </c>
      <c r="E289" t="s">
        <v>13</v>
      </c>
      <c r="F289" s="5">
        <v>1120</v>
      </c>
      <c r="G289" t="s">
        <v>1317</v>
      </c>
      <c r="H289" s="3">
        <v>62</v>
      </c>
      <c r="I289" s="3">
        <v>59</v>
      </c>
      <c r="J289" s="3">
        <v>51</v>
      </c>
      <c r="K289" s="3">
        <v>30</v>
      </c>
      <c r="L289">
        <f t="shared" si="40"/>
        <v>0.186558</v>
      </c>
      <c r="M289">
        <f t="shared" si="45"/>
        <v>48.50508</v>
      </c>
      <c r="N289" s="8">
        <v>260</v>
      </c>
      <c r="O289" s="14">
        <f t="shared" si="41"/>
        <v>291200</v>
      </c>
      <c r="P289" s="8">
        <v>30</v>
      </c>
      <c r="Q289" s="8">
        <f t="shared" si="42"/>
        <v>8.6666666666666661</v>
      </c>
      <c r="R289" s="8">
        <f t="shared" si="43"/>
        <v>260</v>
      </c>
      <c r="S289" s="8">
        <f t="shared" si="44"/>
        <v>268.66666666666669</v>
      </c>
      <c r="T289" s="17">
        <f t="shared" si="38"/>
        <v>215.53765987683562</v>
      </c>
      <c r="U289" s="19">
        <f t="shared" si="46"/>
        <v>10780.344401350074</v>
      </c>
      <c r="V289" s="25" t="s">
        <v>2987</v>
      </c>
    </row>
    <row r="290" spans="1:22" ht="15" customHeight="1" x14ac:dyDescent="0.25">
      <c r="A290" t="s">
        <v>365</v>
      </c>
      <c r="B290" t="s">
        <v>1315</v>
      </c>
      <c r="C290" t="s">
        <v>1322</v>
      </c>
      <c r="D290" t="s">
        <v>1802</v>
      </c>
      <c r="E290" t="s">
        <v>13</v>
      </c>
      <c r="F290" s="5">
        <v>1099.1199999999999</v>
      </c>
      <c r="G290" t="s">
        <v>358</v>
      </c>
      <c r="H290" s="3">
        <v>100</v>
      </c>
      <c r="I290" s="3">
        <v>65</v>
      </c>
      <c r="J290" s="3">
        <v>61</v>
      </c>
      <c r="K290" s="3">
        <v>36</v>
      </c>
      <c r="L290">
        <f t="shared" si="40"/>
        <v>0.39650000000000002</v>
      </c>
      <c r="M290">
        <f t="shared" si="45"/>
        <v>103.09</v>
      </c>
      <c r="N290" s="8">
        <v>260</v>
      </c>
      <c r="O290" s="14">
        <f t="shared" si="41"/>
        <v>285771.19999999995</v>
      </c>
      <c r="P290" s="8">
        <v>30</v>
      </c>
      <c r="Q290" s="8">
        <f t="shared" si="42"/>
        <v>8.6666666666666661</v>
      </c>
      <c r="R290" s="8">
        <f t="shared" si="43"/>
        <v>260</v>
      </c>
      <c r="S290" s="8">
        <f t="shared" si="44"/>
        <v>268.66666666666669</v>
      </c>
      <c r="T290" s="17">
        <f t="shared" si="38"/>
        <v>211.51942207484601</v>
      </c>
      <c r="U290" s="19">
        <f t="shared" si="46"/>
        <v>10991.863823424919</v>
      </c>
      <c r="V290" s="25" t="s">
        <v>2987</v>
      </c>
    </row>
    <row r="291" spans="1:22" ht="15" customHeight="1" x14ac:dyDescent="0.25">
      <c r="A291" t="s">
        <v>365</v>
      </c>
      <c r="B291" t="s">
        <v>1315</v>
      </c>
      <c r="C291" t="s">
        <v>1333</v>
      </c>
      <c r="D291" t="s">
        <v>1812</v>
      </c>
      <c r="E291" t="s">
        <v>13</v>
      </c>
      <c r="F291" s="5">
        <v>1011</v>
      </c>
      <c r="G291" t="s">
        <v>1317</v>
      </c>
      <c r="H291" s="3">
        <v>62</v>
      </c>
      <c r="I291" s="3">
        <v>59</v>
      </c>
      <c r="J291" s="3">
        <v>51</v>
      </c>
      <c r="K291" s="3">
        <v>30</v>
      </c>
      <c r="L291">
        <f t="shared" si="40"/>
        <v>0.186558</v>
      </c>
      <c r="M291">
        <f t="shared" si="45"/>
        <v>48.50508</v>
      </c>
      <c r="N291" s="8">
        <v>260</v>
      </c>
      <c r="O291" s="14">
        <f t="shared" si="41"/>
        <v>262860</v>
      </c>
      <c r="P291" s="8">
        <v>30</v>
      </c>
      <c r="Q291" s="8">
        <f t="shared" si="42"/>
        <v>8.6666666666666661</v>
      </c>
      <c r="R291" s="8">
        <f t="shared" si="43"/>
        <v>260</v>
      </c>
      <c r="S291" s="8">
        <f t="shared" si="44"/>
        <v>268.66666666666669</v>
      </c>
      <c r="T291" s="17">
        <f t="shared" si="38"/>
        <v>194.56122690667931</v>
      </c>
      <c r="U291" s="19">
        <f t="shared" si="46"/>
        <v>11186.425050331598</v>
      </c>
      <c r="V291" s="25" t="s">
        <v>2987</v>
      </c>
    </row>
    <row r="292" spans="1:22" ht="15" customHeight="1" x14ac:dyDescent="0.25">
      <c r="A292" t="s">
        <v>365</v>
      </c>
      <c r="B292" t="s">
        <v>1791</v>
      </c>
      <c r="C292" t="s">
        <v>393</v>
      </c>
      <c r="D292" t="s">
        <v>394</v>
      </c>
      <c r="E292" t="s">
        <v>234</v>
      </c>
      <c r="F292" s="5">
        <v>389</v>
      </c>
      <c r="G292" t="s">
        <v>368</v>
      </c>
      <c r="H292" s="3">
        <v>28.9</v>
      </c>
      <c r="I292" s="3">
        <v>34.1</v>
      </c>
      <c r="J292" s="3">
        <v>46.1</v>
      </c>
      <c r="K292" s="3">
        <v>11.4</v>
      </c>
      <c r="L292">
        <f t="shared" si="40"/>
        <v>4.5431089000000008E-2</v>
      </c>
      <c r="M292">
        <f t="shared" si="45"/>
        <v>30.438829630000004</v>
      </c>
      <c r="N292" s="8">
        <v>670</v>
      </c>
      <c r="O292" s="14">
        <f t="shared" si="41"/>
        <v>260630</v>
      </c>
      <c r="P292" s="8">
        <v>40</v>
      </c>
      <c r="Q292" s="8">
        <f t="shared" si="42"/>
        <v>16.75</v>
      </c>
      <c r="R292" s="8">
        <f t="shared" si="43"/>
        <v>893.33333333333326</v>
      </c>
      <c r="S292" s="8">
        <f t="shared" si="44"/>
        <v>910.08333333333326</v>
      </c>
      <c r="T292" s="17">
        <f t="shared" si="38"/>
        <v>192.91064661297963</v>
      </c>
      <c r="U292" s="19">
        <f t="shared" si="46"/>
        <v>11379.335696944578</v>
      </c>
      <c r="V292" s="25" t="s">
        <v>2987</v>
      </c>
    </row>
    <row r="293" spans="1:22" ht="15" customHeight="1" x14ac:dyDescent="0.25">
      <c r="A293" t="s">
        <v>365</v>
      </c>
      <c r="B293" t="s">
        <v>1791</v>
      </c>
      <c r="C293" t="s">
        <v>366</v>
      </c>
      <c r="D293" t="s">
        <v>369</v>
      </c>
      <c r="E293" t="s">
        <v>234</v>
      </c>
      <c r="F293" s="5">
        <v>769</v>
      </c>
      <c r="G293" t="s">
        <v>368</v>
      </c>
      <c r="H293" s="3">
        <v>92.9</v>
      </c>
      <c r="I293" s="3">
        <v>59.1</v>
      </c>
      <c r="J293" s="3">
        <v>51.2</v>
      </c>
      <c r="K293" s="3">
        <v>25</v>
      </c>
      <c r="L293">
        <f t="shared" si="40"/>
        <v>0.28110796800000004</v>
      </c>
      <c r="M293">
        <f t="shared" si="45"/>
        <v>89.95454976000002</v>
      </c>
      <c r="N293" s="8">
        <v>320</v>
      </c>
      <c r="O293" s="14">
        <f t="shared" si="41"/>
        <v>246080</v>
      </c>
      <c r="P293" s="8">
        <v>40</v>
      </c>
      <c r="Q293" s="8">
        <f t="shared" si="42"/>
        <v>8</v>
      </c>
      <c r="R293" s="8">
        <f t="shared" si="43"/>
        <v>426.66666666666663</v>
      </c>
      <c r="S293" s="8">
        <f t="shared" si="44"/>
        <v>434.66666666666663</v>
      </c>
      <c r="T293" s="17">
        <f t="shared" si="38"/>
        <v>182.14116532449077</v>
      </c>
      <c r="U293" s="19">
        <f t="shared" si="46"/>
        <v>11561.476862269068</v>
      </c>
      <c r="V293" s="25" t="s">
        <v>2987</v>
      </c>
    </row>
    <row r="294" spans="1:22" ht="15" customHeight="1" x14ac:dyDescent="0.25">
      <c r="A294" t="s">
        <v>365</v>
      </c>
      <c r="B294" t="s">
        <v>1791</v>
      </c>
      <c r="C294" t="s">
        <v>366</v>
      </c>
      <c r="D294" t="s">
        <v>377</v>
      </c>
      <c r="E294" t="s">
        <v>234</v>
      </c>
      <c r="F294" s="5">
        <v>1849</v>
      </c>
      <c r="G294" t="s">
        <v>368</v>
      </c>
      <c r="H294" s="3">
        <v>93</v>
      </c>
      <c r="I294" s="3">
        <v>68.7</v>
      </c>
      <c r="J294" s="3">
        <v>56.2</v>
      </c>
      <c r="K294" s="3">
        <v>50</v>
      </c>
      <c r="L294">
        <f t="shared" si="40"/>
        <v>0.35906742000000003</v>
      </c>
      <c r="M294">
        <f>N294*L294</f>
        <v>46.678764600000001</v>
      </c>
      <c r="N294" s="8">
        <v>130</v>
      </c>
      <c r="O294" s="14">
        <f t="shared" si="41"/>
        <v>240370</v>
      </c>
      <c r="P294" s="8">
        <v>40</v>
      </c>
      <c r="Q294" s="8">
        <f t="shared" si="42"/>
        <v>3.25</v>
      </c>
      <c r="R294" s="8">
        <f t="shared" si="43"/>
        <v>173.33333333333331</v>
      </c>
      <c r="S294" s="8">
        <f t="shared" si="44"/>
        <v>176.58333333333331</v>
      </c>
      <c r="T294" s="17">
        <f t="shared" si="38"/>
        <v>177.91479156797726</v>
      </c>
      <c r="U294" s="19">
        <f t="shared" si="46"/>
        <v>11739.391653837045</v>
      </c>
      <c r="V294" s="27" t="s">
        <v>2982</v>
      </c>
    </row>
    <row r="295" spans="1:22" ht="15" customHeight="1" x14ac:dyDescent="0.25">
      <c r="A295" t="s">
        <v>365</v>
      </c>
      <c r="B295" t="s">
        <v>1791</v>
      </c>
      <c r="C295" t="s">
        <v>366</v>
      </c>
      <c r="D295" t="s">
        <v>378</v>
      </c>
      <c r="E295" t="s">
        <v>234</v>
      </c>
      <c r="F295" s="5">
        <v>2199</v>
      </c>
      <c r="G295" t="s">
        <v>368</v>
      </c>
      <c r="H295" s="3">
        <v>67</v>
      </c>
      <c r="I295" s="3">
        <v>71.7</v>
      </c>
      <c r="J295" s="3">
        <v>60</v>
      </c>
      <c r="K295" s="3">
        <v>45</v>
      </c>
      <c r="L295">
        <f t="shared" si="40"/>
        <v>0.28823399999999999</v>
      </c>
      <c r="M295">
        <f>N295*L295</f>
        <v>30.264569999999999</v>
      </c>
      <c r="N295" s="8">
        <v>105</v>
      </c>
      <c r="O295" s="14">
        <f t="shared" si="41"/>
        <v>230895</v>
      </c>
      <c r="P295" s="8">
        <v>40</v>
      </c>
      <c r="Q295" s="8">
        <f t="shared" si="42"/>
        <v>2.625</v>
      </c>
      <c r="R295" s="8">
        <f t="shared" si="43"/>
        <v>140</v>
      </c>
      <c r="S295" s="8">
        <f t="shared" si="44"/>
        <v>142.625</v>
      </c>
      <c r="T295" s="17">
        <f t="shared" si="38"/>
        <v>170.90167574609191</v>
      </c>
      <c r="U295" s="19">
        <f t="shared" si="46"/>
        <v>11910.293329583137</v>
      </c>
      <c r="V295" s="27" t="s">
        <v>2982</v>
      </c>
    </row>
    <row r="296" spans="1:22" ht="15" customHeight="1" x14ac:dyDescent="0.25">
      <c r="A296" t="s">
        <v>365</v>
      </c>
      <c r="B296" t="s">
        <v>1791</v>
      </c>
      <c r="C296" t="s">
        <v>389</v>
      </c>
      <c r="D296" t="s">
        <v>390</v>
      </c>
      <c r="E296" t="s">
        <v>480</v>
      </c>
      <c r="F296" s="5">
        <v>659</v>
      </c>
      <c r="G296" t="s">
        <v>368</v>
      </c>
      <c r="H296" s="3">
        <v>47.9</v>
      </c>
      <c r="I296" s="3">
        <v>43.1</v>
      </c>
      <c r="J296" s="3">
        <v>53.5</v>
      </c>
      <c r="K296" s="3">
        <v>15.9</v>
      </c>
      <c r="L296">
        <f t="shared" si="40"/>
        <v>0.11045021499999999</v>
      </c>
      <c r="M296">
        <f t="shared" ref="M296:M302" si="47">L296*N296</f>
        <v>38.657575249999994</v>
      </c>
      <c r="N296" s="8">
        <v>350</v>
      </c>
      <c r="O296" s="14">
        <f t="shared" si="41"/>
        <v>230650</v>
      </c>
      <c r="P296" s="8">
        <v>40</v>
      </c>
      <c r="Q296" s="8">
        <f t="shared" si="42"/>
        <v>8.75</v>
      </c>
      <c r="R296" s="8">
        <f t="shared" si="43"/>
        <v>466.66666666666663</v>
      </c>
      <c r="S296" s="8">
        <f t="shared" si="44"/>
        <v>475.41666666666663</v>
      </c>
      <c r="T296" s="17">
        <f t="shared" si="38"/>
        <v>170.72033396494552</v>
      </c>
      <c r="U296" s="19">
        <f t="shared" si="46"/>
        <v>12081.013663548083</v>
      </c>
      <c r="V296" s="27" t="s">
        <v>2982</v>
      </c>
    </row>
    <row r="297" spans="1:22" ht="15" customHeight="1" x14ac:dyDescent="0.25">
      <c r="A297" t="s">
        <v>365</v>
      </c>
      <c r="B297" t="s">
        <v>1791</v>
      </c>
      <c r="C297" t="s">
        <v>397</v>
      </c>
      <c r="D297" t="s">
        <v>398</v>
      </c>
      <c r="E297" t="s">
        <v>234</v>
      </c>
      <c r="F297" s="5">
        <v>1799</v>
      </c>
      <c r="G297" t="s">
        <v>368</v>
      </c>
      <c r="H297" s="3">
        <v>114.5</v>
      </c>
      <c r="I297" s="3">
        <v>50</v>
      </c>
      <c r="J297" s="3">
        <v>60</v>
      </c>
      <c r="K297" s="3">
        <v>16.2</v>
      </c>
      <c r="L297">
        <f t="shared" si="40"/>
        <v>0.34350000000000003</v>
      </c>
      <c r="M297">
        <f t="shared" si="47"/>
        <v>41.220000000000006</v>
      </c>
      <c r="N297" s="8">
        <v>120</v>
      </c>
      <c r="O297" s="14">
        <f t="shared" si="41"/>
        <v>215880</v>
      </c>
      <c r="P297" s="8">
        <v>40</v>
      </c>
      <c r="Q297" s="8">
        <f t="shared" si="42"/>
        <v>3</v>
      </c>
      <c r="R297" s="8">
        <f t="shared" si="43"/>
        <v>160</v>
      </c>
      <c r="S297" s="8">
        <f t="shared" si="44"/>
        <v>163</v>
      </c>
      <c r="T297" s="17">
        <f t="shared" si="38"/>
        <v>159.78801515869256</v>
      </c>
      <c r="U297" s="19">
        <f t="shared" si="46"/>
        <v>12240.801678706775</v>
      </c>
      <c r="V297" s="27" t="s">
        <v>2982</v>
      </c>
    </row>
    <row r="298" spans="1:22" ht="15" customHeight="1" x14ac:dyDescent="0.25">
      <c r="A298" t="s">
        <v>365</v>
      </c>
      <c r="B298" t="s">
        <v>1791</v>
      </c>
      <c r="C298" t="s">
        <v>366</v>
      </c>
      <c r="D298" t="s">
        <v>370</v>
      </c>
      <c r="E298" t="s">
        <v>234</v>
      </c>
      <c r="F298" s="5">
        <v>719</v>
      </c>
      <c r="G298" t="s">
        <v>368</v>
      </c>
      <c r="H298" s="3">
        <v>92.9</v>
      </c>
      <c r="I298" s="3">
        <v>59.1</v>
      </c>
      <c r="J298" s="3">
        <v>51.2</v>
      </c>
      <c r="K298" s="3">
        <v>25</v>
      </c>
      <c r="L298">
        <f t="shared" si="40"/>
        <v>0.28110796800000004</v>
      </c>
      <c r="M298">
        <f t="shared" si="47"/>
        <v>84.332390400000008</v>
      </c>
      <c r="N298" s="8">
        <v>300</v>
      </c>
      <c r="O298" s="14">
        <f t="shared" si="41"/>
        <v>215700</v>
      </c>
      <c r="P298" s="8">
        <v>40</v>
      </c>
      <c r="Q298" s="8">
        <f t="shared" si="42"/>
        <v>7.5</v>
      </c>
      <c r="R298" s="8">
        <f t="shared" si="43"/>
        <v>400</v>
      </c>
      <c r="S298" s="8">
        <f t="shared" si="44"/>
        <v>407.5</v>
      </c>
      <c r="T298" s="17">
        <f t="shared" si="38"/>
        <v>159.65478446234013</v>
      </c>
      <c r="U298" s="19">
        <f t="shared" ref="U298:U329" si="48">U297+T298</f>
        <v>12400.456463169116</v>
      </c>
      <c r="V298" s="27" t="s">
        <v>2982</v>
      </c>
    </row>
    <row r="299" spans="1:22" ht="15" customHeight="1" x14ac:dyDescent="0.25">
      <c r="A299" t="s">
        <v>365</v>
      </c>
      <c r="B299" t="s">
        <v>1791</v>
      </c>
      <c r="C299" t="s">
        <v>366</v>
      </c>
      <c r="D299" t="s">
        <v>367</v>
      </c>
      <c r="E299" t="s">
        <v>234</v>
      </c>
      <c r="F299" s="5">
        <v>769</v>
      </c>
      <c r="G299" t="s">
        <v>368</v>
      </c>
      <c r="H299" s="3">
        <v>92.9</v>
      </c>
      <c r="I299" s="3">
        <v>59.1</v>
      </c>
      <c r="J299" s="3">
        <v>51.2</v>
      </c>
      <c r="K299" s="3">
        <v>25</v>
      </c>
      <c r="L299">
        <f t="shared" si="40"/>
        <v>0.28110796800000004</v>
      </c>
      <c r="M299">
        <f t="shared" si="47"/>
        <v>78.710231040000011</v>
      </c>
      <c r="N299" s="8">
        <v>280</v>
      </c>
      <c r="O299" s="14">
        <f t="shared" si="41"/>
        <v>215320</v>
      </c>
      <c r="P299" s="8">
        <v>40</v>
      </c>
      <c r="Q299" s="8">
        <f t="shared" si="42"/>
        <v>7</v>
      </c>
      <c r="R299" s="8">
        <f t="shared" si="43"/>
        <v>373.33333333333337</v>
      </c>
      <c r="S299" s="8">
        <f t="shared" si="44"/>
        <v>380.33333333333337</v>
      </c>
      <c r="T299" s="17">
        <f t="shared" si="38"/>
        <v>159.37351965892941</v>
      </c>
      <c r="U299" s="19">
        <f t="shared" si="48"/>
        <v>12559.829982828045</v>
      </c>
      <c r="V299" s="27" t="s">
        <v>2982</v>
      </c>
    </row>
    <row r="300" spans="1:22" ht="15" customHeight="1" x14ac:dyDescent="0.25">
      <c r="A300" t="s">
        <v>365</v>
      </c>
      <c r="B300" t="s">
        <v>303</v>
      </c>
      <c r="C300" t="s">
        <v>1784</v>
      </c>
      <c r="D300" t="s">
        <v>1785</v>
      </c>
      <c r="E300" t="s">
        <v>234</v>
      </c>
      <c r="F300" s="5">
        <v>219</v>
      </c>
      <c r="G300" t="s">
        <v>304</v>
      </c>
      <c r="H300" s="3">
        <v>10</v>
      </c>
      <c r="I300" s="3">
        <v>30</v>
      </c>
      <c r="J300" s="3">
        <v>8</v>
      </c>
      <c r="K300" s="3">
        <v>0.89</v>
      </c>
      <c r="L300">
        <f t="shared" si="40"/>
        <v>2.3999999999999998E-3</v>
      </c>
      <c r="M300">
        <f t="shared" si="47"/>
        <v>2.3039999999999998</v>
      </c>
      <c r="N300" s="8">
        <v>960</v>
      </c>
      <c r="O300" s="14">
        <f t="shared" si="41"/>
        <v>210240</v>
      </c>
      <c r="P300" s="8">
        <v>10</v>
      </c>
      <c r="Q300" s="8">
        <f t="shared" si="42"/>
        <v>96</v>
      </c>
      <c r="R300" s="8">
        <f t="shared" si="43"/>
        <v>320</v>
      </c>
      <c r="S300" s="8">
        <f t="shared" si="44"/>
        <v>416</v>
      </c>
      <c r="T300" s="17">
        <f t="shared" si="38"/>
        <v>155.61345333964945</v>
      </c>
      <c r="U300" s="19">
        <f t="shared" si="48"/>
        <v>12715.443436167694</v>
      </c>
      <c r="V300" s="27" t="s">
        <v>2982</v>
      </c>
    </row>
    <row r="301" spans="1:22" ht="15" customHeight="1" x14ac:dyDescent="0.25">
      <c r="A301" t="s">
        <v>365</v>
      </c>
      <c r="B301" t="s">
        <v>1818</v>
      </c>
      <c r="C301" t="s">
        <v>1866</v>
      </c>
      <c r="D301" t="s">
        <v>1867</v>
      </c>
      <c r="E301" t="s">
        <v>1411</v>
      </c>
      <c r="F301" s="5">
        <v>229</v>
      </c>
      <c r="G301" t="s">
        <v>1849</v>
      </c>
      <c r="H301" s="3">
        <v>21</v>
      </c>
      <c r="I301" s="3">
        <v>17</v>
      </c>
      <c r="J301" s="3">
        <v>16</v>
      </c>
      <c r="K301" s="3">
        <v>1.2</v>
      </c>
      <c r="L301">
        <f t="shared" si="40"/>
        <v>5.7120000000000001E-3</v>
      </c>
      <c r="M301">
        <f t="shared" si="47"/>
        <v>4.5696000000000003</v>
      </c>
      <c r="N301" s="8">
        <v>800</v>
      </c>
      <c r="O301" s="14">
        <f t="shared" si="41"/>
        <v>183200</v>
      </c>
      <c r="P301" s="8">
        <v>30</v>
      </c>
      <c r="Q301" s="8">
        <f t="shared" si="42"/>
        <v>26.666666666666668</v>
      </c>
      <c r="R301" s="8">
        <f t="shared" si="43"/>
        <v>800</v>
      </c>
      <c r="S301" s="8">
        <f t="shared" si="44"/>
        <v>826.66666666666663</v>
      </c>
      <c r="T301" s="17">
        <f t="shared" si="38"/>
        <v>135.59924206537187</v>
      </c>
      <c r="U301" s="19">
        <f t="shared" si="48"/>
        <v>12851.042678233065</v>
      </c>
      <c r="V301" s="27" t="s">
        <v>2982</v>
      </c>
    </row>
    <row r="302" spans="1:22" ht="15" customHeight="1" x14ac:dyDescent="0.25">
      <c r="A302" t="s">
        <v>365</v>
      </c>
      <c r="B302" t="s">
        <v>1791</v>
      </c>
      <c r="C302" t="s">
        <v>393</v>
      </c>
      <c r="D302" t="s">
        <v>396</v>
      </c>
      <c r="E302" t="s">
        <v>234</v>
      </c>
      <c r="F302" s="5">
        <v>389</v>
      </c>
      <c r="G302" t="s">
        <v>368</v>
      </c>
      <c r="H302" s="3">
        <v>29.7</v>
      </c>
      <c r="I302" s="3">
        <v>37.9</v>
      </c>
      <c r="J302" s="3">
        <v>48.7</v>
      </c>
      <c r="K302" s="3">
        <v>13.7</v>
      </c>
      <c r="L302">
        <f t="shared" si="40"/>
        <v>5.4818180999999994E-2</v>
      </c>
      <c r="M302">
        <f t="shared" si="47"/>
        <v>25.271181440999996</v>
      </c>
      <c r="N302" s="8">
        <v>461</v>
      </c>
      <c r="O302" s="14">
        <f t="shared" si="41"/>
        <v>179329</v>
      </c>
      <c r="P302" s="8">
        <v>40</v>
      </c>
      <c r="Q302" s="8">
        <f t="shared" si="42"/>
        <v>11.525</v>
      </c>
      <c r="R302" s="8">
        <f t="shared" si="43"/>
        <v>614.66666666666674</v>
      </c>
      <c r="S302" s="8">
        <f t="shared" si="44"/>
        <v>626.19166666666672</v>
      </c>
      <c r="T302" s="17">
        <f t="shared" si="38"/>
        <v>132.73404192325913</v>
      </c>
      <c r="U302" s="19">
        <f t="shared" si="48"/>
        <v>12983.776720156324</v>
      </c>
      <c r="V302" s="27" t="s">
        <v>2982</v>
      </c>
    </row>
    <row r="303" spans="1:22" ht="15" customHeight="1" x14ac:dyDescent="0.25">
      <c r="A303" t="s">
        <v>365</v>
      </c>
      <c r="B303" t="s">
        <v>1791</v>
      </c>
      <c r="C303" t="s">
        <v>366</v>
      </c>
      <c r="D303" t="s">
        <v>376</v>
      </c>
      <c r="E303" t="s">
        <v>234</v>
      </c>
      <c r="F303" s="5">
        <v>1299</v>
      </c>
      <c r="G303" t="s">
        <v>368</v>
      </c>
      <c r="H303" s="3">
        <v>93</v>
      </c>
      <c r="I303" s="3">
        <v>68.7</v>
      </c>
      <c r="J303" s="3">
        <v>56.2</v>
      </c>
      <c r="K303" s="3">
        <v>47</v>
      </c>
      <c r="L303">
        <f t="shared" si="40"/>
        <v>0.35906742000000003</v>
      </c>
      <c r="M303">
        <f>N303*L303</f>
        <v>46.678764600000001</v>
      </c>
      <c r="N303" s="8">
        <v>130</v>
      </c>
      <c r="O303" s="14">
        <f t="shared" si="41"/>
        <v>168870</v>
      </c>
      <c r="P303" s="8">
        <v>40</v>
      </c>
      <c r="Q303" s="8">
        <f t="shared" si="42"/>
        <v>3.25</v>
      </c>
      <c r="R303" s="8">
        <f t="shared" si="43"/>
        <v>173.33333333333331</v>
      </c>
      <c r="S303" s="8">
        <f t="shared" si="44"/>
        <v>176.58333333333331</v>
      </c>
      <c r="T303" s="17">
        <f t="shared" si="38"/>
        <v>124.9925982946471</v>
      </c>
      <c r="U303" s="19">
        <f t="shared" si="48"/>
        <v>13108.769318450972</v>
      </c>
      <c r="V303" s="27" t="s">
        <v>2982</v>
      </c>
    </row>
    <row r="304" spans="1:22" ht="15" customHeight="1" x14ac:dyDescent="0.25">
      <c r="A304" t="s">
        <v>365</v>
      </c>
      <c r="B304" t="s">
        <v>1818</v>
      </c>
      <c r="C304" t="s">
        <v>1863</v>
      </c>
      <c r="D304" t="s">
        <v>1864</v>
      </c>
      <c r="E304" t="s">
        <v>1411</v>
      </c>
      <c r="F304" s="5">
        <v>259.89999999999998</v>
      </c>
      <c r="G304" t="s">
        <v>1849</v>
      </c>
      <c r="H304" s="3">
        <v>20</v>
      </c>
      <c r="I304" s="3">
        <v>15</v>
      </c>
      <c r="J304" s="3">
        <v>15.5</v>
      </c>
      <c r="K304" s="3">
        <v>1.1000000000000001</v>
      </c>
      <c r="L304">
        <f t="shared" si="40"/>
        <v>4.6499999999999996E-3</v>
      </c>
      <c r="M304">
        <f>L304*N304</f>
        <v>2.976</v>
      </c>
      <c r="N304" s="8">
        <v>640</v>
      </c>
      <c r="O304" s="14">
        <f t="shared" si="41"/>
        <v>166336</v>
      </c>
      <c r="P304" s="8">
        <v>30</v>
      </c>
      <c r="Q304" s="8">
        <f t="shared" si="42"/>
        <v>21.333333333333332</v>
      </c>
      <c r="R304" s="8">
        <f t="shared" si="43"/>
        <v>640</v>
      </c>
      <c r="S304" s="8">
        <f t="shared" si="44"/>
        <v>661.33333333333337</v>
      </c>
      <c r="T304" s="17">
        <f t="shared" si="38"/>
        <v>123.11700615821886</v>
      </c>
      <c r="U304" s="19">
        <f t="shared" si="48"/>
        <v>13231.886324609191</v>
      </c>
      <c r="V304" s="27" t="s">
        <v>2982</v>
      </c>
    </row>
    <row r="305" spans="1:22" ht="15" customHeight="1" x14ac:dyDescent="0.25">
      <c r="A305" t="s">
        <v>365</v>
      </c>
      <c r="B305" t="s">
        <v>1791</v>
      </c>
      <c r="C305" t="s">
        <v>366</v>
      </c>
      <c r="D305" t="s">
        <v>371</v>
      </c>
      <c r="E305" t="s">
        <v>234</v>
      </c>
      <c r="F305" s="5">
        <v>869</v>
      </c>
      <c r="G305" t="s">
        <v>368</v>
      </c>
      <c r="H305" s="3">
        <v>92.9</v>
      </c>
      <c r="I305" s="3">
        <v>59.1</v>
      </c>
      <c r="J305" s="3">
        <v>51.2</v>
      </c>
      <c r="K305" s="3">
        <v>25</v>
      </c>
      <c r="L305">
        <f t="shared" si="40"/>
        <v>0.28110796800000004</v>
      </c>
      <c r="M305">
        <f>L305*N305</f>
        <v>53.410513920000007</v>
      </c>
      <c r="N305" s="8">
        <v>190</v>
      </c>
      <c r="O305" s="14">
        <f t="shared" si="41"/>
        <v>165110</v>
      </c>
      <c r="P305" s="8">
        <v>40</v>
      </c>
      <c r="Q305" s="8">
        <f t="shared" si="42"/>
        <v>4.75</v>
      </c>
      <c r="R305" s="8">
        <f t="shared" si="43"/>
        <v>253.33333333333331</v>
      </c>
      <c r="S305" s="8">
        <f t="shared" si="44"/>
        <v>258.08333333333331</v>
      </c>
      <c r="T305" s="17">
        <f t="shared" si="38"/>
        <v>122.20955708195169</v>
      </c>
      <c r="U305" s="19">
        <f t="shared" si="48"/>
        <v>13354.095881691142</v>
      </c>
      <c r="V305" s="27" t="s">
        <v>2982</v>
      </c>
    </row>
    <row r="306" spans="1:22" ht="15" customHeight="1" x14ac:dyDescent="0.25">
      <c r="A306" t="s">
        <v>365</v>
      </c>
      <c r="B306" t="s">
        <v>303</v>
      </c>
      <c r="C306" t="s">
        <v>1775</v>
      </c>
      <c r="D306" t="s">
        <v>1777</v>
      </c>
      <c r="E306" t="s">
        <v>234</v>
      </c>
      <c r="F306" s="5">
        <v>129</v>
      </c>
      <c r="G306" t="s">
        <v>304</v>
      </c>
      <c r="H306" s="3">
        <v>4.5</v>
      </c>
      <c r="I306" s="3">
        <v>4</v>
      </c>
      <c r="J306" s="3">
        <v>30</v>
      </c>
      <c r="K306" s="3">
        <v>0.46300000000000002</v>
      </c>
      <c r="L306">
        <f t="shared" si="40"/>
        <v>5.4000000000000001E-4</v>
      </c>
      <c r="M306">
        <f>L306*N306</f>
        <v>0.56159999999999999</v>
      </c>
      <c r="N306" s="8">
        <v>1040</v>
      </c>
      <c r="O306" s="14">
        <f t="shared" si="41"/>
        <v>134160</v>
      </c>
      <c r="P306" s="8">
        <v>10</v>
      </c>
      <c r="Q306" s="8">
        <f t="shared" si="42"/>
        <v>104</v>
      </c>
      <c r="R306" s="8">
        <f t="shared" si="43"/>
        <v>346.66666666666663</v>
      </c>
      <c r="S306" s="8">
        <f t="shared" si="44"/>
        <v>450.66666666666663</v>
      </c>
      <c r="T306" s="17">
        <f t="shared" si="38"/>
        <v>99.30127901468498</v>
      </c>
      <c r="U306" s="19">
        <f t="shared" si="48"/>
        <v>13453.397160705828</v>
      </c>
      <c r="V306" s="27" t="s">
        <v>2982</v>
      </c>
    </row>
    <row r="307" spans="1:22" ht="15" customHeight="1" x14ac:dyDescent="0.25">
      <c r="A307" t="s">
        <v>365</v>
      </c>
      <c r="B307" t="s">
        <v>1791</v>
      </c>
      <c r="C307" t="s">
        <v>386</v>
      </c>
      <c r="D307" t="s">
        <v>1794</v>
      </c>
      <c r="E307" t="s">
        <v>234</v>
      </c>
      <c r="F307" s="5">
        <v>999</v>
      </c>
      <c r="G307" t="s">
        <v>388</v>
      </c>
      <c r="H307" s="3">
        <v>71.5</v>
      </c>
      <c r="I307" s="3">
        <v>81.5</v>
      </c>
      <c r="J307" s="3">
        <v>51</v>
      </c>
      <c r="K307" s="3">
        <v>84</v>
      </c>
      <c r="L307">
        <f t="shared" si="40"/>
        <v>0.29718974999999997</v>
      </c>
      <c r="M307">
        <f>N307*L307</f>
        <v>38.634667499999999</v>
      </c>
      <c r="N307" s="8">
        <v>130</v>
      </c>
      <c r="O307" s="14">
        <f t="shared" si="41"/>
        <v>129870</v>
      </c>
      <c r="P307" s="8">
        <v>40</v>
      </c>
      <c r="Q307" s="8">
        <f t="shared" si="42"/>
        <v>3.25</v>
      </c>
      <c r="R307" s="8">
        <f t="shared" si="43"/>
        <v>173.33333333333331</v>
      </c>
      <c r="S307" s="8">
        <f t="shared" si="44"/>
        <v>176.58333333333331</v>
      </c>
      <c r="T307" s="17">
        <f t="shared" si="38"/>
        <v>96.125947418285179</v>
      </c>
      <c r="U307" s="19">
        <f t="shared" si="48"/>
        <v>13549.523108124113</v>
      </c>
      <c r="V307" s="27" t="s">
        <v>2982</v>
      </c>
    </row>
    <row r="308" spans="1:22" ht="15" customHeight="1" x14ac:dyDescent="0.25">
      <c r="A308" t="s">
        <v>365</v>
      </c>
      <c r="B308" t="s">
        <v>303</v>
      </c>
      <c r="C308" t="s">
        <v>1780</v>
      </c>
      <c r="D308" t="s">
        <v>1783</v>
      </c>
      <c r="E308" t="s">
        <v>234</v>
      </c>
      <c r="F308" s="5">
        <v>89.1</v>
      </c>
      <c r="G308" t="s">
        <v>306</v>
      </c>
      <c r="H308" s="3">
        <v>20</v>
      </c>
      <c r="I308" s="3">
        <v>7</v>
      </c>
      <c r="J308" s="3">
        <v>15</v>
      </c>
      <c r="K308" s="3">
        <v>0.32300000000000001</v>
      </c>
      <c r="L308">
        <f t="shared" si="40"/>
        <v>2.0999999999999999E-3</v>
      </c>
      <c r="M308">
        <f>L308*N308</f>
        <v>3.024</v>
      </c>
      <c r="N308" s="8">
        <v>1440</v>
      </c>
      <c r="O308" s="14">
        <f t="shared" si="41"/>
        <v>128303.99999999999</v>
      </c>
      <c r="P308" s="8">
        <v>10</v>
      </c>
      <c r="Q308" s="8">
        <f t="shared" si="42"/>
        <v>144</v>
      </c>
      <c r="R308" s="8">
        <f t="shared" si="43"/>
        <v>480</v>
      </c>
      <c r="S308" s="8">
        <f t="shared" si="44"/>
        <v>624</v>
      </c>
      <c r="T308" s="17">
        <f t="shared" si="38"/>
        <v>94.966840360018935</v>
      </c>
      <c r="U308" s="19">
        <f t="shared" si="48"/>
        <v>13644.489948484132</v>
      </c>
      <c r="V308" s="27" t="s">
        <v>2982</v>
      </c>
    </row>
    <row r="309" spans="1:22" ht="15" customHeight="1" x14ac:dyDescent="0.25">
      <c r="A309" t="s">
        <v>365</v>
      </c>
      <c r="B309" t="s">
        <v>303</v>
      </c>
      <c r="C309" t="s">
        <v>1775</v>
      </c>
      <c r="D309" t="s">
        <v>1778</v>
      </c>
      <c r="E309" t="s">
        <v>234</v>
      </c>
      <c r="F309" s="5">
        <v>89</v>
      </c>
      <c r="G309" t="s">
        <v>304</v>
      </c>
      <c r="H309" s="3">
        <v>4.5</v>
      </c>
      <c r="I309" s="3">
        <v>4</v>
      </c>
      <c r="J309" s="3">
        <v>30</v>
      </c>
      <c r="K309" s="3">
        <v>0.46300000000000002</v>
      </c>
      <c r="L309">
        <f t="shared" si="40"/>
        <v>5.4000000000000001E-4</v>
      </c>
      <c r="M309">
        <f>L309*N309</f>
        <v>0.77759999999999996</v>
      </c>
      <c r="N309" s="8">
        <v>1440</v>
      </c>
      <c r="O309" s="14">
        <f t="shared" si="41"/>
        <v>128160</v>
      </c>
      <c r="P309" s="8">
        <v>10</v>
      </c>
      <c r="Q309" s="8">
        <f t="shared" si="42"/>
        <v>144</v>
      </c>
      <c r="R309" s="8">
        <f t="shared" si="43"/>
        <v>480</v>
      </c>
      <c r="S309" s="8">
        <f t="shared" si="44"/>
        <v>624</v>
      </c>
      <c r="T309" s="17">
        <f t="shared" ref="T309:T372" si="49">O309/O$1749</f>
        <v>94.860255802937004</v>
      </c>
      <c r="U309" s="19">
        <f t="shared" si="48"/>
        <v>13739.35020428707</v>
      </c>
      <c r="V309" s="27" t="s">
        <v>2982</v>
      </c>
    </row>
    <row r="310" spans="1:22" ht="15" customHeight="1" x14ac:dyDescent="0.25">
      <c r="A310" t="s">
        <v>365</v>
      </c>
      <c r="B310" t="s">
        <v>1315</v>
      </c>
      <c r="C310" t="s">
        <v>1330</v>
      </c>
      <c r="D310" t="s">
        <v>1809</v>
      </c>
      <c r="E310" t="s">
        <v>13</v>
      </c>
      <c r="F310" s="5">
        <v>3519</v>
      </c>
      <c r="G310" t="s">
        <v>359</v>
      </c>
      <c r="H310" s="3">
        <v>107</v>
      </c>
      <c r="I310" s="3">
        <v>84</v>
      </c>
      <c r="J310" s="3">
        <v>74</v>
      </c>
      <c r="K310" s="3">
        <v>61</v>
      </c>
      <c r="L310">
        <f t="shared" si="40"/>
        <v>0.66511200000000004</v>
      </c>
      <c r="M310">
        <f>L310*N310</f>
        <v>23.278920000000003</v>
      </c>
      <c r="N310" s="8">
        <v>35</v>
      </c>
      <c r="O310" s="14">
        <f t="shared" si="41"/>
        <v>123165</v>
      </c>
      <c r="P310" s="8">
        <v>30</v>
      </c>
      <c r="Q310" s="8">
        <f t="shared" si="42"/>
        <v>1.1666666666666667</v>
      </c>
      <c r="R310" s="8">
        <f t="shared" si="43"/>
        <v>35</v>
      </c>
      <c r="S310" s="8">
        <f t="shared" si="44"/>
        <v>36.166666666666664</v>
      </c>
      <c r="T310" s="17">
        <f t="shared" si="49"/>
        <v>91.163103979156801</v>
      </c>
      <c r="U310" s="19">
        <f t="shared" si="48"/>
        <v>13830.513308266227</v>
      </c>
      <c r="V310" s="27" t="s">
        <v>2982</v>
      </c>
    </row>
    <row r="311" spans="1:22" ht="15" customHeight="1" x14ac:dyDescent="0.25">
      <c r="A311" t="s">
        <v>365</v>
      </c>
      <c r="B311" t="s">
        <v>1791</v>
      </c>
      <c r="C311" t="s">
        <v>366</v>
      </c>
      <c r="D311" t="s">
        <v>374</v>
      </c>
      <c r="E311" t="s">
        <v>234</v>
      </c>
      <c r="F311" s="5">
        <v>999</v>
      </c>
      <c r="G311" t="s">
        <v>368</v>
      </c>
      <c r="H311" s="3">
        <v>91.5</v>
      </c>
      <c r="I311" s="3">
        <v>62.2</v>
      </c>
      <c r="J311" s="3">
        <v>52.2</v>
      </c>
      <c r="K311" s="3">
        <v>34.5</v>
      </c>
      <c r="L311">
        <f t="shared" si="40"/>
        <v>0.29708585999999998</v>
      </c>
      <c r="M311">
        <f>N311*L311</f>
        <v>35.650303199999996</v>
      </c>
      <c r="N311" s="8">
        <v>120</v>
      </c>
      <c r="O311" s="14">
        <f t="shared" si="41"/>
        <v>119880</v>
      </c>
      <c r="P311" s="8">
        <v>40</v>
      </c>
      <c r="Q311" s="8">
        <f t="shared" si="42"/>
        <v>3</v>
      </c>
      <c r="R311" s="8">
        <f t="shared" si="43"/>
        <v>160</v>
      </c>
      <c r="S311" s="8">
        <f t="shared" si="44"/>
        <v>163</v>
      </c>
      <c r="T311" s="17">
        <f t="shared" si="49"/>
        <v>88.731643770724773</v>
      </c>
      <c r="U311" s="19">
        <f t="shared" si="48"/>
        <v>13919.244952036952</v>
      </c>
      <c r="V311" s="27" t="s">
        <v>2982</v>
      </c>
    </row>
    <row r="312" spans="1:22" ht="15" customHeight="1" x14ac:dyDescent="0.25">
      <c r="A312" t="s">
        <v>365</v>
      </c>
      <c r="B312" t="s">
        <v>1790</v>
      </c>
      <c r="C312" t="s">
        <v>336</v>
      </c>
      <c r="D312" t="s">
        <v>337</v>
      </c>
      <c r="E312" t="s">
        <v>480</v>
      </c>
      <c r="F312" s="5">
        <v>146.19149999999999</v>
      </c>
      <c r="G312" t="s">
        <v>307</v>
      </c>
      <c r="H312" s="3">
        <v>65</v>
      </c>
      <c r="I312" s="3">
        <v>32</v>
      </c>
      <c r="J312" s="3">
        <v>50</v>
      </c>
      <c r="K312" s="3">
        <v>8.3000000000000007</v>
      </c>
      <c r="L312">
        <f t="shared" si="40"/>
        <v>0.104</v>
      </c>
      <c r="M312">
        <f>L312*N312</f>
        <v>83.2</v>
      </c>
      <c r="N312" s="8">
        <v>800</v>
      </c>
      <c r="O312" s="14">
        <f t="shared" si="41"/>
        <v>116953.2</v>
      </c>
      <c r="P312" s="8">
        <v>40</v>
      </c>
      <c r="Q312" s="8">
        <f t="shared" si="42"/>
        <v>20</v>
      </c>
      <c r="R312" s="8">
        <f t="shared" si="43"/>
        <v>1066.6666666666667</v>
      </c>
      <c r="S312" s="8">
        <f t="shared" si="44"/>
        <v>1086.6666666666667</v>
      </c>
      <c r="T312" s="17">
        <f t="shared" si="49"/>
        <v>86.565312648034109</v>
      </c>
      <c r="U312" s="19">
        <f t="shared" si="48"/>
        <v>14005.810264684986</v>
      </c>
      <c r="V312" s="27" t="s">
        <v>2982</v>
      </c>
    </row>
    <row r="313" spans="1:22" ht="15" customHeight="1" x14ac:dyDescent="0.25">
      <c r="A313" t="s">
        <v>365</v>
      </c>
      <c r="B313" t="s">
        <v>1791</v>
      </c>
      <c r="C313" t="s">
        <v>366</v>
      </c>
      <c r="D313" t="s">
        <v>372</v>
      </c>
      <c r="E313" t="s">
        <v>234</v>
      </c>
      <c r="F313" s="5">
        <v>969</v>
      </c>
      <c r="G313" t="s">
        <v>368</v>
      </c>
      <c r="H313" s="3">
        <v>91.5</v>
      </c>
      <c r="I313" s="3">
        <v>62.2</v>
      </c>
      <c r="J313" s="3">
        <v>52.2</v>
      </c>
      <c r="K313" s="3">
        <v>34.5</v>
      </c>
      <c r="L313">
        <f t="shared" si="40"/>
        <v>0.29708585999999998</v>
      </c>
      <c r="M313">
        <f>N313*L313</f>
        <v>35.650303199999996</v>
      </c>
      <c r="N313" s="8">
        <v>120</v>
      </c>
      <c r="O313" s="14">
        <f t="shared" si="41"/>
        <v>116280</v>
      </c>
      <c r="P313" s="8">
        <v>40</v>
      </c>
      <c r="Q313" s="8">
        <f t="shared" si="42"/>
        <v>3</v>
      </c>
      <c r="R313" s="8">
        <f t="shared" si="43"/>
        <v>160</v>
      </c>
      <c r="S313" s="8">
        <f t="shared" si="44"/>
        <v>163</v>
      </c>
      <c r="T313" s="17">
        <f t="shared" si="49"/>
        <v>86.067029843675982</v>
      </c>
      <c r="U313" s="19">
        <f t="shared" si="48"/>
        <v>14091.877294528662</v>
      </c>
      <c r="V313" s="27" t="s">
        <v>2982</v>
      </c>
    </row>
    <row r="314" spans="1:22" ht="15" customHeight="1" x14ac:dyDescent="0.25">
      <c r="A314" t="s">
        <v>365</v>
      </c>
      <c r="B314" t="s">
        <v>1791</v>
      </c>
      <c r="C314" t="s">
        <v>379</v>
      </c>
      <c r="D314" t="s">
        <v>380</v>
      </c>
      <c r="E314" t="s">
        <v>234</v>
      </c>
      <c r="F314" s="5">
        <v>319</v>
      </c>
      <c r="G314" t="s">
        <v>368</v>
      </c>
      <c r="H314" s="3">
        <v>8.5</v>
      </c>
      <c r="I314" s="3">
        <v>35.5</v>
      </c>
      <c r="J314" s="3">
        <v>30</v>
      </c>
      <c r="K314" s="3">
        <v>3</v>
      </c>
      <c r="L314">
        <f t="shared" si="40"/>
        <v>9.0524999999999998E-3</v>
      </c>
      <c r="M314">
        <f>L314*N314</f>
        <v>3.1683749999999997</v>
      </c>
      <c r="N314" s="8">
        <v>350</v>
      </c>
      <c r="O314" s="14">
        <f t="shared" si="41"/>
        <v>111650</v>
      </c>
      <c r="P314" s="8">
        <v>40</v>
      </c>
      <c r="Q314" s="8">
        <f t="shared" si="42"/>
        <v>8.75</v>
      </c>
      <c r="R314" s="8">
        <f t="shared" si="43"/>
        <v>466.66666666666663</v>
      </c>
      <c r="S314" s="8">
        <f t="shared" si="44"/>
        <v>475.41666666666663</v>
      </c>
      <c r="T314" s="17">
        <f t="shared" si="49"/>
        <v>82.640040265277122</v>
      </c>
      <c r="U314" s="19">
        <f t="shared" si="48"/>
        <v>14174.51733479394</v>
      </c>
      <c r="V314" s="27" t="s">
        <v>2982</v>
      </c>
    </row>
    <row r="315" spans="1:22" ht="15" customHeight="1" x14ac:dyDescent="0.25">
      <c r="A315" t="s">
        <v>365</v>
      </c>
      <c r="B315" t="s">
        <v>1791</v>
      </c>
      <c r="C315" t="s">
        <v>366</v>
      </c>
      <c r="D315" t="s">
        <v>375</v>
      </c>
      <c r="E315" t="s">
        <v>234</v>
      </c>
      <c r="F315" s="5">
        <v>879</v>
      </c>
      <c r="G315" t="s">
        <v>368</v>
      </c>
      <c r="H315" s="3">
        <v>91.5</v>
      </c>
      <c r="I315" s="3">
        <v>62.2</v>
      </c>
      <c r="J315" s="3">
        <v>52.2</v>
      </c>
      <c r="K315" s="3">
        <v>34.5</v>
      </c>
      <c r="L315">
        <f t="shared" si="40"/>
        <v>0.29708585999999998</v>
      </c>
      <c r="M315">
        <f>N315*L315</f>
        <v>35.650303199999996</v>
      </c>
      <c r="N315" s="8">
        <v>120</v>
      </c>
      <c r="O315" s="14">
        <f t="shared" si="41"/>
        <v>105480</v>
      </c>
      <c r="P315" s="8">
        <v>40</v>
      </c>
      <c r="Q315" s="8">
        <f t="shared" si="42"/>
        <v>3</v>
      </c>
      <c r="R315" s="8">
        <f t="shared" si="43"/>
        <v>160</v>
      </c>
      <c r="S315" s="8">
        <f t="shared" si="44"/>
        <v>163</v>
      </c>
      <c r="T315" s="17">
        <f t="shared" si="49"/>
        <v>78.07318806252961</v>
      </c>
      <c r="U315" s="19">
        <f t="shared" si="48"/>
        <v>14252.59052285647</v>
      </c>
      <c r="V315" s="27" t="s">
        <v>2982</v>
      </c>
    </row>
    <row r="316" spans="1:22" ht="15" customHeight="1" x14ac:dyDescent="0.25">
      <c r="A316" t="s">
        <v>365</v>
      </c>
      <c r="B316" t="s">
        <v>1790</v>
      </c>
      <c r="C316" t="s">
        <v>352</v>
      </c>
      <c r="D316" t="s">
        <v>353</v>
      </c>
      <c r="E316" t="s">
        <v>480</v>
      </c>
      <c r="F316" s="5">
        <v>87.691500000000005</v>
      </c>
      <c r="G316" t="s">
        <v>364</v>
      </c>
      <c r="H316" s="3">
        <v>25</v>
      </c>
      <c r="I316" s="3">
        <v>45</v>
      </c>
      <c r="J316" s="3">
        <v>45</v>
      </c>
      <c r="K316" s="3">
        <v>8.1999999999999993</v>
      </c>
      <c r="L316">
        <f t="shared" si="40"/>
        <v>5.0625000000000003E-2</v>
      </c>
      <c r="M316">
        <f>L316*N316</f>
        <v>60.750000000000007</v>
      </c>
      <c r="N316" s="8">
        <v>1200</v>
      </c>
      <c r="O316" s="14">
        <f t="shared" si="41"/>
        <v>105229.8</v>
      </c>
      <c r="P316" s="8">
        <v>40</v>
      </c>
      <c r="Q316" s="8">
        <f t="shared" si="42"/>
        <v>30</v>
      </c>
      <c r="R316" s="8">
        <f t="shared" si="43"/>
        <v>1600</v>
      </c>
      <c r="S316" s="8">
        <f t="shared" si="44"/>
        <v>1630</v>
      </c>
      <c r="T316" s="17">
        <f t="shared" si="49"/>
        <v>77.887997394599722</v>
      </c>
      <c r="U316" s="19">
        <f t="shared" si="48"/>
        <v>14330.47852025107</v>
      </c>
      <c r="V316" s="27" t="s">
        <v>2982</v>
      </c>
    </row>
    <row r="317" spans="1:22" ht="15" customHeight="1" x14ac:dyDescent="0.25">
      <c r="A317" t="s">
        <v>365</v>
      </c>
      <c r="B317" t="s">
        <v>1791</v>
      </c>
      <c r="C317" t="s">
        <v>366</v>
      </c>
      <c r="D317" t="s">
        <v>373</v>
      </c>
      <c r="E317" t="s">
        <v>234</v>
      </c>
      <c r="F317" s="5">
        <v>969</v>
      </c>
      <c r="G317" t="s">
        <v>368</v>
      </c>
      <c r="H317" s="3">
        <v>93.3</v>
      </c>
      <c r="I317" s="3">
        <v>62.2</v>
      </c>
      <c r="J317" s="3">
        <v>52.2</v>
      </c>
      <c r="K317" s="3">
        <v>34.5</v>
      </c>
      <c r="L317">
        <f t="shared" si="40"/>
        <v>0.302930172</v>
      </c>
      <c r="M317">
        <f>N317*L317</f>
        <v>31.807668060000001</v>
      </c>
      <c r="N317" s="8">
        <v>105</v>
      </c>
      <c r="O317" s="14">
        <f t="shared" si="41"/>
        <v>101745</v>
      </c>
      <c r="P317" s="8">
        <v>40</v>
      </c>
      <c r="Q317" s="8">
        <f t="shared" si="42"/>
        <v>2.625</v>
      </c>
      <c r="R317" s="8">
        <f t="shared" si="43"/>
        <v>140</v>
      </c>
      <c r="S317" s="8">
        <f t="shared" si="44"/>
        <v>142.625</v>
      </c>
      <c r="T317" s="17">
        <f t="shared" si="49"/>
        <v>75.308651113216484</v>
      </c>
      <c r="U317" s="19">
        <f t="shared" si="48"/>
        <v>14405.787171364287</v>
      </c>
      <c r="V317" s="27" t="s">
        <v>2982</v>
      </c>
    </row>
    <row r="318" spans="1:22" ht="15" customHeight="1" x14ac:dyDescent="0.25">
      <c r="A318" t="s">
        <v>365</v>
      </c>
      <c r="B318" t="s">
        <v>1790</v>
      </c>
      <c r="C318" t="s">
        <v>350</v>
      </c>
      <c r="D318" t="s">
        <v>351</v>
      </c>
      <c r="E318" t="s">
        <v>480</v>
      </c>
      <c r="F318" s="5">
        <v>116.9415</v>
      </c>
      <c r="G318" t="s">
        <v>364</v>
      </c>
      <c r="H318" s="3">
        <v>25</v>
      </c>
      <c r="I318" s="3">
        <v>45</v>
      </c>
      <c r="J318" s="3">
        <v>45</v>
      </c>
      <c r="K318" s="3">
        <v>8.6</v>
      </c>
      <c r="L318">
        <f t="shared" si="40"/>
        <v>5.0625000000000003E-2</v>
      </c>
      <c r="M318">
        <f>L318*N318</f>
        <v>40.5</v>
      </c>
      <c r="N318" s="8">
        <v>800</v>
      </c>
      <c r="O318" s="14">
        <f t="shared" si="41"/>
        <v>93553.2</v>
      </c>
      <c r="P318" s="8">
        <v>40</v>
      </c>
      <c r="Q318" s="8">
        <f t="shared" si="42"/>
        <v>20</v>
      </c>
      <c r="R318" s="8">
        <f t="shared" si="43"/>
        <v>1066.6666666666667</v>
      </c>
      <c r="S318" s="8">
        <f t="shared" si="44"/>
        <v>1086.6666666666667</v>
      </c>
      <c r="T318" s="17">
        <f t="shared" si="49"/>
        <v>69.245322122216962</v>
      </c>
      <c r="U318" s="19">
        <f t="shared" si="48"/>
        <v>14475.032493486504</v>
      </c>
      <c r="V318" s="27" t="s">
        <v>2982</v>
      </c>
    </row>
    <row r="319" spans="1:22" ht="15" customHeight="1" x14ac:dyDescent="0.25">
      <c r="A319" t="s">
        <v>365</v>
      </c>
      <c r="B319" t="s">
        <v>1818</v>
      </c>
      <c r="C319" t="s">
        <v>1852</v>
      </c>
      <c r="D319" t="s">
        <v>1851</v>
      </c>
      <c r="E319" t="s">
        <v>1411</v>
      </c>
      <c r="F319" s="5">
        <v>89.9</v>
      </c>
      <c r="G319" t="s">
        <v>362</v>
      </c>
      <c r="H319" s="3">
        <v>10</v>
      </c>
      <c r="I319" s="3">
        <v>23</v>
      </c>
      <c r="J319" s="3">
        <v>22</v>
      </c>
      <c r="K319" s="3">
        <v>1.3</v>
      </c>
      <c r="L319">
        <f t="shared" si="40"/>
        <v>5.0600000000000003E-3</v>
      </c>
      <c r="M319">
        <f>L319*N319</f>
        <v>5.0600000000000005</v>
      </c>
      <c r="N319" s="8">
        <v>1000</v>
      </c>
      <c r="O319" s="14">
        <f t="shared" si="41"/>
        <v>89900</v>
      </c>
      <c r="P319" s="8">
        <v>30</v>
      </c>
      <c r="Q319" s="8">
        <f t="shared" si="42"/>
        <v>33.333333333333336</v>
      </c>
      <c r="R319" s="8">
        <f t="shared" si="43"/>
        <v>1000.0000000000001</v>
      </c>
      <c r="S319" s="8">
        <f t="shared" si="44"/>
        <v>1033.3333333333335</v>
      </c>
      <c r="T319" s="17">
        <f t="shared" si="49"/>
        <v>66.541331122690664</v>
      </c>
      <c r="U319" s="19">
        <f t="shared" si="48"/>
        <v>14541.573824609195</v>
      </c>
      <c r="V319" s="27" t="s">
        <v>2982</v>
      </c>
    </row>
    <row r="320" spans="1:22" ht="15" customHeight="1" x14ac:dyDescent="0.25">
      <c r="A320" t="s">
        <v>365</v>
      </c>
      <c r="B320" t="s">
        <v>1791</v>
      </c>
      <c r="C320" t="s">
        <v>386</v>
      </c>
      <c r="D320" t="s">
        <v>1793</v>
      </c>
      <c r="E320" t="s">
        <v>234</v>
      </c>
      <c r="F320" s="5">
        <v>679</v>
      </c>
      <c r="G320" t="s">
        <v>388</v>
      </c>
      <c r="H320" s="3">
        <v>58</v>
      </c>
      <c r="I320" s="3">
        <v>68</v>
      </c>
      <c r="J320" s="3">
        <v>53</v>
      </c>
      <c r="K320" s="3">
        <v>69</v>
      </c>
      <c r="L320">
        <f t="shared" si="40"/>
        <v>0.209032</v>
      </c>
      <c r="M320">
        <f>N320*L320</f>
        <v>27.174160000000001</v>
      </c>
      <c r="N320" s="8">
        <v>130</v>
      </c>
      <c r="O320" s="14">
        <f t="shared" si="41"/>
        <v>88270</v>
      </c>
      <c r="P320" s="8">
        <v>40</v>
      </c>
      <c r="Q320" s="8">
        <f t="shared" si="42"/>
        <v>3.25</v>
      </c>
      <c r="R320" s="8">
        <f t="shared" si="43"/>
        <v>173.33333333333331</v>
      </c>
      <c r="S320" s="8">
        <f t="shared" si="44"/>
        <v>176.58333333333331</v>
      </c>
      <c r="T320" s="17">
        <f t="shared" si="49"/>
        <v>65.334853150165799</v>
      </c>
      <c r="U320" s="19">
        <f t="shared" si="48"/>
        <v>14606.90867775936</v>
      </c>
      <c r="V320" s="27" t="s">
        <v>2982</v>
      </c>
    </row>
    <row r="321" spans="1:22" ht="15" customHeight="1" x14ac:dyDescent="0.25">
      <c r="A321" t="s">
        <v>365</v>
      </c>
      <c r="B321" t="s">
        <v>1791</v>
      </c>
      <c r="C321" t="s">
        <v>379</v>
      </c>
      <c r="D321" t="s">
        <v>384</v>
      </c>
      <c r="E321" t="s">
        <v>234</v>
      </c>
      <c r="F321" s="5">
        <v>2349</v>
      </c>
      <c r="G321" t="s">
        <v>368</v>
      </c>
      <c r="H321" s="3">
        <v>6.5</v>
      </c>
      <c r="I321" s="3">
        <v>52</v>
      </c>
      <c r="J321" s="3">
        <v>78</v>
      </c>
      <c r="K321" s="3">
        <v>11.1</v>
      </c>
      <c r="L321">
        <f t="shared" si="40"/>
        <v>2.6363999999999999E-2</v>
      </c>
      <c r="M321">
        <f>L321*N321</f>
        <v>0.92273999999999989</v>
      </c>
      <c r="N321" s="8">
        <v>35</v>
      </c>
      <c r="O321" s="14">
        <f t="shared" si="41"/>
        <v>82215</v>
      </c>
      <c r="P321" s="8">
        <v>40</v>
      </c>
      <c r="Q321" s="8">
        <f t="shared" si="42"/>
        <v>0.875</v>
      </c>
      <c r="R321" s="8">
        <f t="shared" si="43"/>
        <v>46.666666666666671</v>
      </c>
      <c r="S321" s="8">
        <f t="shared" si="44"/>
        <v>47.541666666666671</v>
      </c>
      <c r="T321" s="17">
        <f t="shared" si="49"/>
        <v>60.853120558976791</v>
      </c>
      <c r="U321" s="19">
        <f t="shared" si="48"/>
        <v>14667.761798318337</v>
      </c>
      <c r="V321" s="27" t="s">
        <v>2982</v>
      </c>
    </row>
    <row r="322" spans="1:22" ht="15" customHeight="1" x14ac:dyDescent="0.25">
      <c r="A322" t="s">
        <v>365</v>
      </c>
      <c r="B322" t="s">
        <v>1818</v>
      </c>
      <c r="C322" t="s">
        <v>1850</v>
      </c>
      <c r="D322" t="s">
        <v>1851</v>
      </c>
      <c r="E322" t="s">
        <v>1411</v>
      </c>
      <c r="F322" s="5">
        <v>79.900000000000006</v>
      </c>
      <c r="G322" t="s">
        <v>308</v>
      </c>
      <c r="H322" s="3">
        <v>26</v>
      </c>
      <c r="I322" s="3">
        <v>16</v>
      </c>
      <c r="J322" s="3">
        <v>25</v>
      </c>
      <c r="K322" s="3">
        <v>1.5</v>
      </c>
      <c r="L322">
        <f t="shared" ref="L322:L385" si="50">J322*I322*H322/1000000</f>
        <v>1.04E-2</v>
      </c>
      <c r="M322">
        <f>L322*N322</f>
        <v>10.4</v>
      </c>
      <c r="N322" s="8">
        <v>1000</v>
      </c>
      <c r="O322" s="14">
        <f t="shared" ref="O322:O385" si="51">N322*F322</f>
        <v>79900</v>
      </c>
      <c r="P322" s="8">
        <v>30</v>
      </c>
      <c r="Q322" s="8">
        <f t="shared" ref="Q322:Q385" si="52">N322/P322</f>
        <v>33.333333333333336</v>
      </c>
      <c r="R322" s="8">
        <f t="shared" ref="R322:R385" si="53">(N322/30)*P322</f>
        <v>1000.0000000000001</v>
      </c>
      <c r="S322" s="8">
        <f t="shared" ref="S322:S385" si="54">Q322+R322</f>
        <v>1033.3333333333335</v>
      </c>
      <c r="T322" s="17">
        <f t="shared" si="49"/>
        <v>59.139625769777361</v>
      </c>
      <c r="U322" s="19">
        <f t="shared" si="48"/>
        <v>14726.901424088115</v>
      </c>
      <c r="V322" s="27" t="s">
        <v>2982</v>
      </c>
    </row>
    <row r="323" spans="1:22" ht="15" customHeight="1" x14ac:dyDescent="0.25">
      <c r="A323" t="s">
        <v>365</v>
      </c>
      <c r="B323" t="s">
        <v>1790</v>
      </c>
      <c r="C323" t="s">
        <v>346</v>
      </c>
      <c r="D323" t="s">
        <v>347</v>
      </c>
      <c r="E323" t="s">
        <v>480</v>
      </c>
      <c r="F323" s="5">
        <v>99.391499999999994</v>
      </c>
      <c r="G323" t="s">
        <v>363</v>
      </c>
      <c r="H323" s="3">
        <v>70</v>
      </c>
      <c r="I323" s="3">
        <v>20</v>
      </c>
      <c r="J323" s="3">
        <v>20</v>
      </c>
      <c r="K323" s="3">
        <v>8.4</v>
      </c>
      <c r="L323">
        <f t="shared" si="50"/>
        <v>2.8000000000000001E-2</v>
      </c>
      <c r="M323">
        <f>L323*N323</f>
        <v>22.400000000000002</v>
      </c>
      <c r="N323" s="8">
        <v>800</v>
      </c>
      <c r="O323" s="14">
        <f t="shared" si="51"/>
        <v>79513.2</v>
      </c>
      <c r="P323" s="8">
        <v>40</v>
      </c>
      <c r="Q323" s="8">
        <f t="shared" si="52"/>
        <v>20</v>
      </c>
      <c r="R323" s="8">
        <f t="shared" si="53"/>
        <v>1066.6666666666667</v>
      </c>
      <c r="S323" s="8">
        <f t="shared" si="54"/>
        <v>1086.6666666666667</v>
      </c>
      <c r="T323" s="17">
        <f t="shared" si="49"/>
        <v>58.853327806726668</v>
      </c>
      <c r="U323" s="19">
        <f t="shared" si="48"/>
        <v>14785.754751894841</v>
      </c>
      <c r="V323" s="27" t="s">
        <v>2982</v>
      </c>
    </row>
    <row r="324" spans="1:22" ht="15" customHeight="1" x14ac:dyDescent="0.25">
      <c r="A324" t="s">
        <v>365</v>
      </c>
      <c r="B324" t="s">
        <v>1818</v>
      </c>
      <c r="C324" t="s">
        <v>1842</v>
      </c>
      <c r="D324" t="s">
        <v>1843</v>
      </c>
      <c r="E324" t="s">
        <v>1411</v>
      </c>
      <c r="F324" s="5">
        <v>79</v>
      </c>
      <c r="G324" t="s">
        <v>362</v>
      </c>
      <c r="H324" s="3">
        <v>12.5</v>
      </c>
      <c r="I324" s="3">
        <v>31</v>
      </c>
      <c r="J324" s="3">
        <v>13.5</v>
      </c>
      <c r="K324" s="3">
        <v>1.46</v>
      </c>
      <c r="L324">
        <f t="shared" si="50"/>
        <v>5.2312499999999998E-3</v>
      </c>
      <c r="M324">
        <f>L324*N324</f>
        <v>5.2312500000000002</v>
      </c>
      <c r="N324" s="8">
        <v>1000</v>
      </c>
      <c r="O324" s="14">
        <f t="shared" si="51"/>
        <v>79000</v>
      </c>
      <c r="P324" s="8">
        <v>30</v>
      </c>
      <c r="Q324" s="8">
        <f t="shared" si="52"/>
        <v>33.333333333333336</v>
      </c>
      <c r="R324" s="8">
        <f t="shared" si="53"/>
        <v>1000.0000000000001</v>
      </c>
      <c r="S324" s="8">
        <f t="shared" si="54"/>
        <v>1033.3333333333335</v>
      </c>
      <c r="T324" s="17">
        <f t="shared" si="49"/>
        <v>58.473472288015159</v>
      </c>
      <c r="U324" s="19">
        <f t="shared" si="48"/>
        <v>14844.228224182856</v>
      </c>
      <c r="V324" s="27" t="s">
        <v>2982</v>
      </c>
    </row>
    <row r="325" spans="1:22" ht="15" customHeight="1" x14ac:dyDescent="0.25">
      <c r="A325" t="s">
        <v>365</v>
      </c>
      <c r="B325" t="s">
        <v>1315</v>
      </c>
      <c r="C325" t="s">
        <v>1340</v>
      </c>
      <c r="D325" t="s">
        <v>1816</v>
      </c>
      <c r="E325" t="s">
        <v>13</v>
      </c>
      <c r="F325" s="5">
        <v>298</v>
      </c>
      <c r="G325" t="s">
        <v>1341</v>
      </c>
      <c r="H325" s="3">
        <v>64</v>
      </c>
      <c r="I325" s="3">
        <v>43</v>
      </c>
      <c r="J325" s="3">
        <v>43</v>
      </c>
      <c r="K325" s="3">
        <v>10</v>
      </c>
      <c r="L325">
        <f t="shared" si="50"/>
        <v>0.118336</v>
      </c>
      <c r="M325">
        <f>L325*N325</f>
        <v>30.76736</v>
      </c>
      <c r="N325" s="8">
        <v>260</v>
      </c>
      <c r="O325" s="14">
        <f t="shared" si="51"/>
        <v>77480</v>
      </c>
      <c r="P325" s="8">
        <v>30</v>
      </c>
      <c r="Q325" s="8">
        <f t="shared" si="52"/>
        <v>8.6666666666666661</v>
      </c>
      <c r="R325" s="8">
        <f t="shared" si="53"/>
        <v>260</v>
      </c>
      <c r="S325" s="8">
        <f t="shared" si="54"/>
        <v>268.66666666666669</v>
      </c>
      <c r="T325" s="17">
        <f t="shared" si="49"/>
        <v>57.348413074372338</v>
      </c>
      <c r="U325" s="19">
        <f t="shared" si="48"/>
        <v>14901.576637257229</v>
      </c>
      <c r="V325" s="29" t="s">
        <v>2983</v>
      </c>
    </row>
    <row r="326" spans="1:22" ht="15" customHeight="1" x14ac:dyDescent="0.25">
      <c r="A326" t="s">
        <v>365</v>
      </c>
      <c r="B326" t="s">
        <v>1791</v>
      </c>
      <c r="C326" t="s">
        <v>386</v>
      </c>
      <c r="D326" t="s">
        <v>1792</v>
      </c>
      <c r="E326" t="s">
        <v>234</v>
      </c>
      <c r="F326" s="5">
        <v>629</v>
      </c>
      <c r="G326" t="s">
        <v>387</v>
      </c>
      <c r="H326" s="3">
        <v>71</v>
      </c>
      <c r="I326" s="3">
        <v>55</v>
      </c>
      <c r="J326" s="3">
        <v>55</v>
      </c>
      <c r="K326" s="3">
        <v>45</v>
      </c>
      <c r="L326">
        <f t="shared" si="50"/>
        <v>0.21477499999999999</v>
      </c>
      <c r="M326">
        <f>N326*L326</f>
        <v>25.773</v>
      </c>
      <c r="N326" s="8">
        <v>120</v>
      </c>
      <c r="O326" s="14">
        <f t="shared" si="51"/>
        <v>75480</v>
      </c>
      <c r="P326" s="8">
        <v>40</v>
      </c>
      <c r="Q326" s="8">
        <f t="shared" si="52"/>
        <v>3</v>
      </c>
      <c r="R326" s="8">
        <f t="shared" si="53"/>
        <v>160</v>
      </c>
      <c r="S326" s="8">
        <f t="shared" si="54"/>
        <v>163</v>
      </c>
      <c r="T326" s="17">
        <f t="shared" si="49"/>
        <v>55.868072003789678</v>
      </c>
      <c r="U326" s="19">
        <f t="shared" si="48"/>
        <v>14957.444709261019</v>
      </c>
      <c r="V326" s="29" t="s">
        <v>2983</v>
      </c>
    </row>
    <row r="327" spans="1:22" ht="15" customHeight="1" x14ac:dyDescent="0.25">
      <c r="A327" t="s">
        <v>365</v>
      </c>
      <c r="B327" t="s">
        <v>1818</v>
      </c>
      <c r="C327" t="s">
        <v>1836</v>
      </c>
      <c r="D327" t="s">
        <v>1837</v>
      </c>
      <c r="E327" t="s">
        <v>1411</v>
      </c>
      <c r="F327" s="5">
        <v>74.900000000000006</v>
      </c>
      <c r="G327" t="s">
        <v>1343</v>
      </c>
      <c r="H327" s="3">
        <v>35</v>
      </c>
      <c r="I327" s="3">
        <v>22</v>
      </c>
      <c r="J327" s="3">
        <v>32</v>
      </c>
      <c r="K327" s="3">
        <v>1.35</v>
      </c>
      <c r="L327">
        <f t="shared" si="50"/>
        <v>2.4639999999999999E-2</v>
      </c>
      <c r="M327">
        <f>L327*N327</f>
        <v>24.639999999999997</v>
      </c>
      <c r="N327" s="8">
        <v>1000</v>
      </c>
      <c r="O327" s="14">
        <f t="shared" si="51"/>
        <v>74900</v>
      </c>
      <c r="P327" s="8">
        <v>30</v>
      </c>
      <c r="Q327" s="8">
        <f t="shared" si="52"/>
        <v>33.333333333333336</v>
      </c>
      <c r="R327" s="8">
        <f t="shared" si="53"/>
        <v>1000.0000000000001</v>
      </c>
      <c r="S327" s="8">
        <f t="shared" si="54"/>
        <v>1033.3333333333335</v>
      </c>
      <c r="T327" s="17">
        <f t="shared" si="49"/>
        <v>55.438773093320705</v>
      </c>
      <c r="U327" s="19">
        <f t="shared" si="48"/>
        <v>15012.88348235434</v>
      </c>
      <c r="V327" s="29" t="s">
        <v>2983</v>
      </c>
    </row>
    <row r="328" spans="1:22" ht="15" customHeight="1" x14ac:dyDescent="0.25">
      <c r="A328" t="s">
        <v>365</v>
      </c>
      <c r="B328" t="s">
        <v>1315</v>
      </c>
      <c r="C328" t="s">
        <v>1342</v>
      </c>
      <c r="D328" t="s">
        <v>1817</v>
      </c>
      <c r="E328" t="s">
        <v>13</v>
      </c>
      <c r="F328" s="5">
        <v>262</v>
      </c>
      <c r="G328" t="s">
        <v>1343</v>
      </c>
      <c r="H328" s="3">
        <v>79</v>
      </c>
      <c r="I328" s="3">
        <v>45</v>
      </c>
      <c r="J328" s="3">
        <v>45</v>
      </c>
      <c r="K328" s="3">
        <v>8</v>
      </c>
      <c r="L328">
        <f t="shared" si="50"/>
        <v>0.15997500000000001</v>
      </c>
      <c r="M328">
        <f>L328*N328</f>
        <v>44.792999999999999</v>
      </c>
      <c r="N328" s="8">
        <v>280</v>
      </c>
      <c r="O328" s="14">
        <f t="shared" si="51"/>
        <v>73360</v>
      </c>
      <c r="P328" s="8">
        <v>30</v>
      </c>
      <c r="Q328" s="8">
        <f t="shared" si="52"/>
        <v>9.3333333333333339</v>
      </c>
      <c r="R328" s="8">
        <f t="shared" si="53"/>
        <v>280</v>
      </c>
      <c r="S328" s="8">
        <f t="shared" si="54"/>
        <v>289.33333333333331</v>
      </c>
      <c r="T328" s="17">
        <f t="shared" si="49"/>
        <v>54.298910468972053</v>
      </c>
      <c r="U328" s="19">
        <f t="shared" si="48"/>
        <v>15067.182392823312</v>
      </c>
      <c r="V328" s="29" t="s">
        <v>2983</v>
      </c>
    </row>
    <row r="329" spans="1:22" ht="15" customHeight="1" x14ac:dyDescent="0.25">
      <c r="A329" t="s">
        <v>365</v>
      </c>
      <c r="B329" t="s">
        <v>1818</v>
      </c>
      <c r="C329" t="s">
        <v>1844</v>
      </c>
      <c r="D329" t="s">
        <v>1845</v>
      </c>
      <c r="E329" t="s">
        <v>1411</v>
      </c>
      <c r="F329" s="5">
        <v>69</v>
      </c>
      <c r="G329" t="s">
        <v>368</v>
      </c>
      <c r="H329" s="3">
        <v>15</v>
      </c>
      <c r="I329" s="3">
        <v>11.7</v>
      </c>
      <c r="J329" s="3">
        <v>28</v>
      </c>
      <c r="K329" s="3">
        <v>0.95</v>
      </c>
      <c r="L329">
        <f t="shared" si="50"/>
        <v>4.9139999999999991E-3</v>
      </c>
      <c r="M329">
        <f>L329*N329</f>
        <v>5.1105599999999987</v>
      </c>
      <c r="N329" s="8">
        <v>1040</v>
      </c>
      <c r="O329" s="14">
        <f t="shared" si="51"/>
        <v>71760</v>
      </c>
      <c r="P329" s="8">
        <v>30</v>
      </c>
      <c r="Q329" s="8">
        <f t="shared" si="52"/>
        <v>34.666666666666664</v>
      </c>
      <c r="R329" s="8">
        <f t="shared" si="53"/>
        <v>1040</v>
      </c>
      <c r="S329" s="8">
        <f t="shared" si="54"/>
        <v>1074.6666666666667</v>
      </c>
      <c r="T329" s="17">
        <f t="shared" si="49"/>
        <v>53.114637612505923</v>
      </c>
      <c r="U329" s="19">
        <f t="shared" si="48"/>
        <v>15120.297030435817</v>
      </c>
      <c r="V329" s="29" t="s">
        <v>2983</v>
      </c>
    </row>
    <row r="330" spans="1:22" ht="15" customHeight="1" x14ac:dyDescent="0.25">
      <c r="A330" t="s">
        <v>365</v>
      </c>
      <c r="B330" t="s">
        <v>1790</v>
      </c>
      <c r="C330" t="s">
        <v>338</v>
      </c>
      <c r="D330" t="s">
        <v>339</v>
      </c>
      <c r="E330" t="s">
        <v>480</v>
      </c>
      <c r="F330" s="5">
        <v>181.935</v>
      </c>
      <c r="G330" t="s">
        <v>362</v>
      </c>
      <c r="H330" s="3">
        <v>58</v>
      </c>
      <c r="I330" s="3">
        <v>38</v>
      </c>
      <c r="J330" s="3">
        <v>46</v>
      </c>
      <c r="K330" s="3">
        <v>7.5</v>
      </c>
      <c r="L330">
        <f t="shared" si="50"/>
        <v>0.101384</v>
      </c>
      <c r="M330">
        <f>N330*L330</f>
        <v>35.484400000000001</v>
      </c>
      <c r="N330" s="8">
        <v>350</v>
      </c>
      <c r="O330" s="14">
        <f t="shared" si="51"/>
        <v>63677.25</v>
      </c>
      <c r="P330" s="8">
        <v>40</v>
      </c>
      <c r="Q330" s="8">
        <f t="shared" si="52"/>
        <v>8.75</v>
      </c>
      <c r="R330" s="8">
        <f t="shared" si="53"/>
        <v>466.66666666666663</v>
      </c>
      <c r="S330" s="8">
        <f t="shared" si="54"/>
        <v>475.41666666666663</v>
      </c>
      <c r="T330" s="17">
        <f t="shared" si="49"/>
        <v>47.132024218379918</v>
      </c>
      <c r="U330" s="19">
        <f t="shared" ref="U330:U361" si="55">U329+T330</f>
        <v>15167.429054654196</v>
      </c>
      <c r="V330" s="29" t="s">
        <v>2983</v>
      </c>
    </row>
    <row r="331" spans="1:22" ht="15" customHeight="1" x14ac:dyDescent="0.25">
      <c r="A331" t="s">
        <v>365</v>
      </c>
      <c r="B331" t="s">
        <v>1790</v>
      </c>
      <c r="C331" t="s">
        <v>348</v>
      </c>
      <c r="D331" t="s">
        <v>349</v>
      </c>
      <c r="E331" t="s">
        <v>480</v>
      </c>
      <c r="F331" s="5">
        <v>180.70650000000001</v>
      </c>
      <c r="G331" t="s">
        <v>362</v>
      </c>
      <c r="H331" s="3">
        <v>20</v>
      </c>
      <c r="I331" s="3">
        <v>50</v>
      </c>
      <c r="J331" s="3">
        <v>50</v>
      </c>
      <c r="K331" s="3">
        <v>7.6</v>
      </c>
      <c r="L331">
        <f t="shared" si="50"/>
        <v>0.05</v>
      </c>
      <c r="M331">
        <f>N331*L331</f>
        <v>17.5</v>
      </c>
      <c r="N331" s="8">
        <v>350</v>
      </c>
      <c r="O331" s="14">
        <f t="shared" si="51"/>
        <v>63247.275000000001</v>
      </c>
      <c r="P331" s="8">
        <v>40</v>
      </c>
      <c r="Q331" s="8">
        <f t="shared" si="52"/>
        <v>8.75</v>
      </c>
      <c r="R331" s="8">
        <f t="shared" si="53"/>
        <v>466.66666666666663</v>
      </c>
      <c r="S331" s="8">
        <f t="shared" si="54"/>
        <v>475.41666666666663</v>
      </c>
      <c r="T331" s="17">
        <f t="shared" si="49"/>
        <v>46.813769392468025</v>
      </c>
      <c r="U331" s="19">
        <f t="shared" si="55"/>
        <v>15214.242824046663</v>
      </c>
      <c r="V331" s="29" t="s">
        <v>2983</v>
      </c>
    </row>
    <row r="332" spans="1:22" ht="15" customHeight="1" x14ac:dyDescent="0.25">
      <c r="A332" t="s">
        <v>365</v>
      </c>
      <c r="B332" t="s">
        <v>1315</v>
      </c>
      <c r="C332" t="s">
        <v>1332</v>
      </c>
      <c r="D332" t="s">
        <v>1811</v>
      </c>
      <c r="E332" t="s">
        <v>13</v>
      </c>
      <c r="F332" s="5">
        <v>1750</v>
      </c>
      <c r="G332" t="s">
        <v>1317</v>
      </c>
      <c r="H332" s="3">
        <v>89</v>
      </c>
      <c r="I332" s="3">
        <v>69</v>
      </c>
      <c r="J332" s="3">
        <v>69</v>
      </c>
      <c r="K332" s="3">
        <v>48</v>
      </c>
      <c r="L332">
        <f t="shared" si="50"/>
        <v>0.42372900000000002</v>
      </c>
      <c r="M332">
        <f>L332*N332</f>
        <v>14.830515</v>
      </c>
      <c r="N332" s="8">
        <v>35</v>
      </c>
      <c r="O332" s="14">
        <f t="shared" si="51"/>
        <v>61250</v>
      </c>
      <c r="P332" s="8">
        <v>30</v>
      </c>
      <c r="Q332" s="8">
        <f t="shared" si="52"/>
        <v>1.1666666666666667</v>
      </c>
      <c r="R332" s="8">
        <f t="shared" si="53"/>
        <v>35</v>
      </c>
      <c r="S332" s="8">
        <f t="shared" si="54"/>
        <v>36.166666666666664</v>
      </c>
      <c r="T332" s="17">
        <f t="shared" si="49"/>
        <v>45.33544528659403</v>
      </c>
      <c r="U332" s="19">
        <f t="shared" si="55"/>
        <v>15259.578269333257</v>
      </c>
      <c r="V332" s="29" t="s">
        <v>2983</v>
      </c>
    </row>
    <row r="333" spans="1:22" ht="15" customHeight="1" x14ac:dyDescent="0.25">
      <c r="A333" t="s">
        <v>365</v>
      </c>
      <c r="B333" t="s">
        <v>1790</v>
      </c>
      <c r="C333" t="s">
        <v>344</v>
      </c>
      <c r="D333" t="s">
        <v>345</v>
      </c>
      <c r="E333" t="s">
        <v>480</v>
      </c>
      <c r="F333" s="5">
        <v>116.9415</v>
      </c>
      <c r="G333" t="s">
        <v>362</v>
      </c>
      <c r="H333" s="3">
        <v>40</v>
      </c>
      <c r="I333" s="3">
        <v>30</v>
      </c>
      <c r="J333" s="3">
        <v>30</v>
      </c>
      <c r="K333" s="3">
        <v>4.2</v>
      </c>
      <c r="L333">
        <f t="shared" si="50"/>
        <v>3.5999999999999997E-2</v>
      </c>
      <c r="M333">
        <f>N333*L333</f>
        <v>18.72</v>
      </c>
      <c r="N333" s="8">
        <v>520</v>
      </c>
      <c r="O333" s="14">
        <f t="shared" si="51"/>
        <v>60809.58</v>
      </c>
      <c r="P333" s="8">
        <v>40</v>
      </c>
      <c r="Q333" s="8">
        <f t="shared" si="52"/>
        <v>13</v>
      </c>
      <c r="R333" s="8">
        <f t="shared" si="53"/>
        <v>693.33333333333326</v>
      </c>
      <c r="S333" s="8">
        <f t="shared" si="54"/>
        <v>706.33333333333326</v>
      </c>
      <c r="T333" s="17">
        <f t="shared" si="49"/>
        <v>45.009459379441026</v>
      </c>
      <c r="U333" s="19">
        <f t="shared" si="55"/>
        <v>15304.587728712697</v>
      </c>
      <c r="V333" s="29" t="s">
        <v>2983</v>
      </c>
    </row>
    <row r="334" spans="1:22" ht="15" customHeight="1" x14ac:dyDescent="0.25">
      <c r="A334" t="s">
        <v>365</v>
      </c>
      <c r="B334" t="s">
        <v>1315</v>
      </c>
      <c r="C334" t="s">
        <v>1336</v>
      </c>
      <c r="D334" t="s">
        <v>1814</v>
      </c>
      <c r="E334" t="s">
        <v>13</v>
      </c>
      <c r="F334" s="5">
        <v>233</v>
      </c>
      <c r="G334" t="s">
        <v>1337</v>
      </c>
      <c r="H334" s="3">
        <v>90</v>
      </c>
      <c r="I334" s="3">
        <v>52</v>
      </c>
      <c r="J334" s="3">
        <v>54</v>
      </c>
      <c r="K334" s="3">
        <v>12</v>
      </c>
      <c r="L334">
        <f t="shared" si="50"/>
        <v>0.25272</v>
      </c>
      <c r="M334">
        <f>L334*N334</f>
        <v>65.7072</v>
      </c>
      <c r="N334" s="8">
        <v>260</v>
      </c>
      <c r="O334" s="14">
        <f t="shared" si="51"/>
        <v>60580</v>
      </c>
      <c r="P334" s="8">
        <v>30</v>
      </c>
      <c r="Q334" s="8">
        <f t="shared" si="52"/>
        <v>8.6666666666666661</v>
      </c>
      <c r="R334" s="8">
        <f t="shared" si="53"/>
        <v>260</v>
      </c>
      <c r="S334" s="8">
        <f t="shared" si="54"/>
        <v>268.66666666666669</v>
      </c>
      <c r="T334" s="17">
        <f t="shared" si="49"/>
        <v>44.839531027948844</v>
      </c>
      <c r="U334" s="19">
        <f t="shared" si="55"/>
        <v>15349.427259740645</v>
      </c>
      <c r="V334" s="29" t="s">
        <v>2983</v>
      </c>
    </row>
    <row r="335" spans="1:22" ht="15" customHeight="1" x14ac:dyDescent="0.25">
      <c r="A335" t="s">
        <v>365</v>
      </c>
      <c r="B335" t="s">
        <v>1315</v>
      </c>
      <c r="C335" t="s">
        <v>1321</v>
      </c>
      <c r="D335" t="s">
        <v>1801</v>
      </c>
      <c r="E335" t="s">
        <v>13</v>
      </c>
      <c r="F335" s="5">
        <v>1664.1</v>
      </c>
      <c r="G335" t="s">
        <v>1317</v>
      </c>
      <c r="H335" s="3">
        <v>175</v>
      </c>
      <c r="I335" s="3">
        <v>69</v>
      </c>
      <c r="J335" s="3">
        <v>62</v>
      </c>
      <c r="K335" s="3">
        <v>67</v>
      </c>
      <c r="L335">
        <f t="shared" si="50"/>
        <v>0.74865000000000004</v>
      </c>
      <c r="M335">
        <f>L335*N335</f>
        <v>26.202750000000002</v>
      </c>
      <c r="N335" s="8">
        <v>35</v>
      </c>
      <c r="O335" s="14">
        <f t="shared" si="51"/>
        <v>58243.5</v>
      </c>
      <c r="P335" s="8">
        <v>30</v>
      </c>
      <c r="Q335" s="8">
        <f t="shared" si="52"/>
        <v>1.1666666666666667</v>
      </c>
      <c r="R335" s="8">
        <f t="shared" si="53"/>
        <v>35</v>
      </c>
      <c r="S335" s="8">
        <f t="shared" si="54"/>
        <v>36.166666666666664</v>
      </c>
      <c r="T335" s="17">
        <f t="shared" si="49"/>
        <v>43.110122572240648</v>
      </c>
      <c r="U335" s="19">
        <f t="shared" si="55"/>
        <v>15392.537382312887</v>
      </c>
      <c r="V335" s="29" t="s">
        <v>2983</v>
      </c>
    </row>
    <row r="336" spans="1:22" ht="15" customHeight="1" x14ac:dyDescent="0.25">
      <c r="A336" t="s">
        <v>365</v>
      </c>
      <c r="B336" t="s">
        <v>1818</v>
      </c>
      <c r="C336" t="s">
        <v>1823</v>
      </c>
      <c r="D336" t="s">
        <v>1825</v>
      </c>
      <c r="E336" t="s">
        <v>1411</v>
      </c>
      <c r="F336" s="5">
        <v>55.9</v>
      </c>
      <c r="G336" t="s">
        <v>362</v>
      </c>
      <c r="H336" s="3">
        <v>30</v>
      </c>
      <c r="I336" s="3">
        <v>13</v>
      </c>
      <c r="J336" s="3">
        <v>14.5</v>
      </c>
      <c r="K336" s="3">
        <v>1.43</v>
      </c>
      <c r="L336">
        <f t="shared" si="50"/>
        <v>5.6550000000000003E-3</v>
      </c>
      <c r="M336">
        <f>L336*N336</f>
        <v>5.6550000000000002</v>
      </c>
      <c r="N336" s="8">
        <v>1000</v>
      </c>
      <c r="O336" s="14">
        <f t="shared" si="51"/>
        <v>55900</v>
      </c>
      <c r="P336" s="8">
        <v>30</v>
      </c>
      <c r="Q336" s="8">
        <f t="shared" si="52"/>
        <v>33.333333333333336</v>
      </c>
      <c r="R336" s="8">
        <f t="shared" si="53"/>
        <v>1000.0000000000001</v>
      </c>
      <c r="S336" s="8">
        <f t="shared" si="54"/>
        <v>1033.3333333333335</v>
      </c>
      <c r="T336" s="17">
        <f t="shared" si="49"/>
        <v>41.375532922785411</v>
      </c>
      <c r="U336" s="19">
        <f t="shared" si="55"/>
        <v>15433.912915235673</v>
      </c>
      <c r="V336" s="29" t="s">
        <v>2983</v>
      </c>
    </row>
    <row r="337" spans="1:22" ht="15" customHeight="1" x14ac:dyDescent="0.25">
      <c r="A337" t="s">
        <v>365</v>
      </c>
      <c r="B337" t="s">
        <v>1791</v>
      </c>
      <c r="C337" t="s">
        <v>406</v>
      </c>
      <c r="D337" t="s">
        <v>1797</v>
      </c>
      <c r="E337" t="s">
        <v>234</v>
      </c>
      <c r="F337" s="5">
        <v>519</v>
      </c>
      <c r="G337" t="s">
        <v>387</v>
      </c>
      <c r="H337" s="3">
        <v>103</v>
      </c>
      <c r="I337" s="3">
        <v>60</v>
      </c>
      <c r="J337" s="3">
        <v>60</v>
      </c>
      <c r="K337" s="3">
        <v>38</v>
      </c>
      <c r="L337">
        <f t="shared" si="50"/>
        <v>0.37080000000000002</v>
      </c>
      <c r="M337">
        <f>N337*L337</f>
        <v>38.934000000000005</v>
      </c>
      <c r="N337" s="8">
        <v>105</v>
      </c>
      <c r="O337" s="14">
        <f t="shared" si="51"/>
        <v>54495</v>
      </c>
      <c r="P337" s="8">
        <v>40</v>
      </c>
      <c r="Q337" s="8">
        <f t="shared" si="52"/>
        <v>2.625</v>
      </c>
      <c r="R337" s="8">
        <f t="shared" si="53"/>
        <v>140</v>
      </c>
      <c r="S337" s="8">
        <f t="shared" si="54"/>
        <v>142.625</v>
      </c>
      <c r="T337" s="17">
        <f t="shared" si="49"/>
        <v>40.335593320701093</v>
      </c>
      <c r="U337" s="19">
        <f t="shared" si="55"/>
        <v>15474.248508556373</v>
      </c>
      <c r="V337" s="29" t="s">
        <v>2983</v>
      </c>
    </row>
    <row r="338" spans="1:22" ht="15" customHeight="1" x14ac:dyDescent="0.25">
      <c r="A338" t="s">
        <v>365</v>
      </c>
      <c r="B338" t="s">
        <v>1818</v>
      </c>
      <c r="C338" t="s">
        <v>1832</v>
      </c>
      <c r="D338" t="s">
        <v>1833</v>
      </c>
      <c r="E338" t="s">
        <v>1411</v>
      </c>
      <c r="F338" s="5">
        <v>52.9</v>
      </c>
      <c r="G338" t="s">
        <v>368</v>
      </c>
      <c r="H338" s="3">
        <v>33</v>
      </c>
      <c r="I338" s="3">
        <v>27</v>
      </c>
      <c r="J338" s="3">
        <v>21</v>
      </c>
      <c r="K338" s="3">
        <v>1.8</v>
      </c>
      <c r="L338">
        <f t="shared" si="50"/>
        <v>1.8710999999999998E-2</v>
      </c>
      <c r="M338">
        <f t="shared" ref="M338:M349" si="56">L338*N338</f>
        <v>18.710999999999999</v>
      </c>
      <c r="N338" s="8">
        <v>1000</v>
      </c>
      <c r="O338" s="14">
        <f t="shared" si="51"/>
        <v>52900</v>
      </c>
      <c r="P338" s="8">
        <v>30</v>
      </c>
      <c r="Q338" s="8">
        <f t="shared" si="52"/>
        <v>33.333333333333336</v>
      </c>
      <c r="R338" s="8">
        <f t="shared" si="53"/>
        <v>1000.0000000000001</v>
      </c>
      <c r="S338" s="8">
        <f t="shared" si="54"/>
        <v>1033.3333333333335</v>
      </c>
      <c r="T338" s="17">
        <f t="shared" si="49"/>
        <v>39.155021316911416</v>
      </c>
      <c r="U338" s="19">
        <f t="shared" si="55"/>
        <v>15513.403529873285</v>
      </c>
      <c r="V338" s="29" t="s">
        <v>2983</v>
      </c>
    </row>
    <row r="339" spans="1:22" ht="15" customHeight="1" x14ac:dyDescent="0.25">
      <c r="A339" t="s">
        <v>365</v>
      </c>
      <c r="B339" t="s">
        <v>1315</v>
      </c>
      <c r="C339" t="s">
        <v>1318</v>
      </c>
      <c r="D339" t="s">
        <v>1799</v>
      </c>
      <c r="E339" t="s">
        <v>13</v>
      </c>
      <c r="F339" s="5">
        <v>1469.1</v>
      </c>
      <c r="G339" t="s">
        <v>1319</v>
      </c>
      <c r="H339" s="3">
        <v>188</v>
      </c>
      <c r="I339" s="3">
        <v>70.5</v>
      </c>
      <c r="J339" s="3">
        <v>69.5</v>
      </c>
      <c r="K339" s="3">
        <v>76</v>
      </c>
      <c r="L339">
        <f t="shared" si="50"/>
        <v>0.921153</v>
      </c>
      <c r="M339">
        <f t="shared" si="56"/>
        <v>32.240355000000001</v>
      </c>
      <c r="N339" s="8">
        <v>35</v>
      </c>
      <c r="O339" s="14">
        <f t="shared" si="51"/>
        <v>51418.5</v>
      </c>
      <c r="P339" s="8">
        <v>30</v>
      </c>
      <c r="Q339" s="8">
        <f t="shared" si="52"/>
        <v>1.1666666666666667</v>
      </c>
      <c r="R339" s="8">
        <f t="shared" si="53"/>
        <v>35</v>
      </c>
      <c r="S339" s="8">
        <f t="shared" si="54"/>
        <v>36.166666666666664</v>
      </c>
      <c r="T339" s="17">
        <f t="shared" si="49"/>
        <v>38.058458668877307</v>
      </c>
      <c r="U339" s="19">
        <f t="shared" si="55"/>
        <v>15551.461988542162</v>
      </c>
      <c r="V339" s="29" t="s">
        <v>2983</v>
      </c>
    </row>
    <row r="340" spans="1:22" ht="15" customHeight="1" x14ac:dyDescent="0.25">
      <c r="A340" t="s">
        <v>365</v>
      </c>
      <c r="B340" t="s">
        <v>1315</v>
      </c>
      <c r="C340" t="s">
        <v>1334</v>
      </c>
      <c r="D340" t="s">
        <v>1813</v>
      </c>
      <c r="E340" t="s">
        <v>13</v>
      </c>
      <c r="F340" s="5">
        <v>192</v>
      </c>
      <c r="G340" t="s">
        <v>1335</v>
      </c>
      <c r="H340" s="3">
        <v>84</v>
      </c>
      <c r="I340" s="3">
        <v>66</v>
      </c>
      <c r="J340" s="3">
        <v>74</v>
      </c>
      <c r="K340" s="3">
        <v>10</v>
      </c>
      <c r="L340">
        <f t="shared" si="50"/>
        <v>0.41025600000000001</v>
      </c>
      <c r="M340">
        <f t="shared" si="56"/>
        <v>106.66656</v>
      </c>
      <c r="N340" s="8">
        <v>260</v>
      </c>
      <c r="O340" s="14">
        <f t="shared" si="51"/>
        <v>49920</v>
      </c>
      <c r="P340" s="8">
        <v>30</v>
      </c>
      <c r="Q340" s="8">
        <f t="shared" si="52"/>
        <v>8.6666666666666661</v>
      </c>
      <c r="R340" s="8">
        <f t="shared" si="53"/>
        <v>260</v>
      </c>
      <c r="S340" s="8">
        <f t="shared" si="54"/>
        <v>268.66666666666669</v>
      </c>
      <c r="T340" s="17">
        <f t="shared" si="49"/>
        <v>36.949313121743252</v>
      </c>
      <c r="U340" s="19">
        <f t="shared" si="55"/>
        <v>15588.411301663906</v>
      </c>
      <c r="V340" s="29" t="s">
        <v>2983</v>
      </c>
    </row>
    <row r="341" spans="1:22" ht="15" customHeight="1" x14ac:dyDescent="0.25">
      <c r="A341" t="s">
        <v>365</v>
      </c>
      <c r="B341" t="s">
        <v>1790</v>
      </c>
      <c r="C341" t="s">
        <v>354</v>
      </c>
      <c r="D341" t="s">
        <v>355</v>
      </c>
      <c r="E341" t="s">
        <v>480</v>
      </c>
      <c r="F341" s="5">
        <v>163.73500000000001</v>
      </c>
      <c r="G341" t="s">
        <v>364</v>
      </c>
      <c r="H341" s="3">
        <v>30</v>
      </c>
      <c r="I341" s="3">
        <v>50</v>
      </c>
      <c r="J341" s="3">
        <v>50</v>
      </c>
      <c r="K341" s="3">
        <v>8.9</v>
      </c>
      <c r="L341">
        <f t="shared" si="50"/>
        <v>7.4999999999999997E-2</v>
      </c>
      <c r="M341">
        <f t="shared" si="56"/>
        <v>22.5</v>
      </c>
      <c r="N341" s="8">
        <v>300</v>
      </c>
      <c r="O341" s="14">
        <f t="shared" si="51"/>
        <v>49120.500000000007</v>
      </c>
      <c r="P341" s="8">
        <v>40</v>
      </c>
      <c r="Q341" s="8">
        <f t="shared" si="52"/>
        <v>7.5</v>
      </c>
      <c r="R341" s="8">
        <f t="shared" si="53"/>
        <v>400</v>
      </c>
      <c r="S341" s="8">
        <f t="shared" si="54"/>
        <v>407.5</v>
      </c>
      <c r="T341" s="17">
        <f t="shared" si="49"/>
        <v>36.357546778777838</v>
      </c>
      <c r="U341" s="19">
        <f t="shared" si="55"/>
        <v>15624.768848442684</v>
      </c>
      <c r="V341" s="29" t="s">
        <v>2983</v>
      </c>
    </row>
    <row r="342" spans="1:22" ht="15" customHeight="1" x14ac:dyDescent="0.25">
      <c r="A342" t="s">
        <v>365</v>
      </c>
      <c r="B342" t="s">
        <v>1818</v>
      </c>
      <c r="C342" t="s">
        <v>1847</v>
      </c>
      <c r="D342" t="s">
        <v>1848</v>
      </c>
      <c r="E342" t="s">
        <v>1411</v>
      </c>
      <c r="F342" s="5">
        <v>59.9</v>
      </c>
      <c r="G342" t="s">
        <v>1849</v>
      </c>
      <c r="H342" s="3">
        <v>24</v>
      </c>
      <c r="I342" s="3">
        <v>11</v>
      </c>
      <c r="J342" s="3">
        <v>25</v>
      </c>
      <c r="K342" s="3">
        <v>1.2</v>
      </c>
      <c r="L342">
        <f t="shared" si="50"/>
        <v>6.6E-3</v>
      </c>
      <c r="M342">
        <f t="shared" si="56"/>
        <v>5.28</v>
      </c>
      <c r="N342" s="8">
        <v>800</v>
      </c>
      <c r="O342" s="14">
        <f t="shared" si="51"/>
        <v>47920</v>
      </c>
      <c r="P342" s="8">
        <v>30</v>
      </c>
      <c r="Q342" s="8">
        <f t="shared" si="52"/>
        <v>26.666666666666668</v>
      </c>
      <c r="R342" s="8">
        <f t="shared" si="53"/>
        <v>800</v>
      </c>
      <c r="S342" s="8">
        <f t="shared" si="54"/>
        <v>826.66666666666663</v>
      </c>
      <c r="T342" s="17">
        <f t="shared" si="49"/>
        <v>35.468972051160591</v>
      </c>
      <c r="U342" s="19">
        <f t="shared" si="55"/>
        <v>15660.237820493845</v>
      </c>
      <c r="V342" s="29" t="s">
        <v>2983</v>
      </c>
    </row>
    <row r="343" spans="1:22" ht="15" customHeight="1" x14ac:dyDescent="0.25">
      <c r="A343" t="s">
        <v>365</v>
      </c>
      <c r="B343" t="s">
        <v>1818</v>
      </c>
      <c r="C343" t="s">
        <v>1838</v>
      </c>
      <c r="D343" t="s">
        <v>1839</v>
      </c>
      <c r="E343" t="s">
        <v>1411</v>
      </c>
      <c r="F343" s="5">
        <v>49.9</v>
      </c>
      <c r="G343" t="s">
        <v>368</v>
      </c>
      <c r="H343" s="3">
        <v>26</v>
      </c>
      <c r="I343" s="3">
        <v>14</v>
      </c>
      <c r="J343" s="3">
        <v>23</v>
      </c>
      <c r="K343" s="3">
        <v>0.88</v>
      </c>
      <c r="L343">
        <f t="shared" si="50"/>
        <v>8.3719999999999992E-3</v>
      </c>
      <c r="M343">
        <f t="shared" si="56"/>
        <v>8.0371199999999998</v>
      </c>
      <c r="N343" s="8">
        <v>960</v>
      </c>
      <c r="O343" s="14">
        <f t="shared" si="51"/>
        <v>47904</v>
      </c>
      <c r="P343" s="8">
        <v>30</v>
      </c>
      <c r="Q343" s="8">
        <f t="shared" si="52"/>
        <v>32</v>
      </c>
      <c r="R343" s="8">
        <f t="shared" si="53"/>
        <v>960</v>
      </c>
      <c r="S343" s="8">
        <f t="shared" si="54"/>
        <v>992</v>
      </c>
      <c r="T343" s="17">
        <f t="shared" si="49"/>
        <v>35.457129322595925</v>
      </c>
      <c r="U343" s="19">
        <f t="shared" si="55"/>
        <v>15695.694949816441</v>
      </c>
      <c r="V343" s="29" t="s">
        <v>2983</v>
      </c>
    </row>
    <row r="344" spans="1:22" ht="15" customHeight="1" x14ac:dyDescent="0.25">
      <c r="A344" t="s">
        <v>365</v>
      </c>
      <c r="B344" t="s">
        <v>1818</v>
      </c>
      <c r="C344" t="s">
        <v>1823</v>
      </c>
      <c r="D344" t="s">
        <v>1830</v>
      </c>
      <c r="E344" t="s">
        <v>1411</v>
      </c>
      <c r="F344" s="5">
        <v>47</v>
      </c>
      <c r="G344" t="s">
        <v>362</v>
      </c>
      <c r="H344" s="3">
        <v>38</v>
      </c>
      <c r="I344" s="3">
        <v>17</v>
      </c>
      <c r="J344" s="3">
        <v>20</v>
      </c>
      <c r="K344" s="3">
        <v>1.6</v>
      </c>
      <c r="L344">
        <f t="shared" si="50"/>
        <v>1.2919999999999999E-2</v>
      </c>
      <c r="M344">
        <f t="shared" si="56"/>
        <v>12.92</v>
      </c>
      <c r="N344" s="8">
        <v>1000</v>
      </c>
      <c r="O344" s="14">
        <f t="shared" si="51"/>
        <v>47000</v>
      </c>
      <c r="P344" s="8">
        <v>30</v>
      </c>
      <c r="Q344" s="8">
        <f t="shared" si="52"/>
        <v>33.333333333333336</v>
      </c>
      <c r="R344" s="8">
        <f t="shared" si="53"/>
        <v>1000.0000000000001</v>
      </c>
      <c r="S344" s="8">
        <f t="shared" si="54"/>
        <v>1033.3333333333335</v>
      </c>
      <c r="T344" s="17">
        <f t="shared" si="49"/>
        <v>34.788015158692566</v>
      </c>
      <c r="U344" s="19">
        <f t="shared" si="55"/>
        <v>15730.482964975134</v>
      </c>
      <c r="V344" s="29" t="s">
        <v>2983</v>
      </c>
    </row>
    <row r="345" spans="1:22" ht="15" customHeight="1" x14ac:dyDescent="0.25">
      <c r="A345" t="s">
        <v>365</v>
      </c>
      <c r="B345" t="s">
        <v>1315</v>
      </c>
      <c r="C345" t="s">
        <v>1328</v>
      </c>
      <c r="D345" t="s">
        <v>1807</v>
      </c>
      <c r="E345" t="s">
        <v>13</v>
      </c>
      <c r="F345" s="5">
        <v>1310</v>
      </c>
      <c r="G345" t="s">
        <v>1317</v>
      </c>
      <c r="H345" s="3">
        <v>81</v>
      </c>
      <c r="I345" s="3">
        <v>59</v>
      </c>
      <c r="J345" s="3">
        <v>60</v>
      </c>
      <c r="K345" s="3">
        <v>43</v>
      </c>
      <c r="L345">
        <f t="shared" si="50"/>
        <v>0.28673999999999999</v>
      </c>
      <c r="M345">
        <f t="shared" si="56"/>
        <v>10.0359</v>
      </c>
      <c r="N345" s="8">
        <v>35</v>
      </c>
      <c r="O345" s="14">
        <f t="shared" si="51"/>
        <v>45850</v>
      </c>
      <c r="P345" s="8">
        <v>30</v>
      </c>
      <c r="Q345" s="8">
        <f t="shared" si="52"/>
        <v>1.1666666666666667</v>
      </c>
      <c r="R345" s="8">
        <f t="shared" si="53"/>
        <v>35</v>
      </c>
      <c r="S345" s="8">
        <f t="shared" si="54"/>
        <v>36.166666666666664</v>
      </c>
      <c r="T345" s="17">
        <f t="shared" si="49"/>
        <v>33.936819043107533</v>
      </c>
      <c r="U345" s="19">
        <f t="shared" si="55"/>
        <v>15764.419784018241</v>
      </c>
      <c r="V345" s="29" t="s">
        <v>2983</v>
      </c>
    </row>
    <row r="346" spans="1:22" ht="15" customHeight="1" x14ac:dyDescent="0.25">
      <c r="A346" t="s">
        <v>365</v>
      </c>
      <c r="B346" t="s">
        <v>1315</v>
      </c>
      <c r="C346" t="s">
        <v>1329</v>
      </c>
      <c r="D346" t="s">
        <v>1808</v>
      </c>
      <c r="E346" t="s">
        <v>13</v>
      </c>
      <c r="F346" s="5">
        <v>1310</v>
      </c>
      <c r="G346" t="s">
        <v>1317</v>
      </c>
      <c r="H346" s="3">
        <v>60</v>
      </c>
      <c r="I346" s="3">
        <v>59</v>
      </c>
      <c r="J346" s="3">
        <v>77</v>
      </c>
      <c r="K346" s="3">
        <v>42</v>
      </c>
      <c r="L346">
        <f t="shared" si="50"/>
        <v>0.27257999999999999</v>
      </c>
      <c r="M346">
        <f t="shared" si="56"/>
        <v>9.5403000000000002</v>
      </c>
      <c r="N346" s="8">
        <v>35</v>
      </c>
      <c r="O346" s="14">
        <f t="shared" si="51"/>
        <v>45850</v>
      </c>
      <c r="P346" s="8">
        <v>30</v>
      </c>
      <c r="Q346" s="8">
        <f t="shared" si="52"/>
        <v>1.1666666666666667</v>
      </c>
      <c r="R346" s="8">
        <f t="shared" si="53"/>
        <v>35</v>
      </c>
      <c r="S346" s="8">
        <f t="shared" si="54"/>
        <v>36.166666666666664</v>
      </c>
      <c r="T346" s="17">
        <f t="shared" si="49"/>
        <v>33.936819043107533</v>
      </c>
      <c r="U346" s="19">
        <f t="shared" si="55"/>
        <v>15798.356603061347</v>
      </c>
      <c r="V346" s="29" t="s">
        <v>2983</v>
      </c>
    </row>
    <row r="347" spans="1:22" ht="15" customHeight="1" x14ac:dyDescent="0.25">
      <c r="A347" t="s">
        <v>365</v>
      </c>
      <c r="B347" t="s">
        <v>1818</v>
      </c>
      <c r="C347" t="s">
        <v>1823</v>
      </c>
      <c r="D347" t="s">
        <v>1829</v>
      </c>
      <c r="E347" t="s">
        <v>1411</v>
      </c>
      <c r="F347" s="5">
        <v>45</v>
      </c>
      <c r="G347" t="s">
        <v>368</v>
      </c>
      <c r="H347" s="3">
        <v>31</v>
      </c>
      <c r="I347" s="3">
        <v>18.5</v>
      </c>
      <c r="J347" s="3">
        <v>25.5</v>
      </c>
      <c r="K347" s="3">
        <v>1.25</v>
      </c>
      <c r="L347">
        <f t="shared" si="50"/>
        <v>1.462425E-2</v>
      </c>
      <c r="M347">
        <f t="shared" si="56"/>
        <v>14.62425</v>
      </c>
      <c r="N347" s="8">
        <v>1000</v>
      </c>
      <c r="O347" s="14">
        <f t="shared" si="51"/>
        <v>45000</v>
      </c>
      <c r="P347" s="8">
        <v>30</v>
      </c>
      <c r="Q347" s="8">
        <f t="shared" si="52"/>
        <v>33.333333333333336</v>
      </c>
      <c r="R347" s="8">
        <f t="shared" si="53"/>
        <v>1000.0000000000001</v>
      </c>
      <c r="S347" s="8">
        <f t="shared" si="54"/>
        <v>1033.3333333333335</v>
      </c>
      <c r="T347" s="17">
        <f t="shared" si="49"/>
        <v>33.307674088109898</v>
      </c>
      <c r="U347" s="19">
        <f t="shared" si="55"/>
        <v>15831.664277149457</v>
      </c>
      <c r="V347" s="29" t="s">
        <v>2983</v>
      </c>
    </row>
    <row r="348" spans="1:22" ht="15" customHeight="1" x14ac:dyDescent="0.25">
      <c r="A348" t="s">
        <v>365</v>
      </c>
      <c r="B348" t="s">
        <v>1315</v>
      </c>
      <c r="C348" t="s">
        <v>1323</v>
      </c>
      <c r="D348" t="s">
        <v>1803</v>
      </c>
      <c r="E348" t="s">
        <v>13</v>
      </c>
      <c r="F348" s="5">
        <v>1214</v>
      </c>
      <c r="G348" t="s">
        <v>1317</v>
      </c>
      <c r="H348" s="3">
        <v>106</v>
      </c>
      <c r="I348" s="3">
        <v>71</v>
      </c>
      <c r="J348" s="3">
        <v>66</v>
      </c>
      <c r="K348" s="3">
        <v>40</v>
      </c>
      <c r="L348">
        <f t="shared" si="50"/>
        <v>0.49671599999999999</v>
      </c>
      <c r="M348">
        <f t="shared" si="56"/>
        <v>17.385059999999999</v>
      </c>
      <c r="N348" s="8">
        <v>35</v>
      </c>
      <c r="O348" s="14">
        <f t="shared" si="51"/>
        <v>42490</v>
      </c>
      <c r="P348" s="8">
        <v>30</v>
      </c>
      <c r="Q348" s="8">
        <f t="shared" si="52"/>
        <v>1.1666666666666667</v>
      </c>
      <c r="R348" s="8">
        <f t="shared" si="53"/>
        <v>35</v>
      </c>
      <c r="S348" s="8">
        <f t="shared" si="54"/>
        <v>36.166666666666664</v>
      </c>
      <c r="T348" s="17">
        <f t="shared" si="49"/>
        <v>31.449846044528659</v>
      </c>
      <c r="U348" s="19">
        <f t="shared" si="55"/>
        <v>15863.114123193986</v>
      </c>
      <c r="V348" s="29" t="s">
        <v>2983</v>
      </c>
    </row>
    <row r="349" spans="1:22" ht="15" customHeight="1" x14ac:dyDescent="0.25">
      <c r="A349" t="s">
        <v>365</v>
      </c>
      <c r="B349" t="s">
        <v>1315</v>
      </c>
      <c r="C349" t="s">
        <v>1325</v>
      </c>
      <c r="D349" t="s">
        <v>1805</v>
      </c>
      <c r="E349" t="s">
        <v>13</v>
      </c>
      <c r="F349" s="5">
        <v>1203</v>
      </c>
      <c r="G349" t="s">
        <v>1317</v>
      </c>
      <c r="H349" s="3">
        <v>107</v>
      </c>
      <c r="I349" s="3">
        <v>62</v>
      </c>
      <c r="J349" s="3">
        <v>68</v>
      </c>
      <c r="K349" s="3">
        <v>38</v>
      </c>
      <c r="L349">
        <f t="shared" si="50"/>
        <v>0.45111200000000001</v>
      </c>
      <c r="M349">
        <f t="shared" si="56"/>
        <v>15.788920000000001</v>
      </c>
      <c r="N349" s="8">
        <v>35</v>
      </c>
      <c r="O349" s="14">
        <f t="shared" si="51"/>
        <v>42105</v>
      </c>
      <c r="P349" s="8">
        <v>30</v>
      </c>
      <c r="Q349" s="8">
        <f t="shared" si="52"/>
        <v>1.1666666666666667</v>
      </c>
      <c r="R349" s="8">
        <f t="shared" si="53"/>
        <v>35</v>
      </c>
      <c r="S349" s="8">
        <f t="shared" si="54"/>
        <v>36.166666666666664</v>
      </c>
      <c r="T349" s="17">
        <f t="shared" si="49"/>
        <v>31.164880388441496</v>
      </c>
      <c r="U349" s="19">
        <f t="shared" si="55"/>
        <v>15894.279003582427</v>
      </c>
      <c r="V349" s="29" t="s">
        <v>2983</v>
      </c>
    </row>
    <row r="350" spans="1:22" ht="15" customHeight="1" x14ac:dyDescent="0.25">
      <c r="A350" t="s">
        <v>365</v>
      </c>
      <c r="B350" t="s">
        <v>1790</v>
      </c>
      <c r="C350" t="s">
        <v>334</v>
      </c>
      <c r="D350" t="s">
        <v>335</v>
      </c>
      <c r="E350" t="s">
        <v>480</v>
      </c>
      <c r="F350" s="5">
        <v>116.9415</v>
      </c>
      <c r="G350" t="s">
        <v>356</v>
      </c>
      <c r="H350" s="3">
        <v>60</v>
      </c>
      <c r="I350" s="3">
        <v>30</v>
      </c>
      <c r="J350" s="3">
        <v>50</v>
      </c>
      <c r="K350" s="3">
        <v>7.8</v>
      </c>
      <c r="L350">
        <f t="shared" si="50"/>
        <v>0.09</v>
      </c>
      <c r="M350">
        <f>N350*L350</f>
        <v>31.5</v>
      </c>
      <c r="N350" s="8">
        <v>350</v>
      </c>
      <c r="O350" s="14">
        <f t="shared" si="51"/>
        <v>40929.525000000001</v>
      </c>
      <c r="P350" s="8">
        <v>40</v>
      </c>
      <c r="Q350" s="8">
        <f t="shared" si="52"/>
        <v>8.75</v>
      </c>
      <c r="R350" s="8">
        <f t="shared" si="53"/>
        <v>466.66666666666663</v>
      </c>
      <c r="S350" s="8">
        <f t="shared" si="54"/>
        <v>475.41666666666663</v>
      </c>
      <c r="T350" s="17">
        <f t="shared" si="49"/>
        <v>30.29482842846992</v>
      </c>
      <c r="U350" s="19">
        <f t="shared" si="55"/>
        <v>15924.573832010898</v>
      </c>
      <c r="V350" s="29" t="s">
        <v>2983</v>
      </c>
    </row>
    <row r="351" spans="1:22" ht="15" customHeight="1" x14ac:dyDescent="0.25">
      <c r="A351" t="s">
        <v>365</v>
      </c>
      <c r="B351" t="s">
        <v>1818</v>
      </c>
      <c r="C351" t="s">
        <v>1853</v>
      </c>
      <c r="D351" t="s">
        <v>1854</v>
      </c>
      <c r="E351" t="s">
        <v>1411</v>
      </c>
      <c r="F351" s="5">
        <v>39</v>
      </c>
      <c r="G351" t="s">
        <v>1849</v>
      </c>
      <c r="H351" s="3">
        <v>8.3000000000000007</v>
      </c>
      <c r="I351" s="3">
        <v>21.2</v>
      </c>
      <c r="J351" s="3">
        <v>20.9</v>
      </c>
      <c r="K351" s="3">
        <v>0.96</v>
      </c>
      <c r="L351">
        <f t="shared" si="50"/>
        <v>3.6775639999999999E-3</v>
      </c>
      <c r="M351">
        <f>L351*N351</f>
        <v>3.8246665599999998</v>
      </c>
      <c r="N351" s="8">
        <v>1040</v>
      </c>
      <c r="O351" s="14">
        <f t="shared" si="51"/>
        <v>40560</v>
      </c>
      <c r="P351" s="8">
        <v>30</v>
      </c>
      <c r="Q351" s="8">
        <f t="shared" si="52"/>
        <v>34.666666666666664</v>
      </c>
      <c r="R351" s="8">
        <f t="shared" si="53"/>
        <v>1040</v>
      </c>
      <c r="S351" s="8">
        <f t="shared" si="54"/>
        <v>1074.6666666666667</v>
      </c>
      <c r="T351" s="17">
        <f t="shared" si="49"/>
        <v>30.021316911416392</v>
      </c>
      <c r="U351" s="19">
        <f t="shared" si="55"/>
        <v>15954.595148922313</v>
      </c>
      <c r="V351" s="29" t="s">
        <v>2983</v>
      </c>
    </row>
    <row r="352" spans="1:22" ht="15" customHeight="1" x14ac:dyDescent="0.25">
      <c r="A352" t="s">
        <v>365</v>
      </c>
      <c r="B352" t="s">
        <v>1315</v>
      </c>
      <c r="C352" t="s">
        <v>1320</v>
      </c>
      <c r="D352" t="s">
        <v>1800</v>
      </c>
      <c r="E352" t="s">
        <v>13</v>
      </c>
      <c r="F352" s="5">
        <v>1079.0999999999999</v>
      </c>
      <c r="G352" t="s">
        <v>358</v>
      </c>
      <c r="H352" s="3">
        <v>157</v>
      </c>
      <c r="I352" s="3">
        <v>71.5</v>
      </c>
      <c r="J352" s="3">
        <v>64.5</v>
      </c>
      <c r="K352" s="3">
        <v>50</v>
      </c>
      <c r="L352">
        <f t="shared" si="50"/>
        <v>0.72404475000000001</v>
      </c>
      <c r="M352">
        <f>L352*N352</f>
        <v>25.34156625</v>
      </c>
      <c r="N352" s="8">
        <v>35</v>
      </c>
      <c r="O352" s="14">
        <f t="shared" si="51"/>
        <v>37768.5</v>
      </c>
      <c r="P352" s="8">
        <v>30</v>
      </c>
      <c r="Q352" s="8">
        <f t="shared" si="52"/>
        <v>1.1666666666666667</v>
      </c>
      <c r="R352" s="8">
        <f t="shared" si="53"/>
        <v>35</v>
      </c>
      <c r="S352" s="8">
        <f t="shared" si="54"/>
        <v>36.166666666666664</v>
      </c>
      <c r="T352" s="17">
        <f t="shared" si="49"/>
        <v>27.955130862150639</v>
      </c>
      <c r="U352" s="19">
        <f t="shared" si="55"/>
        <v>15982.550279784464</v>
      </c>
      <c r="V352" s="29" t="s">
        <v>2983</v>
      </c>
    </row>
    <row r="353" spans="1:22" ht="15" customHeight="1" x14ac:dyDescent="0.25">
      <c r="A353" t="s">
        <v>365</v>
      </c>
      <c r="B353" t="s">
        <v>1790</v>
      </c>
      <c r="C353" t="s">
        <v>340</v>
      </c>
      <c r="D353" t="s">
        <v>341</v>
      </c>
      <c r="E353" t="s">
        <v>480</v>
      </c>
      <c r="F353" s="5">
        <v>105.235</v>
      </c>
      <c r="G353" t="s">
        <v>362</v>
      </c>
      <c r="H353" s="3">
        <v>50</v>
      </c>
      <c r="I353" s="3">
        <v>25</v>
      </c>
      <c r="J353" s="3">
        <v>50</v>
      </c>
      <c r="K353" s="3">
        <v>6.9</v>
      </c>
      <c r="L353">
        <f t="shared" si="50"/>
        <v>6.25E-2</v>
      </c>
      <c r="M353">
        <f>N353*L353</f>
        <v>21.875</v>
      </c>
      <c r="N353" s="8">
        <v>350</v>
      </c>
      <c r="O353" s="14">
        <f t="shared" si="51"/>
        <v>36832.25</v>
      </c>
      <c r="P353" s="8">
        <v>40</v>
      </c>
      <c r="Q353" s="8">
        <f t="shared" si="52"/>
        <v>8.75</v>
      </c>
      <c r="R353" s="8">
        <f t="shared" si="53"/>
        <v>466.66666666666663</v>
      </c>
      <c r="S353" s="8">
        <f t="shared" si="54"/>
        <v>475.41666666666663</v>
      </c>
      <c r="T353" s="17">
        <f t="shared" si="49"/>
        <v>27.262146198484132</v>
      </c>
      <c r="U353" s="19">
        <f t="shared" si="55"/>
        <v>16009.812425982947</v>
      </c>
      <c r="V353" s="29" t="s">
        <v>2983</v>
      </c>
    </row>
    <row r="354" spans="1:22" ht="15" customHeight="1" x14ac:dyDescent="0.25">
      <c r="A354" t="s">
        <v>365</v>
      </c>
      <c r="B354" t="s">
        <v>1790</v>
      </c>
      <c r="C354" t="s">
        <v>322</v>
      </c>
      <c r="D354" t="s">
        <v>323</v>
      </c>
      <c r="E354" t="s">
        <v>480</v>
      </c>
      <c r="F354" s="5">
        <v>70.141499999999994</v>
      </c>
      <c r="G354" t="s">
        <v>357</v>
      </c>
      <c r="H354" s="3">
        <v>45</v>
      </c>
      <c r="I354" s="3">
        <v>40</v>
      </c>
      <c r="J354" s="3">
        <v>40</v>
      </c>
      <c r="K354" s="3">
        <v>6.9</v>
      </c>
      <c r="L354">
        <f t="shared" si="50"/>
        <v>7.1999999999999995E-2</v>
      </c>
      <c r="M354">
        <f>N354*L354</f>
        <v>37.44</v>
      </c>
      <c r="N354" s="8">
        <v>520</v>
      </c>
      <c r="O354" s="14">
        <f t="shared" si="51"/>
        <v>36473.579999999994</v>
      </c>
      <c r="P354" s="8">
        <v>40</v>
      </c>
      <c r="Q354" s="8">
        <f t="shared" si="52"/>
        <v>13</v>
      </c>
      <c r="R354" s="8">
        <f t="shared" si="53"/>
        <v>693.33333333333326</v>
      </c>
      <c r="S354" s="8">
        <f t="shared" si="54"/>
        <v>706.33333333333326</v>
      </c>
      <c r="T354" s="17">
        <f t="shared" si="49"/>
        <v>26.996669232591184</v>
      </c>
      <c r="U354" s="19">
        <f t="shared" si="55"/>
        <v>16036.809095215538</v>
      </c>
      <c r="V354" s="29" t="s">
        <v>2983</v>
      </c>
    </row>
    <row r="355" spans="1:22" ht="15" customHeight="1" x14ac:dyDescent="0.25">
      <c r="A355" t="s">
        <v>365</v>
      </c>
      <c r="B355" t="s">
        <v>1315</v>
      </c>
      <c r="C355" t="s">
        <v>1324</v>
      </c>
      <c r="D355" t="s">
        <v>1804</v>
      </c>
      <c r="E355" t="s">
        <v>13</v>
      </c>
      <c r="F355" s="5">
        <v>1042</v>
      </c>
      <c r="G355" t="s">
        <v>1317</v>
      </c>
      <c r="H355" s="3">
        <v>108</v>
      </c>
      <c r="I355" s="3">
        <v>70</v>
      </c>
      <c r="J355" s="3">
        <v>66</v>
      </c>
      <c r="K355" s="3">
        <v>41</v>
      </c>
      <c r="L355">
        <f t="shared" si="50"/>
        <v>0.49896000000000001</v>
      </c>
      <c r="M355">
        <f>L355*N355</f>
        <v>17.4636</v>
      </c>
      <c r="N355" s="8">
        <v>35</v>
      </c>
      <c r="O355" s="14">
        <f t="shared" si="51"/>
        <v>36470</v>
      </c>
      <c r="P355" s="8">
        <v>30</v>
      </c>
      <c r="Q355" s="8">
        <f t="shared" si="52"/>
        <v>1.1666666666666667</v>
      </c>
      <c r="R355" s="8">
        <f t="shared" si="53"/>
        <v>35</v>
      </c>
      <c r="S355" s="8">
        <f t="shared" si="54"/>
        <v>36.166666666666664</v>
      </c>
      <c r="T355" s="17">
        <f t="shared" si="49"/>
        <v>26.994019422074846</v>
      </c>
      <c r="U355" s="19">
        <f t="shared" si="55"/>
        <v>16063.803114637612</v>
      </c>
      <c r="V355" s="29" t="s">
        <v>2983</v>
      </c>
    </row>
    <row r="356" spans="1:22" ht="15" customHeight="1" x14ac:dyDescent="0.25">
      <c r="A356" t="s">
        <v>365</v>
      </c>
      <c r="B356" t="s">
        <v>1818</v>
      </c>
      <c r="C356" t="s">
        <v>1855</v>
      </c>
      <c r="D356" t="s">
        <v>1856</v>
      </c>
      <c r="E356" t="s">
        <v>1411</v>
      </c>
      <c r="F356" s="5">
        <v>37</v>
      </c>
      <c r="G356" t="s">
        <v>362</v>
      </c>
      <c r="H356" s="3">
        <v>26.2</v>
      </c>
      <c r="I356" s="3">
        <v>19.8</v>
      </c>
      <c r="J356" s="3">
        <v>14.8</v>
      </c>
      <c r="K356" s="3">
        <v>1.2</v>
      </c>
      <c r="L356">
        <f t="shared" si="50"/>
        <v>7.6776480000000005E-3</v>
      </c>
      <c r="M356">
        <f>L356*N356</f>
        <v>6.1421184000000002</v>
      </c>
      <c r="N356" s="8">
        <v>800</v>
      </c>
      <c r="O356" s="14">
        <f t="shared" si="51"/>
        <v>29600</v>
      </c>
      <c r="P356" s="8">
        <v>30</v>
      </c>
      <c r="Q356" s="8">
        <f t="shared" si="52"/>
        <v>26.666666666666668</v>
      </c>
      <c r="R356" s="8">
        <f t="shared" si="53"/>
        <v>800</v>
      </c>
      <c r="S356" s="8">
        <f t="shared" si="54"/>
        <v>826.66666666666663</v>
      </c>
      <c r="T356" s="17">
        <f t="shared" si="49"/>
        <v>21.909047844623402</v>
      </c>
      <c r="U356" s="19">
        <f t="shared" si="55"/>
        <v>16085.712162482236</v>
      </c>
      <c r="V356" s="29" t="s">
        <v>2983</v>
      </c>
    </row>
    <row r="357" spans="1:22" ht="15" customHeight="1" x14ac:dyDescent="0.25">
      <c r="A357" t="s">
        <v>365</v>
      </c>
      <c r="B357" t="s">
        <v>1791</v>
      </c>
      <c r="C357" t="s">
        <v>397</v>
      </c>
      <c r="D357" t="s">
        <v>400</v>
      </c>
      <c r="E357" t="s">
        <v>234</v>
      </c>
      <c r="F357" s="5">
        <v>829</v>
      </c>
      <c r="G357" t="s">
        <v>368</v>
      </c>
      <c r="H357" s="3">
        <v>83</v>
      </c>
      <c r="I357" s="3">
        <v>50</v>
      </c>
      <c r="J357" s="3">
        <v>60</v>
      </c>
      <c r="K357" s="3">
        <v>10.1</v>
      </c>
      <c r="L357">
        <f t="shared" si="50"/>
        <v>0.249</v>
      </c>
      <c r="M357">
        <f>L357*N357</f>
        <v>8.7149999999999999</v>
      </c>
      <c r="N357" s="8">
        <v>35</v>
      </c>
      <c r="O357" s="14">
        <f t="shared" si="51"/>
        <v>29015</v>
      </c>
      <c r="P357" s="8">
        <v>40</v>
      </c>
      <c r="Q357" s="8">
        <f t="shared" si="52"/>
        <v>0.875</v>
      </c>
      <c r="R357" s="8">
        <f t="shared" si="53"/>
        <v>46.666666666666671</v>
      </c>
      <c r="S357" s="8">
        <f t="shared" si="54"/>
        <v>47.541666666666671</v>
      </c>
      <c r="T357" s="17">
        <f t="shared" si="49"/>
        <v>21.476048081477973</v>
      </c>
      <c r="U357" s="19">
        <f t="shared" si="55"/>
        <v>16107.188210563714</v>
      </c>
      <c r="V357" s="29" t="s">
        <v>2983</v>
      </c>
    </row>
    <row r="358" spans="1:22" ht="15" customHeight="1" x14ac:dyDescent="0.25">
      <c r="A358" t="s">
        <v>365</v>
      </c>
      <c r="B358" t="s">
        <v>1818</v>
      </c>
      <c r="C358" t="s">
        <v>1834</v>
      </c>
      <c r="D358" t="s">
        <v>1835</v>
      </c>
      <c r="E358" t="s">
        <v>1411</v>
      </c>
      <c r="F358" s="5">
        <v>479</v>
      </c>
      <c r="G358" t="s">
        <v>305</v>
      </c>
      <c r="H358" s="3">
        <v>40</v>
      </c>
      <c r="I358" s="3">
        <v>38</v>
      </c>
      <c r="J358" s="3">
        <v>27.5</v>
      </c>
      <c r="K358" s="3">
        <v>4.3</v>
      </c>
      <c r="L358">
        <f t="shared" si="50"/>
        <v>4.1799999999999997E-2</v>
      </c>
      <c r="M358">
        <f>L358*N358</f>
        <v>2.508</v>
      </c>
      <c r="N358" s="8">
        <v>60</v>
      </c>
      <c r="O358" s="14">
        <f t="shared" si="51"/>
        <v>28740</v>
      </c>
      <c r="P358" s="8">
        <v>30</v>
      </c>
      <c r="Q358" s="8">
        <f t="shared" si="52"/>
        <v>2</v>
      </c>
      <c r="R358" s="8">
        <f t="shared" si="53"/>
        <v>60</v>
      </c>
      <c r="S358" s="8">
        <f t="shared" si="54"/>
        <v>62</v>
      </c>
      <c r="T358" s="17">
        <f t="shared" si="49"/>
        <v>21.272501184272858</v>
      </c>
      <c r="U358" s="19">
        <f t="shared" si="55"/>
        <v>16128.460711747986</v>
      </c>
      <c r="V358" s="29" t="s">
        <v>2983</v>
      </c>
    </row>
    <row r="359" spans="1:22" ht="15" customHeight="1" x14ac:dyDescent="0.25">
      <c r="A359" t="s">
        <v>365</v>
      </c>
      <c r="B359" t="s">
        <v>1790</v>
      </c>
      <c r="C359" t="s">
        <v>342</v>
      </c>
      <c r="D359" t="s">
        <v>343</v>
      </c>
      <c r="E359" t="s">
        <v>480</v>
      </c>
      <c r="F359" s="5">
        <v>52.591500000000003</v>
      </c>
      <c r="G359" t="s">
        <v>307</v>
      </c>
      <c r="H359" s="3">
        <v>40</v>
      </c>
      <c r="I359" s="3">
        <v>30</v>
      </c>
      <c r="J359" s="3">
        <v>40</v>
      </c>
      <c r="K359" s="3">
        <v>3.6</v>
      </c>
      <c r="L359">
        <f t="shared" si="50"/>
        <v>4.8000000000000001E-2</v>
      </c>
      <c r="M359">
        <f>N359*L359</f>
        <v>24.96</v>
      </c>
      <c r="N359" s="8">
        <v>520</v>
      </c>
      <c r="O359" s="14">
        <f t="shared" si="51"/>
        <v>27347.58</v>
      </c>
      <c r="P359" s="8">
        <v>40</v>
      </c>
      <c r="Q359" s="8">
        <f t="shared" si="52"/>
        <v>13</v>
      </c>
      <c r="R359" s="8">
        <f t="shared" si="53"/>
        <v>693.33333333333326</v>
      </c>
      <c r="S359" s="8">
        <f t="shared" si="54"/>
        <v>706.33333333333326</v>
      </c>
      <c r="T359" s="17">
        <f t="shared" si="49"/>
        <v>20.241872927522504</v>
      </c>
      <c r="U359" s="19">
        <f t="shared" si="55"/>
        <v>16148.70258467551</v>
      </c>
      <c r="V359" s="29" t="s">
        <v>2983</v>
      </c>
    </row>
    <row r="360" spans="1:22" ht="15" customHeight="1" x14ac:dyDescent="0.25">
      <c r="A360" t="s">
        <v>365</v>
      </c>
      <c r="B360" t="s">
        <v>1790</v>
      </c>
      <c r="C360" t="s">
        <v>324</v>
      </c>
      <c r="D360" t="s">
        <v>325</v>
      </c>
      <c r="E360" t="s">
        <v>480</v>
      </c>
      <c r="F360" s="5">
        <v>77.349999999999994</v>
      </c>
      <c r="G360" t="s">
        <v>307</v>
      </c>
      <c r="H360" s="3">
        <v>50</v>
      </c>
      <c r="I360" s="3">
        <v>40</v>
      </c>
      <c r="J360" s="3">
        <v>40</v>
      </c>
      <c r="K360" s="3">
        <v>7.4</v>
      </c>
      <c r="L360">
        <f t="shared" si="50"/>
        <v>0.08</v>
      </c>
      <c r="M360">
        <f>N360*L360</f>
        <v>28</v>
      </c>
      <c r="N360" s="8">
        <v>350</v>
      </c>
      <c r="O360" s="14">
        <f t="shared" si="51"/>
        <v>27072.499999999996</v>
      </c>
      <c r="P360" s="8">
        <v>40</v>
      </c>
      <c r="Q360" s="8">
        <f t="shared" si="52"/>
        <v>8.75</v>
      </c>
      <c r="R360" s="8">
        <f t="shared" si="53"/>
        <v>466.66666666666663</v>
      </c>
      <c r="S360" s="8">
        <f t="shared" si="54"/>
        <v>475.41666666666663</v>
      </c>
      <c r="T360" s="17">
        <f t="shared" si="49"/>
        <v>20.038266816674561</v>
      </c>
      <c r="U360" s="19">
        <f t="shared" si="55"/>
        <v>16168.740851492184</v>
      </c>
      <c r="V360" s="29" t="s">
        <v>2983</v>
      </c>
    </row>
    <row r="361" spans="1:22" ht="15" customHeight="1" x14ac:dyDescent="0.25">
      <c r="A361" t="s">
        <v>365</v>
      </c>
      <c r="B361" t="s">
        <v>1818</v>
      </c>
      <c r="C361" t="s">
        <v>1840</v>
      </c>
      <c r="D361" t="s">
        <v>1841</v>
      </c>
      <c r="E361" t="s">
        <v>1411</v>
      </c>
      <c r="F361" s="5">
        <v>449</v>
      </c>
      <c r="G361" t="s">
        <v>368</v>
      </c>
      <c r="H361" s="3">
        <v>17</v>
      </c>
      <c r="I361" s="3">
        <v>32</v>
      </c>
      <c r="J361" s="3">
        <v>26</v>
      </c>
      <c r="K361" s="3">
        <v>4.2</v>
      </c>
      <c r="L361">
        <f t="shared" si="50"/>
        <v>1.4144E-2</v>
      </c>
      <c r="M361">
        <f>L361*N361</f>
        <v>0.84864000000000006</v>
      </c>
      <c r="N361" s="8">
        <v>60</v>
      </c>
      <c r="O361" s="14">
        <f t="shared" si="51"/>
        <v>26940</v>
      </c>
      <c r="P361" s="8">
        <v>30</v>
      </c>
      <c r="Q361" s="8">
        <f t="shared" si="52"/>
        <v>2</v>
      </c>
      <c r="R361" s="8">
        <f t="shared" si="53"/>
        <v>60</v>
      </c>
      <c r="S361" s="8">
        <f t="shared" si="54"/>
        <v>62</v>
      </c>
      <c r="T361" s="17">
        <f t="shared" si="49"/>
        <v>19.940194220748459</v>
      </c>
      <c r="U361" s="19">
        <f t="shared" si="55"/>
        <v>16188.681045712932</v>
      </c>
      <c r="V361" s="29" t="s">
        <v>2983</v>
      </c>
    </row>
    <row r="362" spans="1:22" ht="15" customHeight="1" x14ac:dyDescent="0.25">
      <c r="A362" t="s">
        <v>365</v>
      </c>
      <c r="B362" t="s">
        <v>1790</v>
      </c>
      <c r="C362" t="s">
        <v>318</v>
      </c>
      <c r="D362" t="s">
        <v>319</v>
      </c>
      <c r="E362" t="s">
        <v>480</v>
      </c>
      <c r="F362" s="5">
        <v>86.385000000000005</v>
      </c>
      <c r="G362" t="s">
        <v>307</v>
      </c>
      <c r="H362" s="3">
        <v>80</v>
      </c>
      <c r="I362" s="3">
        <v>50</v>
      </c>
      <c r="J362" s="3">
        <v>25</v>
      </c>
      <c r="K362" s="3">
        <v>8.6999999999999993</v>
      </c>
      <c r="L362">
        <f t="shared" si="50"/>
        <v>0.1</v>
      </c>
      <c r="M362">
        <f>L362*N362</f>
        <v>30</v>
      </c>
      <c r="N362" s="8">
        <v>300</v>
      </c>
      <c r="O362" s="14">
        <f t="shared" si="51"/>
        <v>25915.5</v>
      </c>
      <c r="P362" s="8">
        <v>40</v>
      </c>
      <c r="Q362" s="8">
        <f t="shared" si="52"/>
        <v>7.5</v>
      </c>
      <c r="R362" s="8">
        <f t="shared" si="53"/>
        <v>400</v>
      </c>
      <c r="S362" s="8">
        <f t="shared" si="54"/>
        <v>407.5</v>
      </c>
      <c r="T362" s="17">
        <f t="shared" si="49"/>
        <v>19.181889507342493</v>
      </c>
      <c r="U362" s="19">
        <f t="shared" ref="U362:U380" si="57">U361+T362</f>
        <v>16207.862935220275</v>
      </c>
      <c r="V362" s="29" t="s">
        <v>2983</v>
      </c>
    </row>
    <row r="363" spans="1:22" ht="15" customHeight="1" x14ac:dyDescent="0.25">
      <c r="A363" t="s">
        <v>365</v>
      </c>
      <c r="B363" t="s">
        <v>1818</v>
      </c>
      <c r="C363" t="s">
        <v>1846</v>
      </c>
      <c r="D363" t="s">
        <v>1845</v>
      </c>
      <c r="E363" t="s">
        <v>1411</v>
      </c>
      <c r="F363" s="5">
        <v>39</v>
      </c>
      <c r="G363" t="s">
        <v>368</v>
      </c>
      <c r="H363" s="3">
        <v>23.5</v>
      </c>
      <c r="I363" s="3">
        <v>10.5</v>
      </c>
      <c r="J363" s="3">
        <v>24.5</v>
      </c>
      <c r="K363" s="3">
        <v>1.1000000000000001</v>
      </c>
      <c r="L363">
        <f t="shared" si="50"/>
        <v>6.0453750000000004E-3</v>
      </c>
      <c r="M363">
        <f>L363*N363</f>
        <v>3.86904</v>
      </c>
      <c r="N363" s="8">
        <v>640</v>
      </c>
      <c r="O363" s="14">
        <f t="shared" si="51"/>
        <v>24960</v>
      </c>
      <c r="P363" s="8">
        <v>30</v>
      </c>
      <c r="Q363" s="8">
        <f t="shared" si="52"/>
        <v>21.333333333333332</v>
      </c>
      <c r="R363" s="8">
        <f t="shared" si="53"/>
        <v>640</v>
      </c>
      <c r="S363" s="8">
        <f t="shared" si="54"/>
        <v>661.33333333333337</v>
      </c>
      <c r="T363" s="17">
        <f t="shared" si="49"/>
        <v>18.474656560871626</v>
      </c>
      <c r="U363" s="19">
        <f t="shared" si="57"/>
        <v>16226.337591781146</v>
      </c>
      <c r="V363" s="29" t="s">
        <v>2983</v>
      </c>
    </row>
    <row r="364" spans="1:22" ht="15" customHeight="1" x14ac:dyDescent="0.25">
      <c r="A364" t="s">
        <v>365</v>
      </c>
      <c r="B364" t="s">
        <v>1791</v>
      </c>
      <c r="C364" t="s">
        <v>379</v>
      </c>
      <c r="D364" t="s">
        <v>383</v>
      </c>
      <c r="E364" t="s">
        <v>234</v>
      </c>
      <c r="F364" s="5">
        <v>659</v>
      </c>
      <c r="G364" t="s">
        <v>368</v>
      </c>
      <c r="H364" s="3">
        <v>6.5</v>
      </c>
      <c r="I364" s="3">
        <v>52.2</v>
      </c>
      <c r="J364" s="3">
        <v>75.2</v>
      </c>
      <c r="K364" s="3">
        <v>9.1999999999999993</v>
      </c>
      <c r="L364">
        <f t="shared" si="50"/>
        <v>2.5515360000000004E-2</v>
      </c>
      <c r="M364">
        <f>L364*N364</f>
        <v>0.8930376000000001</v>
      </c>
      <c r="N364" s="8">
        <v>35</v>
      </c>
      <c r="O364" s="14">
        <f t="shared" si="51"/>
        <v>23065</v>
      </c>
      <c r="P364" s="8">
        <v>40</v>
      </c>
      <c r="Q364" s="8">
        <f t="shared" si="52"/>
        <v>0.875</v>
      </c>
      <c r="R364" s="8">
        <f t="shared" si="53"/>
        <v>46.666666666666671</v>
      </c>
      <c r="S364" s="8">
        <f t="shared" si="54"/>
        <v>47.541666666666671</v>
      </c>
      <c r="T364" s="17">
        <f t="shared" si="49"/>
        <v>17.072033396494554</v>
      </c>
      <c r="U364" s="19">
        <f t="shared" si="57"/>
        <v>16243.409625177641</v>
      </c>
      <c r="V364" s="29" t="s">
        <v>2983</v>
      </c>
    </row>
    <row r="365" spans="1:22" ht="15" customHeight="1" x14ac:dyDescent="0.25">
      <c r="A365" t="s">
        <v>365</v>
      </c>
      <c r="B365" t="s">
        <v>1790</v>
      </c>
      <c r="C365" t="s">
        <v>316</v>
      </c>
      <c r="D365" t="s">
        <v>317</v>
      </c>
      <c r="E365" t="s">
        <v>480</v>
      </c>
      <c r="F365" s="5">
        <v>42.185000000000002</v>
      </c>
      <c r="G365" t="s">
        <v>356</v>
      </c>
      <c r="H365" s="3">
        <v>50</v>
      </c>
      <c r="I365" s="3">
        <v>40</v>
      </c>
      <c r="J365" s="3">
        <v>35</v>
      </c>
      <c r="K365" s="3">
        <v>6.8</v>
      </c>
      <c r="L365">
        <f t="shared" si="50"/>
        <v>7.0000000000000007E-2</v>
      </c>
      <c r="M365">
        <f>N365*L365</f>
        <v>36.400000000000006</v>
      </c>
      <c r="N365" s="8">
        <v>520</v>
      </c>
      <c r="O365" s="14">
        <f t="shared" si="51"/>
        <v>21936.2</v>
      </c>
      <c r="P365" s="8">
        <v>40</v>
      </c>
      <c r="Q365" s="8">
        <f t="shared" si="52"/>
        <v>13</v>
      </c>
      <c r="R365" s="8">
        <f t="shared" si="53"/>
        <v>693.33333333333326</v>
      </c>
      <c r="S365" s="8">
        <f t="shared" si="54"/>
        <v>706.33333333333326</v>
      </c>
      <c r="T365" s="17">
        <f t="shared" si="49"/>
        <v>16.236528896257699</v>
      </c>
      <c r="U365" s="19">
        <f t="shared" si="57"/>
        <v>16259.646154073898</v>
      </c>
      <c r="V365" s="29" t="s">
        <v>2983</v>
      </c>
    </row>
    <row r="366" spans="1:22" ht="15" customHeight="1" x14ac:dyDescent="0.25">
      <c r="A366" t="s">
        <v>365</v>
      </c>
      <c r="B366" t="s">
        <v>1791</v>
      </c>
      <c r="C366" t="s">
        <v>379</v>
      </c>
      <c r="D366" t="s">
        <v>385</v>
      </c>
      <c r="E366" t="s">
        <v>234</v>
      </c>
      <c r="F366" s="5">
        <v>599</v>
      </c>
      <c r="G366" t="s">
        <v>368</v>
      </c>
      <c r="H366" s="3">
        <v>5.5</v>
      </c>
      <c r="I366" s="3">
        <v>52.2</v>
      </c>
      <c r="J366" s="3">
        <v>60.2</v>
      </c>
      <c r="K366" s="3">
        <v>9.5</v>
      </c>
      <c r="L366">
        <f t="shared" si="50"/>
        <v>1.7283420000000001E-2</v>
      </c>
      <c r="M366">
        <f t="shared" ref="M366:M429" si="58">L366*N366</f>
        <v>0.60491970000000006</v>
      </c>
      <c r="N366" s="8">
        <v>35</v>
      </c>
      <c r="O366" s="14">
        <f t="shared" si="51"/>
        <v>20965</v>
      </c>
      <c r="P366" s="8">
        <v>40</v>
      </c>
      <c r="Q366" s="8">
        <f t="shared" si="52"/>
        <v>0.875</v>
      </c>
      <c r="R366" s="8">
        <f t="shared" si="53"/>
        <v>46.666666666666671</v>
      </c>
      <c r="S366" s="8">
        <f t="shared" si="54"/>
        <v>47.541666666666671</v>
      </c>
      <c r="T366" s="17">
        <f t="shared" si="49"/>
        <v>15.517675272382757</v>
      </c>
      <c r="U366" s="19">
        <f t="shared" si="57"/>
        <v>16275.16382934628</v>
      </c>
      <c r="V366" s="29" t="s">
        <v>2983</v>
      </c>
    </row>
    <row r="367" spans="1:22" ht="15" customHeight="1" x14ac:dyDescent="0.25">
      <c r="A367" t="s">
        <v>365</v>
      </c>
      <c r="B367" t="s">
        <v>1315</v>
      </c>
      <c r="C367" t="s">
        <v>1338</v>
      </c>
      <c r="D367" t="s">
        <v>1815</v>
      </c>
      <c r="E367" t="s">
        <v>13</v>
      </c>
      <c r="F367" s="5">
        <v>307.12</v>
      </c>
      <c r="G367" t="s">
        <v>1339</v>
      </c>
      <c r="H367" s="3">
        <v>62</v>
      </c>
      <c r="I367" s="3">
        <v>42</v>
      </c>
      <c r="J367" s="3">
        <v>42</v>
      </c>
      <c r="K367" s="3">
        <v>8</v>
      </c>
      <c r="L367">
        <f t="shared" si="50"/>
        <v>0.10936800000000001</v>
      </c>
      <c r="M367">
        <f t="shared" si="58"/>
        <v>6.5620800000000008</v>
      </c>
      <c r="N367" s="8">
        <v>60</v>
      </c>
      <c r="O367" s="14">
        <f t="shared" si="51"/>
        <v>18427.2</v>
      </c>
      <c r="P367" s="8">
        <v>30</v>
      </c>
      <c r="Q367" s="8">
        <f t="shared" si="52"/>
        <v>2</v>
      </c>
      <c r="R367" s="8">
        <f t="shared" si="53"/>
        <v>60</v>
      </c>
      <c r="S367" s="8">
        <f t="shared" si="54"/>
        <v>62</v>
      </c>
      <c r="T367" s="17">
        <f t="shared" si="49"/>
        <v>13.639270487920419</v>
      </c>
      <c r="U367" s="19">
        <f t="shared" si="57"/>
        <v>16288.8030998342</v>
      </c>
      <c r="V367" s="29" t="s">
        <v>2983</v>
      </c>
    </row>
    <row r="368" spans="1:22" ht="15" customHeight="1" x14ac:dyDescent="0.25">
      <c r="A368" t="s">
        <v>365</v>
      </c>
      <c r="B368" t="s">
        <v>1791</v>
      </c>
      <c r="C368" t="s">
        <v>379</v>
      </c>
      <c r="D368" t="s">
        <v>381</v>
      </c>
      <c r="E368" t="s">
        <v>234</v>
      </c>
      <c r="F368" s="5">
        <v>519</v>
      </c>
      <c r="G368" t="s">
        <v>368</v>
      </c>
      <c r="H368" s="3">
        <v>5.8</v>
      </c>
      <c r="I368" s="3">
        <v>52.2</v>
      </c>
      <c r="J368" s="3">
        <v>60.2</v>
      </c>
      <c r="K368" s="3">
        <v>7.9</v>
      </c>
      <c r="L368">
        <f t="shared" si="50"/>
        <v>1.8226152000000002E-2</v>
      </c>
      <c r="M368">
        <f t="shared" si="58"/>
        <v>0.63791532000000006</v>
      </c>
      <c r="N368" s="8">
        <v>35</v>
      </c>
      <c r="O368" s="14">
        <f t="shared" si="51"/>
        <v>18165</v>
      </c>
      <c r="P368" s="8">
        <v>40</v>
      </c>
      <c r="Q368" s="8">
        <f t="shared" si="52"/>
        <v>0.875</v>
      </c>
      <c r="R368" s="8">
        <f t="shared" si="53"/>
        <v>46.666666666666671</v>
      </c>
      <c r="S368" s="8">
        <f t="shared" si="54"/>
        <v>47.541666666666671</v>
      </c>
      <c r="T368" s="17">
        <f t="shared" si="49"/>
        <v>13.445197773567029</v>
      </c>
      <c r="U368" s="19">
        <f t="shared" si="57"/>
        <v>16302.248297607766</v>
      </c>
      <c r="V368" s="29" t="s">
        <v>2983</v>
      </c>
    </row>
    <row r="369" spans="1:22" ht="15" customHeight="1" x14ac:dyDescent="0.25">
      <c r="A369" t="s">
        <v>365</v>
      </c>
      <c r="B369" t="s">
        <v>1818</v>
      </c>
      <c r="C369" t="s">
        <v>1857</v>
      </c>
      <c r="D369" t="s">
        <v>1858</v>
      </c>
      <c r="E369" t="s">
        <v>1411</v>
      </c>
      <c r="F369" s="5">
        <v>299</v>
      </c>
      <c r="G369" t="s">
        <v>1343</v>
      </c>
      <c r="H369" s="3">
        <v>30</v>
      </c>
      <c r="I369" s="3">
        <v>40</v>
      </c>
      <c r="J369" s="3">
        <v>28</v>
      </c>
      <c r="K369" s="3">
        <v>6.11</v>
      </c>
      <c r="L369">
        <f t="shared" si="50"/>
        <v>3.3599999999999998E-2</v>
      </c>
      <c r="M369">
        <f t="shared" si="58"/>
        <v>2.016</v>
      </c>
      <c r="N369" s="8">
        <v>60</v>
      </c>
      <c r="O369" s="14">
        <f t="shared" si="51"/>
        <v>17940</v>
      </c>
      <c r="P369" s="8">
        <v>30</v>
      </c>
      <c r="Q369" s="8">
        <f t="shared" si="52"/>
        <v>2</v>
      </c>
      <c r="R369" s="8">
        <f t="shared" si="53"/>
        <v>60</v>
      </c>
      <c r="S369" s="8">
        <f t="shared" si="54"/>
        <v>62</v>
      </c>
      <c r="T369" s="17">
        <f t="shared" si="49"/>
        <v>13.278659403126481</v>
      </c>
      <c r="U369" s="19">
        <f t="shared" si="57"/>
        <v>16315.526957010892</v>
      </c>
      <c r="V369" s="29" t="s">
        <v>2983</v>
      </c>
    </row>
    <row r="370" spans="1:22" ht="15" customHeight="1" x14ac:dyDescent="0.25">
      <c r="A370" t="s">
        <v>365</v>
      </c>
      <c r="B370" t="s">
        <v>1818</v>
      </c>
      <c r="C370" t="s">
        <v>1823</v>
      </c>
      <c r="D370" t="s">
        <v>1826</v>
      </c>
      <c r="E370" t="s">
        <v>1411</v>
      </c>
      <c r="F370" s="5">
        <v>199</v>
      </c>
      <c r="G370" t="s">
        <v>305</v>
      </c>
      <c r="H370" s="3">
        <v>36.4</v>
      </c>
      <c r="I370" s="3">
        <v>24</v>
      </c>
      <c r="J370" s="3">
        <v>23</v>
      </c>
      <c r="K370" s="3">
        <v>1.97</v>
      </c>
      <c r="L370">
        <f t="shared" si="50"/>
        <v>2.0092800000000001E-2</v>
      </c>
      <c r="M370">
        <f t="shared" si="58"/>
        <v>1.3060320000000001</v>
      </c>
      <c r="N370" s="8">
        <v>65</v>
      </c>
      <c r="O370" s="14">
        <f t="shared" si="51"/>
        <v>12935</v>
      </c>
      <c r="P370" s="8">
        <v>30</v>
      </c>
      <c r="Q370" s="8">
        <f t="shared" si="52"/>
        <v>2.1666666666666665</v>
      </c>
      <c r="R370" s="8">
        <f t="shared" si="53"/>
        <v>65</v>
      </c>
      <c r="S370" s="8">
        <f t="shared" si="54"/>
        <v>67.166666666666671</v>
      </c>
      <c r="T370" s="17">
        <f t="shared" si="49"/>
        <v>9.5741058739933678</v>
      </c>
      <c r="U370" s="19">
        <f t="shared" si="57"/>
        <v>16325.101062884885</v>
      </c>
      <c r="V370" s="29" t="s">
        <v>2983</v>
      </c>
    </row>
    <row r="371" spans="1:22" ht="15" customHeight="1" x14ac:dyDescent="0.25">
      <c r="A371" t="s">
        <v>365</v>
      </c>
      <c r="B371" t="s">
        <v>1791</v>
      </c>
      <c r="C371" t="s">
        <v>404</v>
      </c>
      <c r="D371" t="s">
        <v>405</v>
      </c>
      <c r="E371" t="s">
        <v>234</v>
      </c>
      <c r="F371" s="5">
        <v>369</v>
      </c>
      <c r="G371" t="s">
        <v>368</v>
      </c>
      <c r="H371" s="3">
        <v>14</v>
      </c>
      <c r="I371" s="3">
        <v>49.5</v>
      </c>
      <c r="J371" s="3">
        <v>80</v>
      </c>
      <c r="K371" s="3">
        <v>6.4</v>
      </c>
      <c r="L371">
        <f t="shared" si="50"/>
        <v>5.5440000000000003E-2</v>
      </c>
      <c r="M371">
        <f t="shared" si="58"/>
        <v>1.9404000000000001</v>
      </c>
      <c r="N371" s="8">
        <v>35</v>
      </c>
      <c r="O371" s="14">
        <f t="shared" si="51"/>
        <v>12915</v>
      </c>
      <c r="P371" s="8">
        <v>40</v>
      </c>
      <c r="Q371" s="8">
        <f t="shared" si="52"/>
        <v>0.875</v>
      </c>
      <c r="R371" s="8">
        <f t="shared" si="53"/>
        <v>46.666666666666671</v>
      </c>
      <c r="S371" s="8">
        <f t="shared" si="54"/>
        <v>47.541666666666671</v>
      </c>
      <c r="T371" s="17">
        <f t="shared" si="49"/>
        <v>9.5593024632875423</v>
      </c>
      <c r="U371" s="19">
        <f t="shared" si="57"/>
        <v>16334.660365348172</v>
      </c>
      <c r="V371" s="29" t="s">
        <v>2983</v>
      </c>
    </row>
    <row r="372" spans="1:22" ht="15" customHeight="1" x14ac:dyDescent="0.25">
      <c r="A372" t="s">
        <v>365</v>
      </c>
      <c r="B372" t="s">
        <v>1818</v>
      </c>
      <c r="C372" t="s">
        <v>1821</v>
      </c>
      <c r="D372" t="s">
        <v>1822</v>
      </c>
      <c r="E372" t="s">
        <v>1411</v>
      </c>
      <c r="F372" s="5">
        <v>169</v>
      </c>
      <c r="G372" t="s">
        <v>362</v>
      </c>
      <c r="H372" s="3">
        <v>43</v>
      </c>
      <c r="I372" s="3">
        <v>15.8</v>
      </c>
      <c r="J372" s="3">
        <v>21</v>
      </c>
      <c r="K372" s="3">
        <v>2.19</v>
      </c>
      <c r="L372">
        <f t="shared" si="50"/>
        <v>1.42674E-2</v>
      </c>
      <c r="M372">
        <f t="shared" si="58"/>
        <v>0.92738100000000001</v>
      </c>
      <c r="N372" s="8">
        <v>65</v>
      </c>
      <c r="O372" s="14">
        <f t="shared" si="51"/>
        <v>10985</v>
      </c>
      <c r="P372" s="8">
        <v>30</v>
      </c>
      <c r="Q372" s="8">
        <f t="shared" si="52"/>
        <v>2.1666666666666665</v>
      </c>
      <c r="R372" s="8">
        <f t="shared" si="53"/>
        <v>65</v>
      </c>
      <c r="S372" s="8">
        <f t="shared" si="54"/>
        <v>67.166666666666671</v>
      </c>
      <c r="T372" s="17">
        <f t="shared" si="49"/>
        <v>8.1307733301752734</v>
      </c>
      <c r="U372" s="19">
        <f t="shared" si="57"/>
        <v>16342.791138678347</v>
      </c>
      <c r="V372" s="29" t="s">
        <v>2983</v>
      </c>
    </row>
    <row r="373" spans="1:22" ht="15" customHeight="1" x14ac:dyDescent="0.25">
      <c r="A373" t="s">
        <v>365</v>
      </c>
      <c r="B373" t="s">
        <v>1818</v>
      </c>
      <c r="C373" t="s">
        <v>1823</v>
      </c>
      <c r="D373" t="s">
        <v>1828</v>
      </c>
      <c r="E373" t="s">
        <v>1411</v>
      </c>
      <c r="F373" s="5">
        <v>165</v>
      </c>
      <c r="G373" t="s">
        <v>305</v>
      </c>
      <c r="H373" s="3">
        <v>36.4</v>
      </c>
      <c r="I373" s="3">
        <v>24</v>
      </c>
      <c r="J373" s="3">
        <v>23</v>
      </c>
      <c r="K373" s="3">
        <v>2.6</v>
      </c>
      <c r="L373">
        <f t="shared" si="50"/>
        <v>2.0092800000000001E-2</v>
      </c>
      <c r="M373">
        <f t="shared" si="58"/>
        <v>1.3060320000000001</v>
      </c>
      <c r="N373" s="8">
        <v>65</v>
      </c>
      <c r="O373" s="14">
        <f t="shared" si="51"/>
        <v>10725</v>
      </c>
      <c r="P373" s="8">
        <v>30</v>
      </c>
      <c r="Q373" s="8">
        <f t="shared" si="52"/>
        <v>2.1666666666666665</v>
      </c>
      <c r="R373" s="8">
        <f t="shared" si="53"/>
        <v>65</v>
      </c>
      <c r="S373" s="8">
        <f t="shared" si="54"/>
        <v>67.166666666666671</v>
      </c>
      <c r="T373" s="17">
        <f t="shared" ref="T373:T436" si="59">O373/O$1749</f>
        <v>7.9383289909995263</v>
      </c>
      <c r="U373" s="19">
        <f t="shared" si="57"/>
        <v>16350.729467669347</v>
      </c>
      <c r="V373" s="29" t="s">
        <v>2983</v>
      </c>
    </row>
    <row r="374" spans="1:22" ht="15" customHeight="1" x14ac:dyDescent="0.25">
      <c r="A374" t="s">
        <v>365</v>
      </c>
      <c r="B374" t="s">
        <v>1818</v>
      </c>
      <c r="C374" t="s">
        <v>1823</v>
      </c>
      <c r="D374" t="s">
        <v>1824</v>
      </c>
      <c r="E374" t="s">
        <v>1411</v>
      </c>
      <c r="F374" s="5">
        <v>159</v>
      </c>
      <c r="G374" t="s">
        <v>362</v>
      </c>
      <c r="H374" s="3">
        <v>37.200000000000003</v>
      </c>
      <c r="I374" s="3">
        <v>16</v>
      </c>
      <c r="J374" s="3">
        <v>19.5</v>
      </c>
      <c r="K374" s="3">
        <v>2.19</v>
      </c>
      <c r="L374">
        <f t="shared" si="50"/>
        <v>1.1606400000000001E-2</v>
      </c>
      <c r="M374">
        <f t="shared" si="58"/>
        <v>0.75441600000000009</v>
      </c>
      <c r="N374" s="8">
        <v>65</v>
      </c>
      <c r="O374" s="14">
        <f t="shared" si="51"/>
        <v>10335</v>
      </c>
      <c r="P374" s="8">
        <v>30</v>
      </c>
      <c r="Q374" s="8">
        <f t="shared" si="52"/>
        <v>2.1666666666666665</v>
      </c>
      <c r="R374" s="8">
        <f t="shared" si="53"/>
        <v>65</v>
      </c>
      <c r="S374" s="8">
        <f t="shared" si="54"/>
        <v>67.166666666666671</v>
      </c>
      <c r="T374" s="17">
        <f t="shared" si="59"/>
        <v>7.6496624822359074</v>
      </c>
      <c r="U374" s="19">
        <f t="shared" si="57"/>
        <v>16358.379130151583</v>
      </c>
      <c r="V374" s="29" t="s">
        <v>2983</v>
      </c>
    </row>
    <row r="375" spans="1:22" ht="15" customHeight="1" x14ac:dyDescent="0.25">
      <c r="A375" t="s">
        <v>365</v>
      </c>
      <c r="B375" t="s">
        <v>1790</v>
      </c>
      <c r="C375" t="s">
        <v>320</v>
      </c>
      <c r="D375" t="s">
        <v>321</v>
      </c>
      <c r="E375" t="s">
        <v>480</v>
      </c>
      <c r="F375" s="5">
        <v>98.734999999999999</v>
      </c>
      <c r="G375" t="s">
        <v>306</v>
      </c>
      <c r="H375" s="3">
        <v>75</v>
      </c>
      <c r="I375" s="3">
        <v>55</v>
      </c>
      <c r="J375" s="3">
        <v>30</v>
      </c>
      <c r="K375" s="3">
        <v>9.8000000000000007</v>
      </c>
      <c r="L375">
        <f t="shared" si="50"/>
        <v>0.12375</v>
      </c>
      <c r="M375">
        <f t="shared" si="58"/>
        <v>12.375</v>
      </c>
      <c r="N375" s="8">
        <v>100</v>
      </c>
      <c r="O375" s="14">
        <f t="shared" si="51"/>
        <v>9873.5</v>
      </c>
      <c r="P375" s="8">
        <v>40</v>
      </c>
      <c r="Q375" s="8">
        <f t="shared" si="52"/>
        <v>2.5</v>
      </c>
      <c r="R375" s="8">
        <f t="shared" si="53"/>
        <v>133.33333333333334</v>
      </c>
      <c r="S375" s="8">
        <f t="shared" si="54"/>
        <v>135.83333333333334</v>
      </c>
      <c r="T375" s="17">
        <f t="shared" si="59"/>
        <v>7.3080737801989581</v>
      </c>
      <c r="U375" s="19">
        <f t="shared" si="57"/>
        <v>16365.687203931782</v>
      </c>
      <c r="V375" s="29" t="s">
        <v>2983</v>
      </c>
    </row>
    <row r="376" spans="1:22" ht="15" customHeight="1" x14ac:dyDescent="0.25">
      <c r="A376" t="s">
        <v>365</v>
      </c>
      <c r="B376" t="s">
        <v>1818</v>
      </c>
      <c r="C376" t="s">
        <v>1823</v>
      </c>
      <c r="D376" t="s">
        <v>1827</v>
      </c>
      <c r="E376" t="s">
        <v>1411</v>
      </c>
      <c r="F376" s="5">
        <v>145</v>
      </c>
      <c r="G376" t="s">
        <v>305</v>
      </c>
      <c r="H376" s="3">
        <v>22</v>
      </c>
      <c r="I376" s="3">
        <v>24.3</v>
      </c>
      <c r="J376" s="3">
        <v>35</v>
      </c>
      <c r="K376" s="3">
        <v>2.5499999999999998</v>
      </c>
      <c r="L376">
        <f t="shared" si="50"/>
        <v>1.8710999999999998E-2</v>
      </c>
      <c r="M376">
        <f t="shared" si="58"/>
        <v>1.2162149999999998</v>
      </c>
      <c r="N376" s="8">
        <v>65</v>
      </c>
      <c r="O376" s="14">
        <f t="shared" si="51"/>
        <v>9425</v>
      </c>
      <c r="P376" s="8">
        <v>30</v>
      </c>
      <c r="Q376" s="8">
        <f t="shared" si="52"/>
        <v>2.1666666666666665</v>
      </c>
      <c r="R376" s="8">
        <f t="shared" si="53"/>
        <v>65</v>
      </c>
      <c r="S376" s="8">
        <f t="shared" si="54"/>
        <v>67.166666666666671</v>
      </c>
      <c r="T376" s="17">
        <f t="shared" si="59"/>
        <v>6.9761072951207961</v>
      </c>
      <c r="U376" s="19">
        <f t="shared" si="57"/>
        <v>16372.663311226903</v>
      </c>
      <c r="V376" s="29" t="s">
        <v>2983</v>
      </c>
    </row>
    <row r="377" spans="1:22" ht="15" customHeight="1" x14ac:dyDescent="0.25">
      <c r="A377" t="s">
        <v>365</v>
      </c>
      <c r="B377" t="s">
        <v>1818</v>
      </c>
      <c r="C377" t="s">
        <v>1819</v>
      </c>
      <c r="D377" t="s">
        <v>1820</v>
      </c>
      <c r="E377" t="s">
        <v>1411</v>
      </c>
      <c r="F377" s="5">
        <v>145</v>
      </c>
      <c r="G377" t="s">
        <v>362</v>
      </c>
      <c r="H377" s="3">
        <v>21</v>
      </c>
      <c r="I377" s="3">
        <v>24.3</v>
      </c>
      <c r="J377" s="3">
        <v>33</v>
      </c>
      <c r="K377" s="3">
        <v>2.52</v>
      </c>
      <c r="L377">
        <f t="shared" si="50"/>
        <v>1.6839899999999998E-2</v>
      </c>
      <c r="M377">
        <f t="shared" si="58"/>
        <v>1.0945934999999998</v>
      </c>
      <c r="N377" s="8">
        <v>65</v>
      </c>
      <c r="O377" s="14">
        <f t="shared" si="51"/>
        <v>9425</v>
      </c>
      <c r="P377" s="8">
        <v>30</v>
      </c>
      <c r="Q377" s="8">
        <f t="shared" si="52"/>
        <v>2.1666666666666665</v>
      </c>
      <c r="R377" s="8">
        <f t="shared" si="53"/>
        <v>65</v>
      </c>
      <c r="S377" s="8">
        <f t="shared" si="54"/>
        <v>67.166666666666671</v>
      </c>
      <c r="T377" s="17">
        <f t="shared" si="59"/>
        <v>6.9761072951207961</v>
      </c>
      <c r="U377" s="19">
        <f t="shared" si="57"/>
        <v>16379.639418522023</v>
      </c>
      <c r="V377" s="29" t="s">
        <v>2983</v>
      </c>
    </row>
    <row r="378" spans="1:22" ht="15" customHeight="1" x14ac:dyDescent="0.25">
      <c r="A378" t="s">
        <v>365</v>
      </c>
      <c r="B378" t="s">
        <v>1818</v>
      </c>
      <c r="C378" t="s">
        <v>1823</v>
      </c>
      <c r="D378" t="s">
        <v>1828</v>
      </c>
      <c r="E378" t="s">
        <v>1411</v>
      </c>
      <c r="F378" s="5">
        <v>119</v>
      </c>
      <c r="G378" t="s">
        <v>368</v>
      </c>
      <c r="H378" s="3">
        <v>38</v>
      </c>
      <c r="I378" s="3">
        <v>18.5</v>
      </c>
      <c r="J378" s="3">
        <v>21</v>
      </c>
      <c r="K378" s="3">
        <v>1.9</v>
      </c>
      <c r="L378">
        <f t="shared" si="50"/>
        <v>1.4763E-2</v>
      </c>
      <c r="M378">
        <f t="shared" si="58"/>
        <v>0.95959499999999998</v>
      </c>
      <c r="N378" s="8">
        <v>65</v>
      </c>
      <c r="O378" s="14">
        <f t="shared" si="51"/>
        <v>7735</v>
      </c>
      <c r="P378" s="8">
        <v>30</v>
      </c>
      <c r="Q378" s="8">
        <f t="shared" si="52"/>
        <v>2.1666666666666665</v>
      </c>
      <c r="R378" s="8">
        <f t="shared" si="53"/>
        <v>65</v>
      </c>
      <c r="S378" s="8">
        <f t="shared" si="54"/>
        <v>67.166666666666671</v>
      </c>
      <c r="T378" s="17">
        <f t="shared" si="59"/>
        <v>5.7252190904784461</v>
      </c>
      <c r="U378" s="19">
        <f t="shared" si="57"/>
        <v>16385.364637612503</v>
      </c>
      <c r="V378" s="29" t="s">
        <v>2983</v>
      </c>
    </row>
    <row r="379" spans="1:22" ht="15" customHeight="1" x14ac:dyDescent="0.25">
      <c r="A379" t="s">
        <v>365</v>
      </c>
      <c r="B379" t="s">
        <v>1818</v>
      </c>
      <c r="C379" t="s">
        <v>1823</v>
      </c>
      <c r="D379" t="s">
        <v>1831</v>
      </c>
      <c r="E379" t="s">
        <v>1411</v>
      </c>
      <c r="F379" s="5">
        <v>89</v>
      </c>
      <c r="G379" t="s">
        <v>1343</v>
      </c>
      <c r="H379" s="3">
        <v>39</v>
      </c>
      <c r="I379" s="3">
        <v>21</v>
      </c>
      <c r="J379" s="3">
        <v>24.5</v>
      </c>
      <c r="K379" s="3">
        <v>2.2599999999999998</v>
      </c>
      <c r="L379">
        <f t="shared" si="50"/>
        <v>2.00655E-2</v>
      </c>
      <c r="M379">
        <f t="shared" si="58"/>
        <v>1.3042575000000001</v>
      </c>
      <c r="N379" s="8">
        <v>65</v>
      </c>
      <c r="O379" s="14">
        <f t="shared" si="51"/>
        <v>5785</v>
      </c>
      <c r="P379" s="8">
        <v>30</v>
      </c>
      <c r="Q379" s="8">
        <f t="shared" si="52"/>
        <v>2.1666666666666665</v>
      </c>
      <c r="R379" s="8">
        <f t="shared" si="53"/>
        <v>65</v>
      </c>
      <c r="S379" s="8">
        <f t="shared" si="54"/>
        <v>67.166666666666671</v>
      </c>
      <c r="T379" s="17">
        <f t="shared" si="59"/>
        <v>4.2818865466603508</v>
      </c>
      <c r="U379" s="19">
        <f t="shared" si="57"/>
        <v>16389.646524159165</v>
      </c>
      <c r="V379" s="29" t="s">
        <v>2983</v>
      </c>
    </row>
    <row r="380" spans="1:22" ht="15" customHeight="1" x14ac:dyDescent="0.25">
      <c r="A380" t="s">
        <v>365</v>
      </c>
      <c r="B380" t="s">
        <v>1791</v>
      </c>
      <c r="C380" t="s">
        <v>1795</v>
      </c>
      <c r="D380" t="s">
        <v>1796</v>
      </c>
      <c r="E380" t="s">
        <v>234</v>
      </c>
      <c r="F380" s="5">
        <v>119</v>
      </c>
      <c r="G380" t="s">
        <v>388</v>
      </c>
      <c r="H380" s="3">
        <v>4.5</v>
      </c>
      <c r="I380" s="3">
        <v>54.5</v>
      </c>
      <c r="J380" s="3">
        <v>86</v>
      </c>
      <c r="K380" s="3">
        <v>5.4</v>
      </c>
      <c r="L380">
        <f t="shared" si="50"/>
        <v>2.1091499999999999E-2</v>
      </c>
      <c r="M380">
        <f t="shared" si="58"/>
        <v>0.73820249999999998</v>
      </c>
      <c r="N380" s="8">
        <v>35</v>
      </c>
      <c r="O380" s="14">
        <f t="shared" si="51"/>
        <v>4165</v>
      </c>
      <c r="P380" s="8">
        <v>40</v>
      </c>
      <c r="Q380" s="8">
        <f t="shared" si="52"/>
        <v>0.875</v>
      </c>
      <c r="R380" s="8">
        <f t="shared" si="53"/>
        <v>46.666666666666671</v>
      </c>
      <c r="S380" s="8">
        <f t="shared" si="54"/>
        <v>47.541666666666671</v>
      </c>
      <c r="T380" s="17">
        <f t="shared" si="59"/>
        <v>3.082810279488394</v>
      </c>
      <c r="U380" s="19">
        <f t="shared" si="57"/>
        <v>16392.729334438653</v>
      </c>
      <c r="V380" s="29" t="s">
        <v>2983</v>
      </c>
    </row>
    <row r="381" spans="1:22" ht="15" customHeight="1" x14ac:dyDescent="0.25">
      <c r="A381" t="s">
        <v>1913</v>
      </c>
      <c r="B381" t="s">
        <v>1914</v>
      </c>
      <c r="C381" t="s">
        <v>1938</v>
      </c>
      <c r="D381" t="s">
        <v>1943</v>
      </c>
      <c r="E381" t="s">
        <v>480</v>
      </c>
      <c r="F381" s="5">
        <v>1300</v>
      </c>
      <c r="G381" t="s">
        <v>1944</v>
      </c>
      <c r="H381" s="3">
        <v>2.8</v>
      </c>
      <c r="I381" s="3">
        <v>24.5</v>
      </c>
      <c r="J381" s="3">
        <v>34.6</v>
      </c>
      <c r="K381">
        <v>2.1</v>
      </c>
      <c r="L381">
        <f t="shared" si="50"/>
        <v>2.3735599999999998E-3</v>
      </c>
      <c r="M381">
        <f t="shared" si="58"/>
        <v>7.8090123999999994</v>
      </c>
      <c r="N381" s="8">
        <v>3290</v>
      </c>
      <c r="O381" s="14">
        <f t="shared" si="51"/>
        <v>4277000</v>
      </c>
      <c r="P381" s="8">
        <v>15</v>
      </c>
      <c r="Q381" s="8">
        <f t="shared" si="52"/>
        <v>219.33333333333334</v>
      </c>
      <c r="R381" s="8">
        <f t="shared" si="53"/>
        <v>1645</v>
      </c>
      <c r="S381" s="8">
        <f t="shared" si="54"/>
        <v>1864.3333333333333</v>
      </c>
      <c r="T381" s="17">
        <f t="shared" si="59"/>
        <v>3165.7093794410234</v>
      </c>
      <c r="U381" s="19">
        <f>T381</f>
        <v>3165.7093794410234</v>
      </c>
      <c r="V381" s="25" t="s">
        <v>2987</v>
      </c>
    </row>
    <row r="382" spans="1:22" ht="15" customHeight="1" x14ac:dyDescent="0.25">
      <c r="A382" t="s">
        <v>1913</v>
      </c>
      <c r="B382" t="s">
        <v>1344</v>
      </c>
      <c r="C382" t="s">
        <v>1349</v>
      </c>
      <c r="D382" t="s">
        <v>1870</v>
      </c>
      <c r="E382" t="s">
        <v>13</v>
      </c>
      <c r="F382" s="5">
        <v>1120</v>
      </c>
      <c r="G382" t="s">
        <v>1348</v>
      </c>
      <c r="H382" s="3">
        <v>18</v>
      </c>
      <c r="I382" s="3">
        <v>13</v>
      </c>
      <c r="J382" s="3">
        <v>19</v>
      </c>
      <c r="K382" s="3">
        <v>1.3</v>
      </c>
      <c r="L382">
        <f t="shared" si="50"/>
        <v>4.4460000000000003E-3</v>
      </c>
      <c r="M382">
        <f t="shared" si="58"/>
        <v>14.62734</v>
      </c>
      <c r="N382" s="8">
        <v>3290</v>
      </c>
      <c r="O382" s="14">
        <f t="shared" si="51"/>
        <v>3684800</v>
      </c>
      <c r="P382" s="8">
        <v>20</v>
      </c>
      <c r="Q382" s="8">
        <f t="shared" si="52"/>
        <v>164.5</v>
      </c>
      <c r="R382" s="8">
        <f t="shared" si="53"/>
        <v>2193.3333333333335</v>
      </c>
      <c r="S382" s="8">
        <f t="shared" si="54"/>
        <v>2357.8333333333335</v>
      </c>
      <c r="T382" s="17">
        <f t="shared" si="59"/>
        <v>2727.380388441497</v>
      </c>
      <c r="U382" s="19">
        <f t="shared" ref="U382:U413" si="60">U381+T382</f>
        <v>5893.0897678825204</v>
      </c>
      <c r="V382" s="25" t="s">
        <v>2987</v>
      </c>
    </row>
    <row r="383" spans="1:22" ht="15" customHeight="1" x14ac:dyDescent="0.25">
      <c r="A383" t="s">
        <v>1913</v>
      </c>
      <c r="B383" t="s">
        <v>1344</v>
      </c>
      <c r="C383" t="s">
        <v>1360</v>
      </c>
      <c r="D383" t="s">
        <v>1879</v>
      </c>
      <c r="E383" t="s">
        <v>13</v>
      </c>
      <c r="F383" s="5">
        <v>899</v>
      </c>
      <c r="G383" t="s">
        <v>1361</v>
      </c>
      <c r="H383" s="3">
        <v>31</v>
      </c>
      <c r="I383" s="3">
        <v>41</v>
      </c>
      <c r="J383" s="3">
        <v>52</v>
      </c>
      <c r="K383" s="3">
        <v>10</v>
      </c>
      <c r="L383">
        <f t="shared" si="50"/>
        <v>6.6091999999999998E-2</v>
      </c>
      <c r="M383">
        <f t="shared" si="58"/>
        <v>217.44268</v>
      </c>
      <c r="N383" s="8">
        <v>3290</v>
      </c>
      <c r="O383" s="14">
        <f t="shared" si="51"/>
        <v>2957710</v>
      </c>
      <c r="P383" s="8">
        <v>20</v>
      </c>
      <c r="Q383" s="8">
        <f t="shared" si="52"/>
        <v>164.5</v>
      </c>
      <c r="R383" s="8">
        <f t="shared" si="53"/>
        <v>2193.3333333333335</v>
      </c>
      <c r="S383" s="8">
        <f t="shared" si="54"/>
        <v>2357.8333333333335</v>
      </c>
      <c r="T383" s="17">
        <f t="shared" si="59"/>
        <v>2189.2097939365231</v>
      </c>
      <c r="U383" s="19">
        <f t="shared" si="60"/>
        <v>8082.2995618190434</v>
      </c>
      <c r="V383" s="25" t="s">
        <v>2987</v>
      </c>
    </row>
    <row r="384" spans="1:22" ht="15" customHeight="1" x14ac:dyDescent="0.25">
      <c r="A384" t="s">
        <v>1913</v>
      </c>
      <c r="B384" t="s">
        <v>1344</v>
      </c>
      <c r="C384" t="s">
        <v>1350</v>
      </c>
      <c r="D384" t="s">
        <v>1871</v>
      </c>
      <c r="E384" t="s">
        <v>13</v>
      </c>
      <c r="F384" s="5">
        <v>799</v>
      </c>
      <c r="G384" t="s">
        <v>1346</v>
      </c>
      <c r="H384" s="3">
        <v>12</v>
      </c>
      <c r="I384" s="3">
        <v>17</v>
      </c>
      <c r="J384" s="3">
        <v>14</v>
      </c>
      <c r="K384" s="3">
        <v>0.98</v>
      </c>
      <c r="L384">
        <f t="shared" si="50"/>
        <v>2.856E-3</v>
      </c>
      <c r="M384">
        <f t="shared" si="58"/>
        <v>9.3962400000000006</v>
      </c>
      <c r="N384" s="8">
        <v>3290</v>
      </c>
      <c r="O384" s="14">
        <f t="shared" si="51"/>
        <v>2628710</v>
      </c>
      <c r="P384" s="8">
        <v>20</v>
      </c>
      <c r="Q384" s="8">
        <f t="shared" si="52"/>
        <v>164.5</v>
      </c>
      <c r="R384" s="8">
        <f t="shared" si="53"/>
        <v>2193.3333333333335</v>
      </c>
      <c r="S384" s="8">
        <f t="shared" si="54"/>
        <v>2357.8333333333335</v>
      </c>
      <c r="T384" s="17">
        <f t="shared" si="59"/>
        <v>1945.6936878256752</v>
      </c>
      <c r="U384" s="19">
        <f t="shared" si="60"/>
        <v>10027.993249644718</v>
      </c>
      <c r="V384" s="25" t="s">
        <v>2987</v>
      </c>
    </row>
    <row r="385" spans="1:22" ht="15" customHeight="1" x14ac:dyDescent="0.25">
      <c r="A385" t="s">
        <v>1913</v>
      </c>
      <c r="B385" t="s">
        <v>1344</v>
      </c>
      <c r="C385" t="s">
        <v>1347</v>
      </c>
      <c r="D385" t="s">
        <v>1869</v>
      </c>
      <c r="E385" t="s">
        <v>13</v>
      </c>
      <c r="F385" s="5">
        <v>629</v>
      </c>
      <c r="G385" t="s">
        <v>1348</v>
      </c>
      <c r="H385" s="3">
        <v>15</v>
      </c>
      <c r="I385" s="3">
        <v>12</v>
      </c>
      <c r="J385" s="3">
        <v>17</v>
      </c>
      <c r="K385" s="3">
        <v>1</v>
      </c>
      <c r="L385">
        <f t="shared" si="50"/>
        <v>3.0599999999999998E-3</v>
      </c>
      <c r="M385">
        <f t="shared" si="58"/>
        <v>10.067399999999999</v>
      </c>
      <c r="N385" s="8">
        <v>3290</v>
      </c>
      <c r="O385" s="14">
        <f t="shared" si="51"/>
        <v>2069410</v>
      </c>
      <c r="P385" s="8">
        <v>20</v>
      </c>
      <c r="Q385" s="8">
        <f t="shared" si="52"/>
        <v>164.5</v>
      </c>
      <c r="R385" s="8">
        <f t="shared" si="53"/>
        <v>2193.3333333333335</v>
      </c>
      <c r="S385" s="8">
        <f t="shared" si="54"/>
        <v>2357.8333333333335</v>
      </c>
      <c r="T385" s="17">
        <f t="shared" si="59"/>
        <v>1531.7163074372336</v>
      </c>
      <c r="U385" s="19">
        <f t="shared" si="60"/>
        <v>11559.709557081951</v>
      </c>
      <c r="V385" s="25" t="s">
        <v>2987</v>
      </c>
    </row>
    <row r="386" spans="1:22" ht="15" customHeight="1" x14ac:dyDescent="0.25">
      <c r="A386" t="s">
        <v>1913</v>
      </c>
      <c r="B386" t="s">
        <v>1914</v>
      </c>
      <c r="C386" t="s">
        <v>1931</v>
      </c>
      <c r="D386" t="s">
        <v>1937</v>
      </c>
      <c r="E386" t="s">
        <v>1933</v>
      </c>
      <c r="F386" s="5">
        <v>625</v>
      </c>
      <c r="G386" t="s">
        <v>1930</v>
      </c>
      <c r="H386" s="3">
        <v>375</v>
      </c>
      <c r="I386" s="3">
        <v>125</v>
      </c>
      <c r="J386" s="3">
        <v>1075</v>
      </c>
      <c r="K386">
        <v>1.53</v>
      </c>
      <c r="L386">
        <f t="shared" ref="L386:L449" si="61">J386*I386*H386/1000000</f>
        <v>50.390625</v>
      </c>
      <c r="M386">
        <f t="shared" si="58"/>
        <v>165785.15625</v>
      </c>
      <c r="N386" s="8">
        <v>3290</v>
      </c>
      <c r="O386" s="14">
        <f t="shared" ref="O386:O449" si="62">N386*F386</f>
        <v>2056250</v>
      </c>
      <c r="P386" s="8">
        <v>15</v>
      </c>
      <c r="Q386" s="8">
        <f t="shared" ref="Q386:Q449" si="63">N386/P386</f>
        <v>219.33333333333334</v>
      </c>
      <c r="R386" s="8">
        <f t="shared" ref="R386:R449" si="64">(N386/30)*P386</f>
        <v>1645</v>
      </c>
      <c r="S386" s="8">
        <f t="shared" ref="S386:S449" si="65">Q386+R386</f>
        <v>1864.3333333333333</v>
      </c>
      <c r="T386" s="17">
        <f t="shared" si="59"/>
        <v>1521.9756631927996</v>
      </c>
      <c r="U386" s="19">
        <f t="shared" si="60"/>
        <v>13081.68522027475</v>
      </c>
      <c r="V386" s="25" t="s">
        <v>2987</v>
      </c>
    </row>
    <row r="387" spans="1:22" ht="15" customHeight="1" x14ac:dyDescent="0.25">
      <c r="A387" t="s">
        <v>1913</v>
      </c>
      <c r="B387" t="s">
        <v>1344</v>
      </c>
      <c r="C387" t="s">
        <v>1353</v>
      </c>
      <c r="D387" t="s">
        <v>1873</v>
      </c>
      <c r="E387" t="s">
        <v>13</v>
      </c>
      <c r="F387" s="5">
        <v>597</v>
      </c>
      <c r="G387" t="s">
        <v>1354</v>
      </c>
      <c r="H387" s="3">
        <v>25</v>
      </c>
      <c r="I387" s="3">
        <v>10</v>
      </c>
      <c r="J387" s="3">
        <v>10</v>
      </c>
      <c r="K387" s="3">
        <v>0.93</v>
      </c>
      <c r="L387">
        <f t="shared" si="61"/>
        <v>2.5000000000000001E-3</v>
      </c>
      <c r="M387">
        <f t="shared" si="58"/>
        <v>8.2249999999999996</v>
      </c>
      <c r="N387" s="8">
        <v>3290</v>
      </c>
      <c r="O387" s="14">
        <f t="shared" si="62"/>
        <v>1964130</v>
      </c>
      <c r="P387" s="8">
        <v>20</v>
      </c>
      <c r="Q387" s="8">
        <f t="shared" si="63"/>
        <v>164.5</v>
      </c>
      <c r="R387" s="8">
        <f t="shared" si="64"/>
        <v>2193.3333333333335</v>
      </c>
      <c r="S387" s="8">
        <f t="shared" si="65"/>
        <v>2357.8333333333335</v>
      </c>
      <c r="T387" s="17">
        <f t="shared" si="59"/>
        <v>1453.7911534817622</v>
      </c>
      <c r="U387" s="19">
        <f t="shared" si="60"/>
        <v>14535.476373756512</v>
      </c>
      <c r="V387" s="25" t="s">
        <v>2987</v>
      </c>
    </row>
    <row r="388" spans="1:22" ht="15" customHeight="1" x14ac:dyDescent="0.25">
      <c r="A388" t="s">
        <v>1913</v>
      </c>
      <c r="B388" t="s">
        <v>1344</v>
      </c>
      <c r="C388" t="s">
        <v>1366</v>
      </c>
      <c r="D388" t="s">
        <v>1882</v>
      </c>
      <c r="E388" t="s">
        <v>13</v>
      </c>
      <c r="F388" s="5">
        <v>500</v>
      </c>
      <c r="G388" t="s">
        <v>1365</v>
      </c>
      <c r="H388" s="3">
        <v>11</v>
      </c>
      <c r="I388" s="3">
        <v>15</v>
      </c>
      <c r="J388" s="3">
        <v>18</v>
      </c>
      <c r="K388" s="3">
        <v>1.7</v>
      </c>
      <c r="L388">
        <f t="shared" si="61"/>
        <v>2.97E-3</v>
      </c>
      <c r="M388">
        <f t="shared" si="58"/>
        <v>9.7713000000000001</v>
      </c>
      <c r="N388" s="8">
        <v>3290</v>
      </c>
      <c r="O388" s="14">
        <f t="shared" si="62"/>
        <v>1645000</v>
      </c>
      <c r="P388" s="8">
        <v>20</v>
      </c>
      <c r="Q388" s="8">
        <f t="shared" si="63"/>
        <v>164.5</v>
      </c>
      <c r="R388" s="8">
        <f t="shared" si="64"/>
        <v>2193.3333333333335</v>
      </c>
      <c r="S388" s="8">
        <f t="shared" si="65"/>
        <v>2357.8333333333335</v>
      </c>
      <c r="T388" s="17">
        <f t="shared" si="59"/>
        <v>1217.5805305542397</v>
      </c>
      <c r="U388" s="19">
        <f t="shared" si="60"/>
        <v>15753.056904310752</v>
      </c>
      <c r="V388" s="25" t="s">
        <v>2987</v>
      </c>
    </row>
    <row r="389" spans="1:22" ht="15" customHeight="1" x14ac:dyDescent="0.25">
      <c r="A389" t="s">
        <v>1913</v>
      </c>
      <c r="B389" t="s">
        <v>1914</v>
      </c>
      <c r="C389" t="s">
        <v>1938</v>
      </c>
      <c r="D389" t="s">
        <v>1939</v>
      </c>
      <c r="E389" t="s">
        <v>480</v>
      </c>
      <c r="F389" s="5">
        <v>490</v>
      </c>
      <c r="G389" t="s">
        <v>1940</v>
      </c>
      <c r="H389" s="3">
        <v>1.75</v>
      </c>
      <c r="I389" s="3">
        <v>20.9</v>
      </c>
      <c r="J389" s="3">
        <v>29</v>
      </c>
      <c r="K389">
        <v>1.1000000000000001</v>
      </c>
      <c r="L389">
        <f t="shared" si="61"/>
        <v>1.0606749999999996E-3</v>
      </c>
      <c r="M389">
        <f t="shared" si="58"/>
        <v>3.4896207499999989</v>
      </c>
      <c r="N389" s="8">
        <v>3290</v>
      </c>
      <c r="O389" s="14">
        <f t="shared" si="62"/>
        <v>1612100</v>
      </c>
      <c r="P389" s="8">
        <v>15</v>
      </c>
      <c r="Q389" s="8">
        <f t="shared" si="63"/>
        <v>219.33333333333334</v>
      </c>
      <c r="R389" s="8">
        <f t="shared" si="64"/>
        <v>1645</v>
      </c>
      <c r="S389" s="8">
        <f t="shared" si="65"/>
        <v>1864.3333333333333</v>
      </c>
      <c r="T389" s="17">
        <f t="shared" si="59"/>
        <v>1193.228919943155</v>
      </c>
      <c r="U389" s="19">
        <f t="shared" si="60"/>
        <v>16946.285824253908</v>
      </c>
      <c r="V389" s="25" t="s">
        <v>2987</v>
      </c>
    </row>
    <row r="390" spans="1:22" ht="15" customHeight="1" x14ac:dyDescent="0.25">
      <c r="A390" t="s">
        <v>1913</v>
      </c>
      <c r="B390" t="s">
        <v>1373</v>
      </c>
      <c r="C390" t="s">
        <v>1389</v>
      </c>
      <c r="D390" t="s">
        <v>1899</v>
      </c>
      <c r="E390" t="s">
        <v>13</v>
      </c>
      <c r="F390" s="5">
        <v>2287</v>
      </c>
      <c r="G390" t="s">
        <v>359</v>
      </c>
      <c r="H390" s="3">
        <v>15</v>
      </c>
      <c r="I390" s="3">
        <v>5</v>
      </c>
      <c r="J390" s="3">
        <v>8</v>
      </c>
      <c r="K390" s="3">
        <v>0.41</v>
      </c>
      <c r="L390">
        <f t="shared" si="61"/>
        <v>5.9999999999999995E-4</v>
      </c>
      <c r="M390">
        <f t="shared" si="58"/>
        <v>0.36</v>
      </c>
      <c r="N390" s="8">
        <v>600</v>
      </c>
      <c r="O390" s="14">
        <f t="shared" si="62"/>
        <v>1372200</v>
      </c>
      <c r="P390" s="8">
        <v>15</v>
      </c>
      <c r="Q390" s="8">
        <f t="shared" si="63"/>
        <v>40</v>
      </c>
      <c r="R390" s="8">
        <f t="shared" si="64"/>
        <v>300</v>
      </c>
      <c r="S390" s="8">
        <f t="shared" si="65"/>
        <v>340</v>
      </c>
      <c r="T390" s="17">
        <f t="shared" si="59"/>
        <v>1015.6620085267646</v>
      </c>
      <c r="U390" s="19">
        <f t="shared" si="60"/>
        <v>17961.947832780672</v>
      </c>
      <c r="V390" s="25" t="s">
        <v>2987</v>
      </c>
    </row>
    <row r="391" spans="1:22" ht="15" customHeight="1" x14ac:dyDescent="0.25">
      <c r="A391" t="s">
        <v>1913</v>
      </c>
      <c r="B391" t="s">
        <v>1373</v>
      </c>
      <c r="C391" t="s">
        <v>1374</v>
      </c>
      <c r="D391" t="s">
        <v>1888</v>
      </c>
      <c r="E391" t="s">
        <v>13</v>
      </c>
      <c r="F391" s="5">
        <v>2200</v>
      </c>
      <c r="G391" t="s">
        <v>1352</v>
      </c>
      <c r="H391" s="3">
        <v>14</v>
      </c>
      <c r="I391" s="3">
        <v>0.82</v>
      </c>
      <c r="J391" s="3">
        <v>7.33</v>
      </c>
      <c r="K391" s="3">
        <v>0.16</v>
      </c>
      <c r="L391">
        <f t="shared" si="61"/>
        <v>8.4148399999999995E-5</v>
      </c>
      <c r="M391">
        <f t="shared" si="58"/>
        <v>5.0489039999999999E-2</v>
      </c>
      <c r="N391" s="8">
        <v>600</v>
      </c>
      <c r="O391" s="14">
        <f t="shared" si="62"/>
        <v>1320000</v>
      </c>
      <c r="P391" s="8">
        <v>15</v>
      </c>
      <c r="Q391" s="8">
        <f t="shared" si="63"/>
        <v>40</v>
      </c>
      <c r="R391" s="8">
        <f t="shared" si="64"/>
        <v>300</v>
      </c>
      <c r="S391" s="8">
        <f t="shared" si="65"/>
        <v>340</v>
      </c>
      <c r="T391" s="17">
        <f t="shared" si="59"/>
        <v>977.02510658455708</v>
      </c>
      <c r="U391" s="19">
        <f t="shared" si="60"/>
        <v>18938.972939365231</v>
      </c>
      <c r="V391" s="27" t="s">
        <v>2982</v>
      </c>
    </row>
    <row r="392" spans="1:22" ht="15" customHeight="1" x14ac:dyDescent="0.25">
      <c r="A392" t="s">
        <v>1913</v>
      </c>
      <c r="B392" t="s">
        <v>1344</v>
      </c>
      <c r="C392" t="s">
        <v>1367</v>
      </c>
      <c r="D392" t="s">
        <v>1883</v>
      </c>
      <c r="E392" t="s">
        <v>13</v>
      </c>
      <c r="F392" s="5">
        <v>332</v>
      </c>
      <c r="G392" t="s">
        <v>1365</v>
      </c>
      <c r="H392" s="3">
        <v>5</v>
      </c>
      <c r="I392" s="3">
        <v>15</v>
      </c>
      <c r="J392" s="3">
        <v>18</v>
      </c>
      <c r="K392" s="3">
        <v>1.5</v>
      </c>
      <c r="L392">
        <f t="shared" si="61"/>
        <v>1.3500000000000001E-3</v>
      </c>
      <c r="M392">
        <f t="shared" si="58"/>
        <v>4.4415000000000004</v>
      </c>
      <c r="N392" s="8">
        <v>3290</v>
      </c>
      <c r="O392" s="14">
        <f t="shared" si="62"/>
        <v>1092280</v>
      </c>
      <c r="P392" s="8">
        <v>20</v>
      </c>
      <c r="Q392" s="8">
        <f t="shared" si="63"/>
        <v>164.5</v>
      </c>
      <c r="R392" s="8">
        <f t="shared" si="64"/>
        <v>2193.3333333333335</v>
      </c>
      <c r="S392" s="8">
        <f t="shared" si="65"/>
        <v>2357.8333333333335</v>
      </c>
      <c r="T392" s="17">
        <f t="shared" si="59"/>
        <v>808.47347228801516</v>
      </c>
      <c r="U392" s="19">
        <f t="shared" si="60"/>
        <v>19747.446411653247</v>
      </c>
      <c r="V392" s="27" t="s">
        <v>2982</v>
      </c>
    </row>
    <row r="393" spans="1:22" ht="15" customHeight="1" x14ac:dyDescent="0.25">
      <c r="A393" t="s">
        <v>1913</v>
      </c>
      <c r="B393" t="s">
        <v>1344</v>
      </c>
      <c r="C393" t="s">
        <v>1364</v>
      </c>
      <c r="D393" t="s">
        <v>1881</v>
      </c>
      <c r="E393" t="s">
        <v>13</v>
      </c>
      <c r="F393" s="5">
        <v>269</v>
      </c>
      <c r="G393" t="s">
        <v>1365</v>
      </c>
      <c r="H393" s="3">
        <v>5</v>
      </c>
      <c r="I393" s="3">
        <v>15</v>
      </c>
      <c r="J393" s="3">
        <v>18</v>
      </c>
      <c r="K393" s="3">
        <v>1.2</v>
      </c>
      <c r="L393">
        <f t="shared" si="61"/>
        <v>1.3500000000000001E-3</v>
      </c>
      <c r="M393">
        <f t="shared" si="58"/>
        <v>4.4415000000000004</v>
      </c>
      <c r="N393" s="8">
        <v>3290</v>
      </c>
      <c r="O393" s="14">
        <f t="shared" si="62"/>
        <v>885010</v>
      </c>
      <c r="P393" s="8">
        <v>20</v>
      </c>
      <c r="Q393" s="8">
        <f t="shared" si="63"/>
        <v>164.5</v>
      </c>
      <c r="R393" s="8">
        <f t="shared" si="64"/>
        <v>2193.3333333333335</v>
      </c>
      <c r="S393" s="8">
        <f t="shared" si="65"/>
        <v>2357.8333333333335</v>
      </c>
      <c r="T393" s="17">
        <f t="shared" si="59"/>
        <v>655.05832543818099</v>
      </c>
      <c r="U393" s="19">
        <f t="shared" si="60"/>
        <v>20402.504737091429</v>
      </c>
      <c r="V393" s="27" t="s">
        <v>2982</v>
      </c>
    </row>
    <row r="394" spans="1:22" ht="15" customHeight="1" x14ac:dyDescent="0.25">
      <c r="A394" t="s">
        <v>1913</v>
      </c>
      <c r="B394" t="s">
        <v>1373</v>
      </c>
      <c r="C394" t="s">
        <v>1382</v>
      </c>
      <c r="D394" t="s">
        <v>1894</v>
      </c>
      <c r="E394" t="s">
        <v>13</v>
      </c>
      <c r="F394" s="5">
        <v>1300</v>
      </c>
      <c r="G394" t="s">
        <v>1383</v>
      </c>
      <c r="H394" s="3">
        <v>11</v>
      </c>
      <c r="I394" s="3">
        <v>0.93</v>
      </c>
      <c r="J394" s="3">
        <v>5.86</v>
      </c>
      <c r="K394" s="3">
        <v>0.14000000000000001</v>
      </c>
      <c r="L394">
        <f t="shared" si="61"/>
        <v>5.9947800000000009E-5</v>
      </c>
      <c r="M394">
        <f t="shared" si="58"/>
        <v>3.5968680000000003E-2</v>
      </c>
      <c r="N394" s="8">
        <v>600</v>
      </c>
      <c r="O394" s="14">
        <f t="shared" si="62"/>
        <v>780000</v>
      </c>
      <c r="P394" s="8">
        <v>15</v>
      </c>
      <c r="Q394" s="8">
        <f t="shared" si="63"/>
        <v>40</v>
      </c>
      <c r="R394" s="8">
        <f t="shared" si="64"/>
        <v>300</v>
      </c>
      <c r="S394" s="8">
        <f t="shared" si="65"/>
        <v>340</v>
      </c>
      <c r="T394" s="17">
        <f t="shared" si="59"/>
        <v>577.33301752723833</v>
      </c>
      <c r="U394" s="19">
        <f t="shared" si="60"/>
        <v>20979.837754618668</v>
      </c>
      <c r="V394" s="27" t="s">
        <v>2982</v>
      </c>
    </row>
    <row r="395" spans="1:22" ht="15" customHeight="1" x14ac:dyDescent="0.25">
      <c r="A395" t="s">
        <v>1913</v>
      </c>
      <c r="B395" t="s">
        <v>1344</v>
      </c>
      <c r="C395" t="s">
        <v>1359</v>
      </c>
      <c r="D395" t="s">
        <v>1878</v>
      </c>
      <c r="E395" t="s">
        <v>13</v>
      </c>
      <c r="F395" s="5">
        <v>159</v>
      </c>
      <c r="G395" t="s">
        <v>306</v>
      </c>
      <c r="H395" s="3">
        <v>29</v>
      </c>
      <c r="I395" s="3">
        <v>25</v>
      </c>
      <c r="J395" s="3">
        <v>14</v>
      </c>
      <c r="K395" s="3">
        <v>1.5</v>
      </c>
      <c r="L395">
        <f t="shared" si="61"/>
        <v>1.0149999999999999E-2</v>
      </c>
      <c r="M395">
        <f t="shared" si="58"/>
        <v>33.393499999999996</v>
      </c>
      <c r="N395" s="8">
        <v>3290</v>
      </c>
      <c r="O395" s="14">
        <f t="shared" si="62"/>
        <v>523110</v>
      </c>
      <c r="P395" s="8">
        <v>20</v>
      </c>
      <c r="Q395" s="8">
        <f t="shared" si="63"/>
        <v>164.5</v>
      </c>
      <c r="R395" s="8">
        <f t="shared" si="64"/>
        <v>2193.3333333333335</v>
      </c>
      <c r="S395" s="8">
        <f t="shared" si="65"/>
        <v>2357.8333333333335</v>
      </c>
      <c r="T395" s="17">
        <f t="shared" si="59"/>
        <v>387.19060871624822</v>
      </c>
      <c r="U395" s="19">
        <f t="shared" si="60"/>
        <v>21367.028363334917</v>
      </c>
      <c r="V395" s="27" t="s">
        <v>2982</v>
      </c>
    </row>
    <row r="396" spans="1:22" ht="15" customHeight="1" x14ac:dyDescent="0.25">
      <c r="A396" t="s">
        <v>1913</v>
      </c>
      <c r="B396" t="s">
        <v>1373</v>
      </c>
      <c r="C396" t="s">
        <v>1392</v>
      </c>
      <c r="D396" t="s">
        <v>1901</v>
      </c>
      <c r="E396" t="s">
        <v>13</v>
      </c>
      <c r="F396" s="5">
        <v>849</v>
      </c>
      <c r="G396" t="s">
        <v>1352</v>
      </c>
      <c r="H396" s="3">
        <v>7.41</v>
      </c>
      <c r="I396" s="3">
        <v>0.88</v>
      </c>
      <c r="J396" s="3">
        <v>14.15</v>
      </c>
      <c r="K396" s="3">
        <v>0.15</v>
      </c>
      <c r="L396">
        <f t="shared" si="61"/>
        <v>9.2269320000000002E-5</v>
      </c>
      <c r="M396">
        <f t="shared" si="58"/>
        <v>5.5361592000000001E-2</v>
      </c>
      <c r="N396" s="8">
        <v>600</v>
      </c>
      <c r="O396" s="14">
        <f t="shared" si="62"/>
        <v>509400</v>
      </c>
      <c r="P396" s="8">
        <v>15</v>
      </c>
      <c r="Q396" s="8">
        <f t="shared" si="63"/>
        <v>40</v>
      </c>
      <c r="R396" s="8">
        <f t="shared" si="64"/>
        <v>300</v>
      </c>
      <c r="S396" s="8">
        <f t="shared" si="65"/>
        <v>340</v>
      </c>
      <c r="T396" s="17">
        <f t="shared" si="59"/>
        <v>377.0428706774041</v>
      </c>
      <c r="U396" s="19">
        <f t="shared" si="60"/>
        <v>21744.071234012321</v>
      </c>
      <c r="V396" s="27" t="s">
        <v>2982</v>
      </c>
    </row>
    <row r="397" spans="1:22" ht="15" customHeight="1" x14ac:dyDescent="0.25">
      <c r="A397" t="s">
        <v>1913</v>
      </c>
      <c r="B397" t="s">
        <v>1344</v>
      </c>
      <c r="C397" t="s">
        <v>1358</v>
      </c>
      <c r="D397" t="s">
        <v>1877</v>
      </c>
      <c r="E397" t="s">
        <v>13</v>
      </c>
      <c r="F397" s="5">
        <v>150</v>
      </c>
      <c r="G397" t="s">
        <v>306</v>
      </c>
      <c r="H397" s="3">
        <v>28</v>
      </c>
      <c r="I397" s="3">
        <v>53</v>
      </c>
      <c r="J397" s="3">
        <v>26</v>
      </c>
      <c r="K397" s="3">
        <v>5</v>
      </c>
      <c r="L397">
        <f t="shared" si="61"/>
        <v>3.8584E-2</v>
      </c>
      <c r="M397">
        <f t="shared" si="58"/>
        <v>126.94136</v>
      </c>
      <c r="N397" s="8">
        <v>3290</v>
      </c>
      <c r="O397" s="14">
        <f t="shared" si="62"/>
        <v>493500</v>
      </c>
      <c r="P397" s="8">
        <v>20</v>
      </c>
      <c r="Q397" s="8">
        <f t="shared" si="63"/>
        <v>164.5</v>
      </c>
      <c r="R397" s="8">
        <f t="shared" si="64"/>
        <v>2193.3333333333335</v>
      </c>
      <c r="S397" s="8">
        <f t="shared" si="65"/>
        <v>2357.8333333333335</v>
      </c>
      <c r="T397" s="17">
        <f t="shared" si="59"/>
        <v>365.27415916627194</v>
      </c>
      <c r="U397" s="19">
        <f t="shared" si="60"/>
        <v>22109.345393178592</v>
      </c>
      <c r="V397" s="27" t="s">
        <v>2982</v>
      </c>
    </row>
    <row r="398" spans="1:22" ht="15" customHeight="1" x14ac:dyDescent="0.25">
      <c r="A398" t="s">
        <v>1913</v>
      </c>
      <c r="B398" t="s">
        <v>1373</v>
      </c>
      <c r="C398" t="s">
        <v>1387</v>
      </c>
      <c r="D398" t="s">
        <v>1897</v>
      </c>
      <c r="E398" t="s">
        <v>13</v>
      </c>
      <c r="F398" s="5">
        <v>764</v>
      </c>
      <c r="G398" t="s">
        <v>1352</v>
      </c>
      <c r="H398" s="3">
        <v>7.11</v>
      </c>
      <c r="I398" s="3">
        <v>0.86</v>
      </c>
      <c r="J398" s="3">
        <v>13.96</v>
      </c>
      <c r="K398" s="3">
        <v>0.14000000000000001</v>
      </c>
      <c r="L398">
        <f t="shared" si="61"/>
        <v>8.5359816000000013E-5</v>
      </c>
      <c r="M398">
        <f t="shared" si="58"/>
        <v>5.1215889600000009E-2</v>
      </c>
      <c r="N398" s="8">
        <v>600</v>
      </c>
      <c r="O398" s="14">
        <f t="shared" si="62"/>
        <v>458400</v>
      </c>
      <c r="P398" s="8">
        <v>15</v>
      </c>
      <c r="Q398" s="8">
        <f t="shared" si="63"/>
        <v>40</v>
      </c>
      <c r="R398" s="8">
        <f t="shared" si="64"/>
        <v>300</v>
      </c>
      <c r="S398" s="8">
        <f t="shared" si="65"/>
        <v>340</v>
      </c>
      <c r="T398" s="17">
        <f t="shared" si="59"/>
        <v>339.2941733775462</v>
      </c>
      <c r="U398" s="19">
        <f t="shared" si="60"/>
        <v>22448.639566556139</v>
      </c>
      <c r="V398" s="27" t="s">
        <v>2982</v>
      </c>
    </row>
    <row r="399" spans="1:22" ht="15" customHeight="1" x14ac:dyDescent="0.25">
      <c r="A399" t="s">
        <v>1913</v>
      </c>
      <c r="B399" t="s">
        <v>1373</v>
      </c>
      <c r="C399" t="s">
        <v>1381</v>
      </c>
      <c r="D399" t="s">
        <v>1893</v>
      </c>
      <c r="E399" t="s">
        <v>13</v>
      </c>
      <c r="F399" s="5">
        <v>703</v>
      </c>
      <c r="G399" t="s">
        <v>1379</v>
      </c>
      <c r="H399" s="3">
        <v>12</v>
      </c>
      <c r="I399" s="3">
        <v>1.1599999999999999</v>
      </c>
      <c r="J399" s="3">
        <v>6.59</v>
      </c>
      <c r="K399" s="3">
        <v>0.38</v>
      </c>
      <c r="L399">
        <f t="shared" si="61"/>
        <v>9.1732799999999997E-5</v>
      </c>
      <c r="M399">
        <f t="shared" si="58"/>
        <v>5.5039680000000001E-2</v>
      </c>
      <c r="N399" s="8">
        <v>600</v>
      </c>
      <c r="O399" s="14">
        <f t="shared" si="62"/>
        <v>421800</v>
      </c>
      <c r="P399" s="8">
        <v>15</v>
      </c>
      <c r="Q399" s="8">
        <f t="shared" si="63"/>
        <v>40</v>
      </c>
      <c r="R399" s="8">
        <f t="shared" si="64"/>
        <v>300</v>
      </c>
      <c r="S399" s="8">
        <f t="shared" si="65"/>
        <v>340</v>
      </c>
      <c r="T399" s="17">
        <f t="shared" si="59"/>
        <v>312.20393178588347</v>
      </c>
      <c r="U399" s="19">
        <f t="shared" si="60"/>
        <v>22760.843498342023</v>
      </c>
      <c r="V399" s="27" t="s">
        <v>2982</v>
      </c>
    </row>
    <row r="400" spans="1:22" ht="15" customHeight="1" x14ac:dyDescent="0.25">
      <c r="A400" t="s">
        <v>1913</v>
      </c>
      <c r="B400" t="s">
        <v>1373</v>
      </c>
      <c r="C400" t="s">
        <v>1388</v>
      </c>
      <c r="D400" t="s">
        <v>1898</v>
      </c>
      <c r="E400" t="s">
        <v>13</v>
      </c>
      <c r="F400" s="5">
        <v>699</v>
      </c>
      <c r="G400" t="s">
        <v>359</v>
      </c>
      <c r="H400" s="3">
        <v>6</v>
      </c>
      <c r="I400" s="3">
        <v>0.98</v>
      </c>
      <c r="J400" s="3">
        <v>12</v>
      </c>
      <c r="K400" s="3">
        <v>0.12</v>
      </c>
      <c r="L400">
        <f t="shared" si="61"/>
        <v>7.0560000000000002E-5</v>
      </c>
      <c r="M400">
        <f t="shared" si="58"/>
        <v>4.2335999999999999E-2</v>
      </c>
      <c r="N400" s="8">
        <v>600</v>
      </c>
      <c r="O400" s="14">
        <f t="shared" si="62"/>
        <v>419400</v>
      </c>
      <c r="P400" s="8">
        <v>15</v>
      </c>
      <c r="Q400" s="8">
        <f t="shared" si="63"/>
        <v>40</v>
      </c>
      <c r="R400" s="8">
        <f t="shared" si="64"/>
        <v>300</v>
      </c>
      <c r="S400" s="8">
        <f t="shared" si="65"/>
        <v>340</v>
      </c>
      <c r="T400" s="17">
        <f t="shared" si="59"/>
        <v>310.42752250118428</v>
      </c>
      <c r="U400" s="19">
        <f t="shared" si="60"/>
        <v>23071.271020843207</v>
      </c>
      <c r="V400" s="27" t="s">
        <v>2982</v>
      </c>
    </row>
    <row r="401" spans="1:22" ht="15" customHeight="1" x14ac:dyDescent="0.25">
      <c r="A401" t="s">
        <v>1913</v>
      </c>
      <c r="B401" t="s">
        <v>1373</v>
      </c>
      <c r="C401" t="s">
        <v>1375</v>
      </c>
      <c r="D401" t="s">
        <v>1889</v>
      </c>
      <c r="E401" t="s">
        <v>13</v>
      </c>
      <c r="F401" s="5">
        <v>615</v>
      </c>
      <c r="G401" t="s">
        <v>359</v>
      </c>
      <c r="H401" s="3">
        <v>7</v>
      </c>
      <c r="I401" s="3">
        <v>0.98</v>
      </c>
      <c r="J401" s="3">
        <v>3</v>
      </c>
      <c r="K401" s="3">
        <v>0.36</v>
      </c>
      <c r="L401">
        <f t="shared" si="61"/>
        <v>2.0579999999999999E-5</v>
      </c>
      <c r="M401">
        <f t="shared" si="58"/>
        <v>1.2348E-2</v>
      </c>
      <c r="N401" s="8">
        <v>600</v>
      </c>
      <c r="O401" s="14">
        <f t="shared" si="62"/>
        <v>369000</v>
      </c>
      <c r="P401" s="8">
        <v>15</v>
      </c>
      <c r="Q401" s="8">
        <f t="shared" si="63"/>
        <v>40</v>
      </c>
      <c r="R401" s="8">
        <f t="shared" si="64"/>
        <v>300</v>
      </c>
      <c r="S401" s="8">
        <f t="shared" si="65"/>
        <v>340</v>
      </c>
      <c r="T401" s="17">
        <f t="shared" si="59"/>
        <v>273.12292752250119</v>
      </c>
      <c r="U401" s="19">
        <f t="shared" si="60"/>
        <v>23344.393948365709</v>
      </c>
      <c r="V401" s="29" t="s">
        <v>2983</v>
      </c>
    </row>
    <row r="402" spans="1:22" ht="15" customHeight="1" x14ac:dyDescent="0.25">
      <c r="A402" t="s">
        <v>1913</v>
      </c>
      <c r="B402" t="s">
        <v>1373</v>
      </c>
      <c r="C402" t="s">
        <v>1385</v>
      </c>
      <c r="D402" t="s">
        <v>1896</v>
      </c>
      <c r="E402" t="s">
        <v>13</v>
      </c>
      <c r="F402" s="5">
        <v>615</v>
      </c>
      <c r="G402" t="s">
        <v>1386</v>
      </c>
      <c r="H402" s="3">
        <v>6</v>
      </c>
      <c r="I402" s="3">
        <v>0.79</v>
      </c>
      <c r="J402" s="3">
        <v>13.13</v>
      </c>
      <c r="K402" s="3">
        <v>0.11</v>
      </c>
      <c r="L402">
        <f t="shared" si="61"/>
        <v>6.2236200000000006E-5</v>
      </c>
      <c r="M402">
        <f t="shared" si="58"/>
        <v>3.7341720000000002E-2</v>
      </c>
      <c r="N402" s="8">
        <v>600</v>
      </c>
      <c r="O402" s="14">
        <f t="shared" si="62"/>
        <v>369000</v>
      </c>
      <c r="P402" s="8">
        <v>15</v>
      </c>
      <c r="Q402" s="8">
        <f t="shared" si="63"/>
        <v>40</v>
      </c>
      <c r="R402" s="8">
        <f t="shared" si="64"/>
        <v>300</v>
      </c>
      <c r="S402" s="8">
        <f t="shared" si="65"/>
        <v>340</v>
      </c>
      <c r="T402" s="17">
        <f t="shared" si="59"/>
        <v>273.12292752250119</v>
      </c>
      <c r="U402" s="19">
        <f t="shared" si="60"/>
        <v>23617.51687588821</v>
      </c>
      <c r="V402" s="29" t="s">
        <v>2983</v>
      </c>
    </row>
    <row r="403" spans="1:22" ht="15" customHeight="1" x14ac:dyDescent="0.25">
      <c r="A403" t="s">
        <v>1913</v>
      </c>
      <c r="B403" t="s">
        <v>1373</v>
      </c>
      <c r="C403" t="s">
        <v>1378</v>
      </c>
      <c r="D403" t="s">
        <v>1891</v>
      </c>
      <c r="E403" t="s">
        <v>13</v>
      </c>
      <c r="F403" s="5">
        <v>527</v>
      </c>
      <c r="G403" t="s">
        <v>1379</v>
      </c>
      <c r="H403" s="3">
        <v>13</v>
      </c>
      <c r="I403" s="3">
        <v>6</v>
      </c>
      <c r="J403" s="3">
        <v>7</v>
      </c>
      <c r="K403" s="3">
        <v>0.27</v>
      </c>
      <c r="L403">
        <f t="shared" si="61"/>
        <v>5.4600000000000004E-4</v>
      </c>
      <c r="M403">
        <f t="shared" si="58"/>
        <v>0.3276</v>
      </c>
      <c r="N403" s="8">
        <v>600</v>
      </c>
      <c r="O403" s="14">
        <f t="shared" si="62"/>
        <v>316200</v>
      </c>
      <c r="P403" s="8">
        <v>15</v>
      </c>
      <c r="Q403" s="8">
        <f t="shared" si="63"/>
        <v>40</v>
      </c>
      <c r="R403" s="8">
        <f t="shared" si="64"/>
        <v>300</v>
      </c>
      <c r="S403" s="8">
        <f t="shared" si="65"/>
        <v>340</v>
      </c>
      <c r="T403" s="17">
        <f t="shared" si="59"/>
        <v>234.0419232591189</v>
      </c>
      <c r="U403" s="19">
        <f t="shared" si="60"/>
        <v>23851.558799147329</v>
      </c>
      <c r="V403" s="29" t="s">
        <v>2983</v>
      </c>
    </row>
    <row r="404" spans="1:22" ht="15" customHeight="1" x14ac:dyDescent="0.25">
      <c r="A404" t="s">
        <v>1913</v>
      </c>
      <c r="B404" t="s">
        <v>1373</v>
      </c>
      <c r="C404" t="s">
        <v>1380</v>
      </c>
      <c r="D404" t="s">
        <v>1892</v>
      </c>
      <c r="E404" t="s">
        <v>13</v>
      </c>
      <c r="F404" s="5">
        <v>289</v>
      </c>
      <c r="G404" t="s">
        <v>440</v>
      </c>
      <c r="H404" s="3">
        <v>1.22</v>
      </c>
      <c r="I404" s="3">
        <v>10.199999999999999</v>
      </c>
      <c r="J404" s="3">
        <v>5</v>
      </c>
      <c r="K404" s="3">
        <v>0.1</v>
      </c>
      <c r="L404">
        <f t="shared" si="61"/>
        <v>6.2219999999999997E-5</v>
      </c>
      <c r="M404">
        <f t="shared" si="58"/>
        <v>3.7331999999999997E-2</v>
      </c>
      <c r="N404" s="8">
        <v>600</v>
      </c>
      <c r="O404" s="14">
        <f t="shared" si="62"/>
        <v>173400</v>
      </c>
      <c r="P404" s="8">
        <v>15</v>
      </c>
      <c r="Q404" s="8">
        <f t="shared" si="63"/>
        <v>40</v>
      </c>
      <c r="R404" s="8">
        <f t="shared" si="64"/>
        <v>300</v>
      </c>
      <c r="S404" s="8">
        <f t="shared" si="65"/>
        <v>340</v>
      </c>
      <c r="T404" s="17">
        <f t="shared" si="59"/>
        <v>128.34557081951681</v>
      </c>
      <c r="U404" s="19">
        <f t="shared" si="60"/>
        <v>23979.904369966847</v>
      </c>
      <c r="V404" s="29" t="s">
        <v>2983</v>
      </c>
    </row>
    <row r="405" spans="1:22" ht="15" customHeight="1" x14ac:dyDescent="0.25">
      <c r="A405" t="s">
        <v>1913</v>
      </c>
      <c r="B405" t="s">
        <v>1373</v>
      </c>
      <c r="C405" t="s">
        <v>1391</v>
      </c>
      <c r="D405" t="s">
        <v>1892</v>
      </c>
      <c r="E405" t="s">
        <v>13</v>
      </c>
      <c r="F405" s="5">
        <v>289</v>
      </c>
      <c r="G405" t="s">
        <v>440</v>
      </c>
      <c r="H405" s="3">
        <v>1.22</v>
      </c>
      <c r="I405" s="3">
        <v>10.29</v>
      </c>
      <c r="J405" s="3">
        <v>5.92</v>
      </c>
      <c r="K405" s="3">
        <v>0.1</v>
      </c>
      <c r="L405">
        <f t="shared" si="61"/>
        <v>7.4318495999999999E-5</v>
      </c>
      <c r="M405">
        <f t="shared" si="58"/>
        <v>4.4591097599999997E-2</v>
      </c>
      <c r="N405" s="8">
        <v>600</v>
      </c>
      <c r="O405" s="14">
        <f t="shared" si="62"/>
        <v>173400</v>
      </c>
      <c r="P405" s="8">
        <v>15</v>
      </c>
      <c r="Q405" s="8">
        <f t="shared" si="63"/>
        <v>40</v>
      </c>
      <c r="R405" s="8">
        <f t="shared" si="64"/>
        <v>300</v>
      </c>
      <c r="S405" s="8">
        <f t="shared" si="65"/>
        <v>340</v>
      </c>
      <c r="T405" s="17">
        <f t="shared" si="59"/>
        <v>128.34557081951681</v>
      </c>
      <c r="U405" s="19">
        <f t="shared" si="60"/>
        <v>24108.249940786365</v>
      </c>
      <c r="V405" s="29" t="s">
        <v>2983</v>
      </c>
    </row>
    <row r="406" spans="1:22" ht="15" customHeight="1" x14ac:dyDescent="0.25">
      <c r="A406" t="s">
        <v>1913</v>
      </c>
      <c r="B406" t="s">
        <v>1914</v>
      </c>
      <c r="C406" t="s">
        <v>1938</v>
      </c>
      <c r="D406" t="s">
        <v>1941</v>
      </c>
      <c r="E406" t="s">
        <v>480</v>
      </c>
      <c r="F406" s="5">
        <v>850</v>
      </c>
      <c r="G406" t="s">
        <v>1942</v>
      </c>
      <c r="H406" s="3">
        <v>2.48</v>
      </c>
      <c r="I406" s="3">
        <v>34.799999999999997</v>
      </c>
      <c r="J406" s="3">
        <v>24.1</v>
      </c>
      <c r="K406">
        <v>2.2999999999999998</v>
      </c>
      <c r="L406">
        <f t="shared" si="61"/>
        <v>2.0799263999999999E-3</v>
      </c>
      <c r="M406">
        <f t="shared" si="58"/>
        <v>0.31198895999999998</v>
      </c>
      <c r="N406" s="8">
        <v>150</v>
      </c>
      <c r="O406" s="14">
        <f t="shared" si="62"/>
        <v>127500</v>
      </c>
      <c r="P406" s="8">
        <v>15</v>
      </c>
      <c r="Q406" s="8">
        <f t="shared" si="63"/>
        <v>10</v>
      </c>
      <c r="R406" s="8">
        <f t="shared" si="64"/>
        <v>75</v>
      </c>
      <c r="S406" s="8">
        <f t="shared" si="65"/>
        <v>85</v>
      </c>
      <c r="T406" s="17">
        <f t="shared" si="59"/>
        <v>94.371743249644723</v>
      </c>
      <c r="U406" s="19">
        <f t="shared" si="60"/>
        <v>24202.62168403601</v>
      </c>
      <c r="V406" s="29" t="s">
        <v>2983</v>
      </c>
    </row>
    <row r="407" spans="1:22" ht="15" customHeight="1" x14ac:dyDescent="0.25">
      <c r="A407" t="s">
        <v>1913</v>
      </c>
      <c r="B407" t="s">
        <v>1914</v>
      </c>
      <c r="C407" t="s">
        <v>1923</v>
      </c>
      <c r="D407" t="s">
        <v>1927</v>
      </c>
      <c r="E407" t="s">
        <v>1925</v>
      </c>
      <c r="F407" s="5">
        <v>37</v>
      </c>
      <c r="G407" t="s">
        <v>1928</v>
      </c>
      <c r="H407" s="3">
        <v>270</v>
      </c>
      <c r="I407" s="3">
        <v>105</v>
      </c>
      <c r="J407" s="3">
        <v>156</v>
      </c>
      <c r="K407">
        <v>1.5</v>
      </c>
      <c r="L407">
        <f t="shared" si="61"/>
        <v>4.4226000000000001</v>
      </c>
      <c r="M407">
        <f t="shared" si="58"/>
        <v>14550.354000000001</v>
      </c>
      <c r="N407" s="8">
        <v>3290</v>
      </c>
      <c r="O407" s="14">
        <f t="shared" si="62"/>
        <v>121730</v>
      </c>
      <c r="P407" s="8">
        <v>15</v>
      </c>
      <c r="Q407" s="8">
        <f t="shared" si="63"/>
        <v>219.33333333333334</v>
      </c>
      <c r="R407" s="8">
        <f t="shared" si="64"/>
        <v>1645</v>
      </c>
      <c r="S407" s="8">
        <f t="shared" si="65"/>
        <v>1864.3333333333333</v>
      </c>
      <c r="T407" s="17">
        <f t="shared" si="59"/>
        <v>90.100959261013742</v>
      </c>
      <c r="U407" s="19">
        <f t="shared" si="60"/>
        <v>24292.722643297024</v>
      </c>
      <c r="V407" s="29" t="s">
        <v>2983</v>
      </c>
    </row>
    <row r="408" spans="1:22" ht="15" customHeight="1" x14ac:dyDescent="0.25">
      <c r="A408" t="s">
        <v>1913</v>
      </c>
      <c r="B408" t="s">
        <v>1373</v>
      </c>
      <c r="C408" t="s">
        <v>1396</v>
      </c>
      <c r="D408" t="s">
        <v>1904</v>
      </c>
      <c r="E408" t="s">
        <v>13</v>
      </c>
      <c r="F408" s="5">
        <v>175</v>
      </c>
      <c r="G408" t="s">
        <v>1397</v>
      </c>
      <c r="H408" s="3">
        <v>10</v>
      </c>
      <c r="I408" s="3">
        <v>4</v>
      </c>
      <c r="J408" s="3">
        <v>9</v>
      </c>
      <c r="K408" s="3">
        <v>0.39</v>
      </c>
      <c r="L408">
        <f t="shared" si="61"/>
        <v>3.6000000000000002E-4</v>
      </c>
      <c r="M408">
        <f t="shared" si="58"/>
        <v>0.21600000000000003</v>
      </c>
      <c r="N408" s="8">
        <v>600</v>
      </c>
      <c r="O408" s="14">
        <f t="shared" si="62"/>
        <v>105000</v>
      </c>
      <c r="P408" s="8">
        <v>15</v>
      </c>
      <c r="Q408" s="8">
        <f t="shared" si="63"/>
        <v>40</v>
      </c>
      <c r="R408" s="8">
        <f t="shared" si="64"/>
        <v>300</v>
      </c>
      <c r="S408" s="8">
        <f t="shared" si="65"/>
        <v>340</v>
      </c>
      <c r="T408" s="17">
        <f t="shared" si="59"/>
        <v>77.71790620558977</v>
      </c>
      <c r="U408" s="19">
        <f t="shared" si="60"/>
        <v>24370.440549502615</v>
      </c>
      <c r="V408" s="29" t="s">
        <v>2983</v>
      </c>
    </row>
    <row r="409" spans="1:22" ht="15" customHeight="1" x14ac:dyDescent="0.25">
      <c r="A409" t="s">
        <v>1913</v>
      </c>
      <c r="B409" t="s">
        <v>1373</v>
      </c>
      <c r="C409" t="s">
        <v>1384</v>
      </c>
      <c r="D409" t="s">
        <v>1895</v>
      </c>
      <c r="E409" t="s">
        <v>13</v>
      </c>
      <c r="F409" s="5">
        <v>175</v>
      </c>
      <c r="G409" t="s">
        <v>440</v>
      </c>
      <c r="H409" s="3">
        <v>8</v>
      </c>
      <c r="I409" s="3">
        <v>6</v>
      </c>
      <c r="J409" s="3">
        <v>11</v>
      </c>
      <c r="K409" s="3">
        <v>0.23</v>
      </c>
      <c r="L409">
        <f t="shared" si="61"/>
        <v>5.2800000000000004E-4</v>
      </c>
      <c r="M409">
        <f t="shared" si="58"/>
        <v>0.31680000000000003</v>
      </c>
      <c r="N409" s="8">
        <v>600</v>
      </c>
      <c r="O409" s="14">
        <f t="shared" si="62"/>
        <v>105000</v>
      </c>
      <c r="P409" s="8">
        <v>15</v>
      </c>
      <c r="Q409" s="8">
        <f t="shared" si="63"/>
        <v>40</v>
      </c>
      <c r="R409" s="8">
        <f t="shared" si="64"/>
        <v>300</v>
      </c>
      <c r="S409" s="8">
        <f t="shared" si="65"/>
        <v>340</v>
      </c>
      <c r="T409" s="17">
        <f t="shared" si="59"/>
        <v>77.71790620558977</v>
      </c>
      <c r="U409" s="19">
        <f t="shared" si="60"/>
        <v>24448.158455708206</v>
      </c>
      <c r="V409" s="29" t="s">
        <v>2983</v>
      </c>
    </row>
    <row r="410" spans="1:22" ht="15" customHeight="1" x14ac:dyDescent="0.25">
      <c r="A410" t="s">
        <v>1913</v>
      </c>
      <c r="B410" t="s">
        <v>1914</v>
      </c>
      <c r="C410" t="s">
        <v>1923</v>
      </c>
      <c r="D410" t="s">
        <v>436</v>
      </c>
      <c r="E410" t="s">
        <v>1925</v>
      </c>
      <c r="F410" s="5">
        <v>28</v>
      </c>
      <c r="G410" t="s">
        <v>1363</v>
      </c>
      <c r="H410" s="3">
        <v>96</v>
      </c>
      <c r="I410" s="3">
        <v>303</v>
      </c>
      <c r="J410" s="3">
        <v>186</v>
      </c>
      <c r="K410">
        <v>1.56</v>
      </c>
      <c r="L410">
        <f t="shared" si="61"/>
        <v>5.4103680000000001</v>
      </c>
      <c r="M410">
        <f t="shared" si="58"/>
        <v>17800.110720000001</v>
      </c>
      <c r="N410" s="8">
        <v>3290</v>
      </c>
      <c r="O410" s="14">
        <f t="shared" si="62"/>
        <v>92120</v>
      </c>
      <c r="P410" s="8">
        <v>15</v>
      </c>
      <c r="Q410" s="8">
        <f t="shared" si="63"/>
        <v>219.33333333333334</v>
      </c>
      <c r="R410" s="8">
        <f t="shared" si="64"/>
        <v>1645</v>
      </c>
      <c r="S410" s="8">
        <f t="shared" si="65"/>
        <v>1864.3333333333333</v>
      </c>
      <c r="T410" s="17">
        <f t="shared" si="59"/>
        <v>68.184509711037421</v>
      </c>
      <c r="U410" s="19">
        <f t="shared" si="60"/>
        <v>24516.342965419244</v>
      </c>
      <c r="V410" s="29" t="s">
        <v>2983</v>
      </c>
    </row>
    <row r="411" spans="1:22" ht="15" customHeight="1" x14ac:dyDescent="0.25">
      <c r="A411" t="s">
        <v>1913</v>
      </c>
      <c r="B411" t="s">
        <v>1914</v>
      </c>
      <c r="C411" t="s">
        <v>1957</v>
      </c>
      <c r="D411" t="s">
        <v>1959</v>
      </c>
      <c r="E411" t="s">
        <v>480</v>
      </c>
      <c r="F411" s="5">
        <v>510</v>
      </c>
      <c r="G411" t="s">
        <v>441</v>
      </c>
      <c r="H411" s="3">
        <v>34.630000000000003</v>
      </c>
      <c r="I411" s="3">
        <v>46.46</v>
      </c>
      <c r="J411" s="3">
        <v>15.6</v>
      </c>
      <c r="K411">
        <v>2.1</v>
      </c>
      <c r="L411">
        <f t="shared" si="61"/>
        <v>2.509899288E-2</v>
      </c>
      <c r="M411">
        <f t="shared" si="58"/>
        <v>3.764848932</v>
      </c>
      <c r="N411" s="8">
        <v>150</v>
      </c>
      <c r="O411" s="14">
        <f t="shared" si="62"/>
        <v>76500</v>
      </c>
      <c r="P411" s="8">
        <v>15</v>
      </c>
      <c r="Q411" s="8">
        <f t="shared" si="63"/>
        <v>10</v>
      </c>
      <c r="R411" s="8">
        <f t="shared" si="64"/>
        <v>75</v>
      </c>
      <c r="S411" s="8">
        <f t="shared" si="65"/>
        <v>85</v>
      </c>
      <c r="T411" s="17">
        <f t="shared" si="59"/>
        <v>56.623045949786835</v>
      </c>
      <c r="U411" s="19">
        <f t="shared" si="60"/>
        <v>24572.96601136903</v>
      </c>
      <c r="V411" s="29" t="s">
        <v>2983</v>
      </c>
    </row>
    <row r="412" spans="1:22" ht="15" customHeight="1" x14ac:dyDescent="0.25">
      <c r="A412" t="s">
        <v>1913</v>
      </c>
      <c r="B412" t="s">
        <v>1344</v>
      </c>
      <c r="C412" t="s">
        <v>1356</v>
      </c>
      <c r="D412" t="s">
        <v>1875</v>
      </c>
      <c r="E412" t="s">
        <v>13</v>
      </c>
      <c r="F412" s="5">
        <v>1259</v>
      </c>
      <c r="G412" t="s">
        <v>1354</v>
      </c>
      <c r="H412" s="3">
        <v>25</v>
      </c>
      <c r="I412" s="3">
        <v>10</v>
      </c>
      <c r="J412" s="3">
        <v>10</v>
      </c>
      <c r="K412" s="3">
        <v>0.56999999999999995</v>
      </c>
      <c r="L412">
        <f t="shared" si="61"/>
        <v>2.5000000000000001E-3</v>
      </c>
      <c r="M412">
        <f t="shared" si="58"/>
        <v>0.15</v>
      </c>
      <c r="N412" s="8">
        <v>60</v>
      </c>
      <c r="O412" s="14">
        <f t="shared" si="62"/>
        <v>75540</v>
      </c>
      <c r="P412" s="8">
        <v>20</v>
      </c>
      <c r="Q412" s="8">
        <f t="shared" si="63"/>
        <v>3</v>
      </c>
      <c r="R412" s="8">
        <f t="shared" si="64"/>
        <v>40</v>
      </c>
      <c r="S412" s="8">
        <f t="shared" si="65"/>
        <v>43</v>
      </c>
      <c r="T412" s="17">
        <f t="shared" si="59"/>
        <v>55.912482235907156</v>
      </c>
      <c r="U412" s="19">
        <f t="shared" si="60"/>
        <v>24628.878493604938</v>
      </c>
      <c r="V412" s="29" t="s">
        <v>2983</v>
      </c>
    </row>
    <row r="413" spans="1:22" ht="15" customHeight="1" x14ac:dyDescent="0.25">
      <c r="A413" t="s">
        <v>1913</v>
      </c>
      <c r="B413" t="s">
        <v>1373</v>
      </c>
      <c r="C413" t="s">
        <v>1406</v>
      </c>
      <c r="D413" t="s">
        <v>1911</v>
      </c>
      <c r="E413" t="s">
        <v>13</v>
      </c>
      <c r="F413" s="5">
        <v>119</v>
      </c>
      <c r="G413" t="s">
        <v>1379</v>
      </c>
      <c r="H413" s="3">
        <v>9</v>
      </c>
      <c r="I413" s="3">
        <v>14</v>
      </c>
      <c r="J413" s="3">
        <v>5</v>
      </c>
      <c r="K413" s="3">
        <v>0.39</v>
      </c>
      <c r="L413">
        <f t="shared" si="61"/>
        <v>6.3000000000000003E-4</v>
      </c>
      <c r="M413">
        <f t="shared" si="58"/>
        <v>0.378</v>
      </c>
      <c r="N413" s="8">
        <v>600</v>
      </c>
      <c r="O413" s="14">
        <f t="shared" si="62"/>
        <v>71400</v>
      </c>
      <c r="P413" s="8">
        <v>15</v>
      </c>
      <c r="Q413" s="8">
        <f t="shared" si="63"/>
        <v>40</v>
      </c>
      <c r="R413" s="8">
        <f t="shared" si="64"/>
        <v>300</v>
      </c>
      <c r="S413" s="8">
        <f t="shared" si="65"/>
        <v>340</v>
      </c>
      <c r="T413" s="17">
        <f t="shared" si="59"/>
        <v>52.84817621980104</v>
      </c>
      <c r="U413" s="19">
        <f t="shared" si="60"/>
        <v>24681.72666982474</v>
      </c>
      <c r="V413" s="29" t="s">
        <v>2983</v>
      </c>
    </row>
    <row r="414" spans="1:22" ht="15" customHeight="1" x14ac:dyDescent="0.25">
      <c r="A414" t="s">
        <v>1913</v>
      </c>
      <c r="B414" t="s">
        <v>1914</v>
      </c>
      <c r="C414" t="s">
        <v>1951</v>
      </c>
      <c r="D414" t="s">
        <v>1953</v>
      </c>
      <c r="E414" t="s">
        <v>480</v>
      </c>
      <c r="F414" s="5">
        <v>680</v>
      </c>
      <c r="G414" t="s">
        <v>1954</v>
      </c>
      <c r="H414" s="3">
        <v>18.8</v>
      </c>
      <c r="I414" s="3">
        <v>53.7</v>
      </c>
      <c r="J414" s="3">
        <v>28.9</v>
      </c>
      <c r="K414">
        <v>6.2</v>
      </c>
      <c r="L414">
        <f t="shared" si="61"/>
        <v>2.9176284000000004E-2</v>
      </c>
      <c r="M414">
        <f t="shared" si="58"/>
        <v>2.9176284000000003</v>
      </c>
      <c r="N414" s="8">
        <v>100</v>
      </c>
      <c r="O414" s="14">
        <f t="shared" si="62"/>
        <v>68000</v>
      </c>
      <c r="P414" s="8">
        <v>15</v>
      </c>
      <c r="Q414" s="8">
        <f t="shared" si="63"/>
        <v>6.666666666666667</v>
      </c>
      <c r="R414" s="8">
        <f t="shared" si="64"/>
        <v>50</v>
      </c>
      <c r="S414" s="8">
        <f t="shared" si="65"/>
        <v>56.666666666666664</v>
      </c>
      <c r="T414" s="17">
        <f t="shared" si="59"/>
        <v>50.331596399810515</v>
      </c>
      <c r="U414" s="19">
        <f t="shared" ref="U414:U445" si="66">U413+T414</f>
        <v>24732.058266224551</v>
      </c>
      <c r="V414" s="29" t="s">
        <v>2983</v>
      </c>
    </row>
    <row r="415" spans="1:22" ht="15" customHeight="1" x14ac:dyDescent="0.25">
      <c r="A415" t="s">
        <v>1913</v>
      </c>
      <c r="B415" t="s">
        <v>1914</v>
      </c>
      <c r="C415" t="s">
        <v>438</v>
      </c>
      <c r="D415" t="s">
        <v>1955</v>
      </c>
      <c r="E415" t="s">
        <v>480</v>
      </c>
      <c r="F415" s="5">
        <v>500</v>
      </c>
      <c r="G415" t="s">
        <v>437</v>
      </c>
      <c r="H415" s="3">
        <v>50</v>
      </c>
      <c r="I415" s="3">
        <v>45</v>
      </c>
      <c r="J415" s="3">
        <v>25</v>
      </c>
      <c r="K415">
        <v>15</v>
      </c>
      <c r="L415">
        <f t="shared" si="61"/>
        <v>5.6250000000000001E-2</v>
      </c>
      <c r="M415">
        <f t="shared" si="58"/>
        <v>7.3125</v>
      </c>
      <c r="N415" s="8">
        <v>130</v>
      </c>
      <c r="O415" s="14">
        <f t="shared" si="62"/>
        <v>65000</v>
      </c>
      <c r="P415" s="8">
        <v>15</v>
      </c>
      <c r="Q415" s="8">
        <f t="shared" si="63"/>
        <v>8.6666666666666661</v>
      </c>
      <c r="R415" s="8">
        <f t="shared" si="64"/>
        <v>65</v>
      </c>
      <c r="S415" s="8">
        <f t="shared" si="65"/>
        <v>73.666666666666671</v>
      </c>
      <c r="T415" s="17">
        <f t="shared" si="59"/>
        <v>48.111084793936527</v>
      </c>
      <c r="U415" s="19">
        <f t="shared" si="66"/>
        <v>24780.169351018489</v>
      </c>
      <c r="V415" s="29" t="s">
        <v>2983</v>
      </c>
    </row>
    <row r="416" spans="1:22" ht="15" customHeight="1" x14ac:dyDescent="0.25">
      <c r="A416" t="s">
        <v>1913</v>
      </c>
      <c r="B416" t="s">
        <v>1914</v>
      </c>
      <c r="C416" t="s">
        <v>438</v>
      </c>
      <c r="D416" t="s">
        <v>1956</v>
      </c>
      <c r="E416" t="s">
        <v>480</v>
      </c>
      <c r="F416" s="5">
        <v>480</v>
      </c>
      <c r="G416" t="s">
        <v>437</v>
      </c>
      <c r="H416" s="3">
        <v>48</v>
      </c>
      <c r="I416" s="3">
        <v>46</v>
      </c>
      <c r="J416" s="3">
        <v>30</v>
      </c>
      <c r="K416">
        <v>18</v>
      </c>
      <c r="L416">
        <f t="shared" si="61"/>
        <v>6.6239999999999993E-2</v>
      </c>
      <c r="M416">
        <f t="shared" si="58"/>
        <v>8.6111999999999984</v>
      </c>
      <c r="N416" s="8">
        <v>130</v>
      </c>
      <c r="O416" s="14">
        <f t="shared" si="62"/>
        <v>62400</v>
      </c>
      <c r="P416" s="8">
        <v>15</v>
      </c>
      <c r="Q416" s="8">
        <f t="shared" si="63"/>
        <v>8.6666666666666661</v>
      </c>
      <c r="R416" s="8">
        <f t="shared" si="64"/>
        <v>65</v>
      </c>
      <c r="S416" s="8">
        <f t="shared" si="65"/>
        <v>73.666666666666671</v>
      </c>
      <c r="T416" s="17">
        <f t="shared" si="59"/>
        <v>46.186641402179063</v>
      </c>
      <c r="U416" s="19">
        <f t="shared" si="66"/>
        <v>24826.355992420667</v>
      </c>
      <c r="V416" s="29" t="s">
        <v>2983</v>
      </c>
    </row>
    <row r="417" spans="1:22" ht="15" customHeight="1" x14ac:dyDescent="0.25">
      <c r="A417" t="s">
        <v>1913</v>
      </c>
      <c r="B417" t="s">
        <v>1914</v>
      </c>
      <c r="C417" t="s">
        <v>1931</v>
      </c>
      <c r="D417" t="s">
        <v>1932</v>
      </c>
      <c r="E417" t="s">
        <v>1933</v>
      </c>
      <c r="F417" s="5">
        <v>450</v>
      </c>
      <c r="G417" t="s">
        <v>1930</v>
      </c>
      <c r="H417" s="3">
        <v>250</v>
      </c>
      <c r="I417" s="3">
        <v>250</v>
      </c>
      <c r="J417" s="3">
        <v>375</v>
      </c>
      <c r="K417">
        <v>12.5</v>
      </c>
      <c r="L417">
        <f t="shared" si="61"/>
        <v>23.4375</v>
      </c>
      <c r="M417">
        <f t="shared" si="58"/>
        <v>2812.5</v>
      </c>
      <c r="N417" s="8">
        <v>120</v>
      </c>
      <c r="O417" s="14">
        <f t="shared" si="62"/>
        <v>54000</v>
      </c>
      <c r="P417" s="8">
        <v>15</v>
      </c>
      <c r="Q417" s="8">
        <f t="shared" si="63"/>
        <v>8</v>
      </c>
      <c r="R417" s="8">
        <f t="shared" si="64"/>
        <v>60</v>
      </c>
      <c r="S417" s="8">
        <f t="shared" si="65"/>
        <v>68</v>
      </c>
      <c r="T417" s="17">
        <f t="shared" si="59"/>
        <v>39.969208905731882</v>
      </c>
      <c r="U417" s="19">
        <f t="shared" si="66"/>
        <v>24866.325201326399</v>
      </c>
      <c r="V417" s="29" t="s">
        <v>2983</v>
      </c>
    </row>
    <row r="418" spans="1:22" ht="15" customHeight="1" x14ac:dyDescent="0.25">
      <c r="A418" t="s">
        <v>1913</v>
      </c>
      <c r="B418" t="s">
        <v>1344</v>
      </c>
      <c r="C418" t="s">
        <v>1345</v>
      </c>
      <c r="D418" t="s">
        <v>1868</v>
      </c>
      <c r="E418" t="s">
        <v>13</v>
      </c>
      <c r="F418" s="5">
        <v>799</v>
      </c>
      <c r="G418" t="s">
        <v>1346</v>
      </c>
      <c r="H418" s="3">
        <v>12</v>
      </c>
      <c r="I418" s="3">
        <v>17</v>
      </c>
      <c r="J418" s="3">
        <v>14</v>
      </c>
      <c r="K418" s="3">
        <v>0.48</v>
      </c>
      <c r="L418">
        <f t="shared" si="61"/>
        <v>2.856E-3</v>
      </c>
      <c r="M418">
        <f t="shared" si="58"/>
        <v>0.17136000000000001</v>
      </c>
      <c r="N418" s="8">
        <v>60</v>
      </c>
      <c r="O418" s="14">
        <f t="shared" si="62"/>
        <v>47940</v>
      </c>
      <c r="P418" s="8">
        <v>20</v>
      </c>
      <c r="Q418" s="8">
        <f t="shared" si="63"/>
        <v>3</v>
      </c>
      <c r="R418" s="8">
        <f t="shared" si="64"/>
        <v>40</v>
      </c>
      <c r="S418" s="8">
        <f t="shared" si="65"/>
        <v>43</v>
      </c>
      <c r="T418" s="17">
        <f t="shared" si="59"/>
        <v>35.483775461866415</v>
      </c>
      <c r="U418" s="19">
        <f t="shared" si="66"/>
        <v>24901.808976788267</v>
      </c>
      <c r="V418" s="29" t="s">
        <v>2983</v>
      </c>
    </row>
    <row r="419" spans="1:22" ht="15" customHeight="1" x14ac:dyDescent="0.25">
      <c r="A419" t="s">
        <v>1913</v>
      </c>
      <c r="B419" t="s">
        <v>1373</v>
      </c>
      <c r="C419" t="s">
        <v>1401</v>
      </c>
      <c r="D419" t="s">
        <v>1907</v>
      </c>
      <c r="E419" t="s">
        <v>13</v>
      </c>
      <c r="F419" s="5">
        <v>79</v>
      </c>
      <c r="G419" t="s">
        <v>1379</v>
      </c>
      <c r="H419" s="3">
        <v>17</v>
      </c>
      <c r="I419" s="3">
        <v>11</v>
      </c>
      <c r="J419" s="3">
        <v>11</v>
      </c>
      <c r="K419" s="3">
        <v>0.42</v>
      </c>
      <c r="L419">
        <f t="shared" si="61"/>
        <v>2.0569999999999998E-3</v>
      </c>
      <c r="M419">
        <f t="shared" si="58"/>
        <v>1.2342</v>
      </c>
      <c r="N419" s="8">
        <v>600</v>
      </c>
      <c r="O419" s="14">
        <f t="shared" si="62"/>
        <v>47400</v>
      </c>
      <c r="P419" s="8">
        <v>15</v>
      </c>
      <c r="Q419" s="8">
        <f t="shared" si="63"/>
        <v>40</v>
      </c>
      <c r="R419" s="8">
        <f t="shared" si="64"/>
        <v>300</v>
      </c>
      <c r="S419" s="8">
        <f t="shared" si="65"/>
        <v>340</v>
      </c>
      <c r="T419" s="17">
        <f t="shared" si="59"/>
        <v>35.084083372809097</v>
      </c>
      <c r="U419" s="19">
        <f t="shared" si="66"/>
        <v>24936.893060161077</v>
      </c>
      <c r="V419" s="29" t="s">
        <v>2983</v>
      </c>
    </row>
    <row r="420" spans="1:22" ht="15" customHeight="1" x14ac:dyDescent="0.25">
      <c r="A420" t="s">
        <v>1913</v>
      </c>
      <c r="B420" t="s">
        <v>1373</v>
      </c>
      <c r="C420" t="s">
        <v>1404</v>
      </c>
      <c r="D420" t="s">
        <v>1909</v>
      </c>
      <c r="E420" t="s">
        <v>13</v>
      </c>
      <c r="F420" s="5">
        <v>79</v>
      </c>
      <c r="G420" t="s">
        <v>1397</v>
      </c>
      <c r="H420" s="3">
        <v>9</v>
      </c>
      <c r="I420" s="3">
        <v>17</v>
      </c>
      <c r="J420" s="3">
        <v>13</v>
      </c>
      <c r="K420" s="3">
        <v>0.39</v>
      </c>
      <c r="L420">
        <f t="shared" si="61"/>
        <v>1.9889999999999999E-3</v>
      </c>
      <c r="M420">
        <f t="shared" si="58"/>
        <v>1.1934</v>
      </c>
      <c r="N420" s="8">
        <v>600</v>
      </c>
      <c r="O420" s="14">
        <f t="shared" si="62"/>
        <v>47400</v>
      </c>
      <c r="P420" s="8">
        <v>15</v>
      </c>
      <c r="Q420" s="8">
        <f t="shared" si="63"/>
        <v>40</v>
      </c>
      <c r="R420" s="8">
        <f t="shared" si="64"/>
        <v>300</v>
      </c>
      <c r="S420" s="8">
        <f t="shared" si="65"/>
        <v>340</v>
      </c>
      <c r="T420" s="17">
        <f t="shared" si="59"/>
        <v>35.084083372809097</v>
      </c>
      <c r="U420" s="19">
        <f t="shared" si="66"/>
        <v>24971.977143533888</v>
      </c>
      <c r="V420" s="29" t="s">
        <v>2983</v>
      </c>
    </row>
    <row r="421" spans="1:22" ht="15" customHeight="1" x14ac:dyDescent="0.25">
      <c r="A421" t="s">
        <v>1913</v>
      </c>
      <c r="B421" t="s">
        <v>1373</v>
      </c>
      <c r="C421" t="s">
        <v>1402</v>
      </c>
      <c r="D421" t="s">
        <v>1908</v>
      </c>
      <c r="E421" t="s">
        <v>13</v>
      </c>
      <c r="F421" s="5">
        <v>79</v>
      </c>
      <c r="G421" t="s">
        <v>1403</v>
      </c>
      <c r="H421" s="3">
        <v>14</v>
      </c>
      <c r="I421" s="3">
        <v>33</v>
      </c>
      <c r="J421" s="3">
        <v>50</v>
      </c>
      <c r="K421" s="3">
        <v>0.38</v>
      </c>
      <c r="L421">
        <f t="shared" si="61"/>
        <v>2.3099999999999999E-2</v>
      </c>
      <c r="M421">
        <f t="shared" si="58"/>
        <v>13.86</v>
      </c>
      <c r="N421" s="8">
        <v>600</v>
      </c>
      <c r="O421" s="14">
        <f t="shared" si="62"/>
        <v>47400</v>
      </c>
      <c r="P421" s="8">
        <v>15</v>
      </c>
      <c r="Q421" s="8">
        <f t="shared" si="63"/>
        <v>40</v>
      </c>
      <c r="R421" s="8">
        <f t="shared" si="64"/>
        <v>300</v>
      </c>
      <c r="S421" s="8">
        <f t="shared" si="65"/>
        <v>340</v>
      </c>
      <c r="T421" s="17">
        <f t="shared" si="59"/>
        <v>35.084083372809097</v>
      </c>
      <c r="U421" s="19">
        <f t="shared" si="66"/>
        <v>25007.061226906699</v>
      </c>
      <c r="V421" s="29" t="s">
        <v>2983</v>
      </c>
    </row>
    <row r="422" spans="1:22" ht="15" customHeight="1" x14ac:dyDescent="0.25">
      <c r="A422" t="s">
        <v>1913</v>
      </c>
      <c r="B422" t="s">
        <v>1373</v>
      </c>
      <c r="C422" t="s">
        <v>1398</v>
      </c>
      <c r="D422" t="s">
        <v>1905</v>
      </c>
      <c r="E422" t="s">
        <v>13</v>
      </c>
      <c r="F422" s="5">
        <v>79</v>
      </c>
      <c r="G422" t="s">
        <v>1399</v>
      </c>
      <c r="H422" s="3">
        <v>16</v>
      </c>
      <c r="I422" s="3">
        <v>16</v>
      </c>
      <c r="J422" s="3">
        <v>8</v>
      </c>
      <c r="K422" s="3">
        <v>0.36</v>
      </c>
      <c r="L422">
        <f t="shared" si="61"/>
        <v>2.0479999999999999E-3</v>
      </c>
      <c r="M422">
        <f t="shared" si="58"/>
        <v>1.2287999999999999</v>
      </c>
      <c r="N422" s="8">
        <v>600</v>
      </c>
      <c r="O422" s="14">
        <f t="shared" si="62"/>
        <v>47400</v>
      </c>
      <c r="P422" s="8">
        <v>15</v>
      </c>
      <c r="Q422" s="8">
        <f t="shared" si="63"/>
        <v>40</v>
      </c>
      <c r="R422" s="8">
        <f t="shared" si="64"/>
        <v>300</v>
      </c>
      <c r="S422" s="8">
        <f t="shared" si="65"/>
        <v>340</v>
      </c>
      <c r="T422" s="17">
        <f t="shared" si="59"/>
        <v>35.084083372809097</v>
      </c>
      <c r="U422" s="19">
        <f t="shared" si="66"/>
        <v>25042.145310279509</v>
      </c>
      <c r="V422" s="29" t="s">
        <v>2983</v>
      </c>
    </row>
    <row r="423" spans="1:22" ht="15" customHeight="1" x14ac:dyDescent="0.25">
      <c r="A423" t="s">
        <v>1913</v>
      </c>
      <c r="B423" t="s">
        <v>1344</v>
      </c>
      <c r="C423" t="s">
        <v>1355</v>
      </c>
      <c r="D423" t="s">
        <v>1874</v>
      </c>
      <c r="E423" t="s">
        <v>13</v>
      </c>
      <c r="F423" s="5">
        <v>789</v>
      </c>
      <c r="G423" t="s">
        <v>1352</v>
      </c>
      <c r="H423" s="3">
        <v>17</v>
      </c>
      <c r="I423" s="3">
        <v>7</v>
      </c>
      <c r="J423" s="3">
        <v>12</v>
      </c>
      <c r="K423" s="3">
        <v>0.44</v>
      </c>
      <c r="L423">
        <f t="shared" si="61"/>
        <v>1.428E-3</v>
      </c>
      <c r="M423">
        <f t="shared" si="58"/>
        <v>8.5680000000000006E-2</v>
      </c>
      <c r="N423" s="8">
        <v>60</v>
      </c>
      <c r="O423" s="14">
        <f t="shared" si="62"/>
        <v>47340</v>
      </c>
      <c r="P423" s="8">
        <v>20</v>
      </c>
      <c r="Q423" s="8">
        <f t="shared" si="63"/>
        <v>3</v>
      </c>
      <c r="R423" s="8">
        <f t="shared" si="64"/>
        <v>40</v>
      </c>
      <c r="S423" s="8">
        <f t="shared" si="65"/>
        <v>43</v>
      </c>
      <c r="T423" s="17">
        <f t="shared" si="59"/>
        <v>35.039673140691619</v>
      </c>
      <c r="U423" s="19">
        <f t="shared" si="66"/>
        <v>25077.1849834202</v>
      </c>
      <c r="V423" s="29" t="s">
        <v>2983</v>
      </c>
    </row>
    <row r="424" spans="1:22" ht="15" customHeight="1" x14ac:dyDescent="0.25">
      <c r="A424" t="s">
        <v>1913</v>
      </c>
      <c r="B424" t="s">
        <v>1914</v>
      </c>
      <c r="C424" t="s">
        <v>1951</v>
      </c>
      <c r="D424" t="s">
        <v>1952</v>
      </c>
      <c r="E424" t="s">
        <v>480</v>
      </c>
      <c r="F424" s="5">
        <v>275</v>
      </c>
      <c r="G424" t="s">
        <v>437</v>
      </c>
      <c r="H424" s="3">
        <v>19.600000000000001</v>
      </c>
      <c r="I424" s="3">
        <v>34.9</v>
      </c>
      <c r="J424" s="3">
        <v>23.8</v>
      </c>
      <c r="K424">
        <v>5.3</v>
      </c>
      <c r="L424">
        <f t="shared" si="61"/>
        <v>1.6280152000000003E-2</v>
      </c>
      <c r="M424">
        <f t="shared" si="58"/>
        <v>2.7676258400000004</v>
      </c>
      <c r="N424" s="8">
        <v>170</v>
      </c>
      <c r="O424" s="14">
        <f t="shared" si="62"/>
        <v>46750</v>
      </c>
      <c r="P424" s="8">
        <v>15</v>
      </c>
      <c r="Q424" s="8">
        <f t="shared" si="63"/>
        <v>11.333333333333334</v>
      </c>
      <c r="R424" s="8">
        <f t="shared" si="64"/>
        <v>85</v>
      </c>
      <c r="S424" s="8">
        <f t="shared" si="65"/>
        <v>96.333333333333329</v>
      </c>
      <c r="T424" s="17">
        <f t="shared" si="59"/>
        <v>34.602972524869728</v>
      </c>
      <c r="U424" s="19">
        <f t="shared" si="66"/>
        <v>25111.78795594507</v>
      </c>
      <c r="V424" s="29" t="s">
        <v>2983</v>
      </c>
    </row>
    <row r="425" spans="1:22" ht="15" customHeight="1" x14ac:dyDescent="0.25">
      <c r="A425" t="s">
        <v>1913</v>
      </c>
      <c r="B425" t="s">
        <v>1344</v>
      </c>
      <c r="C425" t="s">
        <v>1351</v>
      </c>
      <c r="D425" t="s">
        <v>1872</v>
      </c>
      <c r="E425" t="s">
        <v>13</v>
      </c>
      <c r="F425" s="5">
        <v>741</v>
      </c>
      <c r="G425" t="s">
        <v>1352</v>
      </c>
      <c r="H425" s="3">
        <v>19</v>
      </c>
      <c r="I425" s="3">
        <v>9</v>
      </c>
      <c r="J425" s="3">
        <v>15</v>
      </c>
      <c r="K425" s="3">
        <v>0.8</v>
      </c>
      <c r="L425">
        <f t="shared" si="61"/>
        <v>2.565E-3</v>
      </c>
      <c r="M425">
        <f t="shared" si="58"/>
        <v>0.15390000000000001</v>
      </c>
      <c r="N425" s="8">
        <v>60</v>
      </c>
      <c r="O425" s="14">
        <f t="shared" si="62"/>
        <v>44460</v>
      </c>
      <c r="P425" s="8">
        <v>20</v>
      </c>
      <c r="Q425" s="8">
        <f t="shared" si="63"/>
        <v>3</v>
      </c>
      <c r="R425" s="8">
        <f t="shared" si="64"/>
        <v>40</v>
      </c>
      <c r="S425" s="8">
        <f t="shared" si="65"/>
        <v>43</v>
      </c>
      <c r="T425" s="17">
        <f t="shared" si="59"/>
        <v>32.907981999052581</v>
      </c>
      <c r="U425" s="19">
        <f t="shared" si="66"/>
        <v>25144.695937944121</v>
      </c>
      <c r="V425" s="29" t="s">
        <v>2983</v>
      </c>
    </row>
    <row r="426" spans="1:22" ht="15" customHeight="1" x14ac:dyDescent="0.25">
      <c r="A426" t="s">
        <v>1913</v>
      </c>
      <c r="B426" t="s">
        <v>1914</v>
      </c>
      <c r="C426" t="s">
        <v>1957</v>
      </c>
      <c r="D426" t="s">
        <v>439</v>
      </c>
      <c r="E426" t="s">
        <v>480</v>
      </c>
      <c r="F426" s="5">
        <v>290</v>
      </c>
      <c r="G426" t="s">
        <v>440</v>
      </c>
      <c r="H426" s="3">
        <v>28.6</v>
      </c>
      <c r="I426" s="3">
        <v>46.3</v>
      </c>
      <c r="J426" s="3">
        <v>5.7</v>
      </c>
      <c r="K426">
        <v>2.2000000000000002</v>
      </c>
      <c r="L426">
        <f t="shared" si="61"/>
        <v>7.5478259999999988E-3</v>
      </c>
      <c r="M426">
        <f t="shared" si="58"/>
        <v>1.1321738999999997</v>
      </c>
      <c r="N426" s="8">
        <v>150</v>
      </c>
      <c r="O426" s="14">
        <f t="shared" si="62"/>
        <v>43500</v>
      </c>
      <c r="P426" s="8">
        <v>15</v>
      </c>
      <c r="Q426" s="8">
        <f t="shared" si="63"/>
        <v>10</v>
      </c>
      <c r="R426" s="8">
        <f t="shared" si="64"/>
        <v>75</v>
      </c>
      <c r="S426" s="8">
        <f t="shared" si="65"/>
        <v>85</v>
      </c>
      <c r="T426" s="17">
        <f t="shared" si="59"/>
        <v>32.197418285172901</v>
      </c>
      <c r="U426" s="19">
        <f t="shared" si="66"/>
        <v>25176.893356229295</v>
      </c>
      <c r="V426" s="29" t="s">
        <v>2983</v>
      </c>
    </row>
    <row r="427" spans="1:22" ht="15" customHeight="1" x14ac:dyDescent="0.25">
      <c r="A427" t="s">
        <v>1913</v>
      </c>
      <c r="B427" t="s">
        <v>1914</v>
      </c>
      <c r="C427" t="s">
        <v>1931</v>
      </c>
      <c r="D427" t="s">
        <v>1934</v>
      </c>
      <c r="E427" t="s">
        <v>1933</v>
      </c>
      <c r="F427" s="5">
        <v>300</v>
      </c>
      <c r="G427" t="s">
        <v>1935</v>
      </c>
      <c r="H427" s="3">
        <v>500</v>
      </c>
      <c r="I427" s="3">
        <v>132.5</v>
      </c>
      <c r="J427" s="3">
        <v>675</v>
      </c>
      <c r="K427">
        <v>35</v>
      </c>
      <c r="L427">
        <f t="shared" si="61"/>
        <v>44.71875</v>
      </c>
      <c r="M427">
        <f t="shared" si="58"/>
        <v>5813.4375</v>
      </c>
      <c r="N427" s="8">
        <v>130</v>
      </c>
      <c r="O427" s="14">
        <f t="shared" si="62"/>
        <v>39000</v>
      </c>
      <c r="P427" s="8">
        <v>15</v>
      </c>
      <c r="Q427" s="8">
        <f t="shared" si="63"/>
        <v>8.6666666666666661</v>
      </c>
      <c r="R427" s="8">
        <f t="shared" si="64"/>
        <v>65</v>
      </c>
      <c r="S427" s="8">
        <f t="shared" si="65"/>
        <v>73.666666666666671</v>
      </c>
      <c r="T427" s="17">
        <f t="shared" si="59"/>
        <v>28.866650876361916</v>
      </c>
      <c r="U427" s="19">
        <f t="shared" si="66"/>
        <v>25205.760007105659</v>
      </c>
      <c r="V427" s="29" t="s">
        <v>2983</v>
      </c>
    </row>
    <row r="428" spans="1:22" ht="15" customHeight="1" x14ac:dyDescent="0.25">
      <c r="A428" t="s">
        <v>1913</v>
      </c>
      <c r="B428" t="s">
        <v>1344</v>
      </c>
      <c r="C428" t="s">
        <v>1369</v>
      </c>
      <c r="D428" t="s">
        <v>1885</v>
      </c>
      <c r="E428" t="s">
        <v>13</v>
      </c>
      <c r="F428" s="5">
        <v>630</v>
      </c>
      <c r="G428" t="s">
        <v>1370</v>
      </c>
      <c r="H428" s="3">
        <v>8</v>
      </c>
      <c r="I428" s="3">
        <v>2</v>
      </c>
      <c r="J428" s="3">
        <v>10</v>
      </c>
      <c r="K428" s="3">
        <v>0.27</v>
      </c>
      <c r="L428">
        <f t="shared" si="61"/>
        <v>1.6000000000000001E-4</v>
      </c>
      <c r="M428">
        <f t="shared" si="58"/>
        <v>9.6000000000000009E-3</v>
      </c>
      <c r="N428" s="8">
        <v>60</v>
      </c>
      <c r="O428" s="14">
        <f t="shared" si="62"/>
        <v>37800</v>
      </c>
      <c r="P428" s="8">
        <v>20</v>
      </c>
      <c r="Q428" s="8">
        <f t="shared" si="63"/>
        <v>3</v>
      </c>
      <c r="R428" s="8">
        <f t="shared" si="64"/>
        <v>40</v>
      </c>
      <c r="S428" s="8">
        <f t="shared" si="65"/>
        <v>43</v>
      </c>
      <c r="T428" s="17">
        <f t="shared" si="59"/>
        <v>27.978446234012317</v>
      </c>
      <c r="U428" s="19">
        <f t="shared" si="66"/>
        <v>25233.738453339673</v>
      </c>
      <c r="V428" s="29" t="s">
        <v>2983</v>
      </c>
    </row>
    <row r="429" spans="1:22" ht="15" customHeight="1" x14ac:dyDescent="0.25">
      <c r="A429" t="s">
        <v>1913</v>
      </c>
      <c r="B429" t="s">
        <v>1960</v>
      </c>
      <c r="C429" t="s">
        <v>1982</v>
      </c>
      <c r="D429" t="s">
        <v>1983</v>
      </c>
      <c r="E429" t="s">
        <v>480</v>
      </c>
      <c r="F429" s="5">
        <v>620</v>
      </c>
      <c r="G429" t="s">
        <v>1940</v>
      </c>
      <c r="H429" s="3">
        <v>35.1</v>
      </c>
      <c r="I429" s="3">
        <v>30</v>
      </c>
      <c r="J429" s="3">
        <v>23.3</v>
      </c>
      <c r="K429">
        <v>27.4</v>
      </c>
      <c r="L429">
        <f t="shared" si="61"/>
        <v>2.4534900000000002E-2</v>
      </c>
      <c r="M429">
        <f t="shared" si="58"/>
        <v>1.472094</v>
      </c>
      <c r="N429" s="8">
        <v>60</v>
      </c>
      <c r="O429" s="14">
        <f t="shared" si="62"/>
        <v>37200</v>
      </c>
      <c r="P429" s="8">
        <v>40</v>
      </c>
      <c r="Q429" s="8">
        <f t="shared" si="63"/>
        <v>1.5</v>
      </c>
      <c r="R429" s="8">
        <f t="shared" si="64"/>
        <v>80</v>
      </c>
      <c r="S429" s="8">
        <f t="shared" si="65"/>
        <v>81.5</v>
      </c>
      <c r="T429" s="17">
        <f t="shared" si="59"/>
        <v>27.534343912837517</v>
      </c>
      <c r="U429" s="19">
        <f t="shared" si="66"/>
        <v>25261.27279725251</v>
      </c>
      <c r="V429" s="29" t="s">
        <v>2983</v>
      </c>
    </row>
    <row r="430" spans="1:22" ht="15" customHeight="1" x14ac:dyDescent="0.25">
      <c r="A430" t="s">
        <v>1913</v>
      </c>
      <c r="B430" t="s">
        <v>1344</v>
      </c>
      <c r="C430" t="s">
        <v>1372</v>
      </c>
      <c r="D430" t="s">
        <v>1887</v>
      </c>
      <c r="E430" t="s">
        <v>13</v>
      </c>
      <c r="F430" s="5">
        <v>540</v>
      </c>
      <c r="G430" t="s">
        <v>1370</v>
      </c>
      <c r="H430" s="3">
        <v>9</v>
      </c>
      <c r="I430" s="3">
        <v>2</v>
      </c>
      <c r="J430" s="3">
        <v>16</v>
      </c>
      <c r="K430" s="3">
        <v>0.24</v>
      </c>
      <c r="L430">
        <f t="shared" si="61"/>
        <v>2.8800000000000001E-4</v>
      </c>
      <c r="M430">
        <f t="shared" ref="M430:M493" si="67">L430*N430</f>
        <v>1.728E-2</v>
      </c>
      <c r="N430" s="8">
        <v>60</v>
      </c>
      <c r="O430" s="14">
        <f t="shared" si="62"/>
        <v>32400</v>
      </c>
      <c r="P430" s="8">
        <v>20</v>
      </c>
      <c r="Q430" s="8">
        <f t="shared" si="63"/>
        <v>3</v>
      </c>
      <c r="R430" s="8">
        <f t="shared" si="64"/>
        <v>40</v>
      </c>
      <c r="S430" s="8">
        <f t="shared" si="65"/>
        <v>43</v>
      </c>
      <c r="T430" s="17">
        <f t="shared" si="59"/>
        <v>23.981525343439127</v>
      </c>
      <c r="U430" s="19">
        <f t="shared" si="66"/>
        <v>25285.254322595949</v>
      </c>
      <c r="V430" s="29" t="s">
        <v>2983</v>
      </c>
    </row>
    <row r="431" spans="1:22" ht="15" customHeight="1" x14ac:dyDescent="0.25">
      <c r="A431" t="s">
        <v>1913</v>
      </c>
      <c r="B431" t="s">
        <v>1373</v>
      </c>
      <c r="C431" t="s">
        <v>1400</v>
      </c>
      <c r="D431" t="s">
        <v>1906</v>
      </c>
      <c r="E431" t="s">
        <v>13</v>
      </c>
      <c r="F431" s="5">
        <v>54</v>
      </c>
      <c r="G431" t="s">
        <v>1397</v>
      </c>
      <c r="H431" s="3">
        <v>20</v>
      </c>
      <c r="I431" s="3">
        <v>5</v>
      </c>
      <c r="J431" s="3">
        <v>6</v>
      </c>
      <c r="K431" s="3">
        <v>0.38</v>
      </c>
      <c r="L431">
        <f t="shared" si="61"/>
        <v>5.9999999999999995E-4</v>
      </c>
      <c r="M431">
        <f t="shared" si="67"/>
        <v>0.36</v>
      </c>
      <c r="N431" s="8">
        <v>600</v>
      </c>
      <c r="O431" s="14">
        <f t="shared" si="62"/>
        <v>32400</v>
      </c>
      <c r="P431" s="8">
        <v>15</v>
      </c>
      <c r="Q431" s="8">
        <f t="shared" si="63"/>
        <v>40</v>
      </c>
      <c r="R431" s="8">
        <f t="shared" si="64"/>
        <v>300</v>
      </c>
      <c r="S431" s="8">
        <f t="shared" si="65"/>
        <v>340</v>
      </c>
      <c r="T431" s="17">
        <f t="shared" si="59"/>
        <v>23.981525343439127</v>
      </c>
      <c r="U431" s="19">
        <f t="shared" si="66"/>
        <v>25309.235847939388</v>
      </c>
      <c r="V431" s="29" t="s">
        <v>2983</v>
      </c>
    </row>
    <row r="432" spans="1:22" ht="15" customHeight="1" x14ac:dyDescent="0.25">
      <c r="A432" t="s">
        <v>1913</v>
      </c>
      <c r="B432" t="s">
        <v>1914</v>
      </c>
      <c r="C432" t="s">
        <v>1915</v>
      </c>
      <c r="D432" t="s">
        <v>1918</v>
      </c>
      <c r="E432" t="s">
        <v>1917</v>
      </c>
      <c r="F432" s="5">
        <v>190</v>
      </c>
      <c r="G432" t="s">
        <v>435</v>
      </c>
      <c r="H432" s="3">
        <v>296</v>
      </c>
      <c r="I432" s="3">
        <v>620</v>
      </c>
      <c r="J432" s="3">
        <v>210</v>
      </c>
      <c r="K432">
        <v>134</v>
      </c>
      <c r="L432">
        <f t="shared" si="61"/>
        <v>38.539200000000001</v>
      </c>
      <c r="M432">
        <f t="shared" si="67"/>
        <v>5780.88</v>
      </c>
      <c r="N432" s="8">
        <v>150</v>
      </c>
      <c r="O432" s="14">
        <f t="shared" si="62"/>
        <v>28500</v>
      </c>
      <c r="P432" s="8">
        <v>15</v>
      </c>
      <c r="Q432" s="8">
        <f t="shared" si="63"/>
        <v>10</v>
      </c>
      <c r="R432" s="8">
        <f t="shared" si="64"/>
        <v>75</v>
      </c>
      <c r="S432" s="8">
        <f t="shared" si="65"/>
        <v>85</v>
      </c>
      <c r="T432" s="17">
        <f t="shared" si="59"/>
        <v>21.094860255802939</v>
      </c>
      <c r="U432" s="19">
        <f t="shared" si="66"/>
        <v>25330.33070819519</v>
      </c>
      <c r="V432" s="29" t="s">
        <v>2983</v>
      </c>
    </row>
    <row r="433" spans="1:22" ht="15" customHeight="1" x14ac:dyDescent="0.25">
      <c r="A433" t="s">
        <v>1913</v>
      </c>
      <c r="B433" t="s">
        <v>1344</v>
      </c>
      <c r="C433" t="s">
        <v>1371</v>
      </c>
      <c r="D433" t="s">
        <v>1886</v>
      </c>
      <c r="E433" t="s">
        <v>13</v>
      </c>
      <c r="F433" s="5">
        <v>449</v>
      </c>
      <c r="G433" t="s">
        <v>1370</v>
      </c>
      <c r="H433" s="3">
        <v>16</v>
      </c>
      <c r="I433" s="3">
        <v>7</v>
      </c>
      <c r="J433" s="3">
        <v>11</v>
      </c>
      <c r="K433" s="3">
        <v>0.42</v>
      </c>
      <c r="L433">
        <f t="shared" si="61"/>
        <v>1.232E-3</v>
      </c>
      <c r="M433">
        <f t="shared" si="67"/>
        <v>7.392E-2</v>
      </c>
      <c r="N433" s="8">
        <v>60</v>
      </c>
      <c r="O433" s="14">
        <f t="shared" si="62"/>
        <v>26940</v>
      </c>
      <c r="P433" s="8">
        <v>20</v>
      </c>
      <c r="Q433" s="8">
        <f t="shared" si="63"/>
        <v>3</v>
      </c>
      <c r="R433" s="8">
        <f t="shared" si="64"/>
        <v>40</v>
      </c>
      <c r="S433" s="8">
        <f t="shared" si="65"/>
        <v>43</v>
      </c>
      <c r="T433" s="17">
        <f t="shared" si="59"/>
        <v>19.940194220748459</v>
      </c>
      <c r="U433" s="19">
        <f t="shared" si="66"/>
        <v>25350.270902415938</v>
      </c>
      <c r="V433" s="29" t="s">
        <v>2983</v>
      </c>
    </row>
    <row r="434" spans="1:22" ht="15" customHeight="1" x14ac:dyDescent="0.25">
      <c r="A434" t="s">
        <v>1913</v>
      </c>
      <c r="B434" t="s">
        <v>1914</v>
      </c>
      <c r="C434" t="s">
        <v>1957</v>
      </c>
      <c r="D434" t="s">
        <v>1958</v>
      </c>
      <c r="E434" t="s">
        <v>480</v>
      </c>
      <c r="F434" s="5">
        <v>820</v>
      </c>
      <c r="G434" t="s">
        <v>305</v>
      </c>
      <c r="H434" s="3">
        <v>47.1</v>
      </c>
      <c r="I434" s="3">
        <v>62.3</v>
      </c>
      <c r="J434" s="3">
        <v>19.7</v>
      </c>
      <c r="K434">
        <v>5.4</v>
      </c>
      <c r="L434">
        <f t="shared" si="61"/>
        <v>5.7806300999999997E-2</v>
      </c>
      <c r="M434">
        <f t="shared" si="67"/>
        <v>1.8498016319999999</v>
      </c>
      <c r="N434" s="8">
        <v>32</v>
      </c>
      <c r="O434" s="14">
        <f t="shared" si="62"/>
        <v>26240</v>
      </c>
      <c r="P434" s="8">
        <v>15</v>
      </c>
      <c r="Q434" s="8">
        <f t="shared" si="63"/>
        <v>2.1333333333333333</v>
      </c>
      <c r="R434" s="8">
        <f t="shared" si="64"/>
        <v>16</v>
      </c>
      <c r="S434" s="8">
        <f t="shared" si="65"/>
        <v>18.133333333333333</v>
      </c>
      <c r="T434" s="17">
        <f t="shared" si="59"/>
        <v>19.422074846044531</v>
      </c>
      <c r="U434" s="19">
        <f t="shared" si="66"/>
        <v>25369.692977261981</v>
      </c>
      <c r="V434" s="29" t="s">
        <v>2983</v>
      </c>
    </row>
    <row r="435" spans="1:22" ht="15" customHeight="1" x14ac:dyDescent="0.25">
      <c r="A435" t="s">
        <v>1913</v>
      </c>
      <c r="B435" t="s">
        <v>1344</v>
      </c>
      <c r="C435" t="s">
        <v>1368</v>
      </c>
      <c r="D435" t="s">
        <v>1884</v>
      </c>
      <c r="E435" t="s">
        <v>13</v>
      </c>
      <c r="F435" s="5">
        <v>242</v>
      </c>
      <c r="G435" t="s">
        <v>1363</v>
      </c>
      <c r="H435" s="3">
        <v>15</v>
      </c>
      <c r="I435" s="3">
        <v>6</v>
      </c>
      <c r="J435" s="3">
        <v>18</v>
      </c>
      <c r="K435" s="3">
        <v>0.71</v>
      </c>
      <c r="L435">
        <f t="shared" si="61"/>
        <v>1.6199999999999999E-3</v>
      </c>
      <c r="M435">
        <f t="shared" si="67"/>
        <v>9.7199999999999995E-2</v>
      </c>
      <c r="N435" s="8">
        <v>60</v>
      </c>
      <c r="O435" s="14">
        <f t="shared" si="62"/>
        <v>14520</v>
      </c>
      <c r="P435" s="8">
        <v>20</v>
      </c>
      <c r="Q435" s="8">
        <f t="shared" si="63"/>
        <v>3</v>
      </c>
      <c r="R435" s="8">
        <f t="shared" si="64"/>
        <v>40</v>
      </c>
      <c r="S435" s="8">
        <f t="shared" si="65"/>
        <v>43</v>
      </c>
      <c r="T435" s="17">
        <f t="shared" si="59"/>
        <v>10.747276172430128</v>
      </c>
      <c r="U435" s="19">
        <f t="shared" si="66"/>
        <v>25380.440253434412</v>
      </c>
      <c r="V435" s="29" t="s">
        <v>2983</v>
      </c>
    </row>
    <row r="436" spans="1:22" ht="15" customHeight="1" x14ac:dyDescent="0.25">
      <c r="A436" t="s">
        <v>1913</v>
      </c>
      <c r="B436" t="s">
        <v>1914</v>
      </c>
      <c r="C436" t="s">
        <v>1915</v>
      </c>
      <c r="D436" t="s">
        <v>1919</v>
      </c>
      <c r="E436" t="s">
        <v>1920</v>
      </c>
      <c r="F436" s="5">
        <v>70</v>
      </c>
      <c r="G436" t="s">
        <v>1921</v>
      </c>
      <c r="H436" s="3">
        <v>160</v>
      </c>
      <c r="I436" s="3">
        <v>265</v>
      </c>
      <c r="J436" s="3">
        <v>120</v>
      </c>
      <c r="K436">
        <v>66</v>
      </c>
      <c r="L436">
        <f t="shared" si="61"/>
        <v>5.0880000000000001</v>
      </c>
      <c r="M436">
        <f t="shared" si="67"/>
        <v>763.2</v>
      </c>
      <c r="N436" s="8">
        <v>150</v>
      </c>
      <c r="O436" s="14">
        <f t="shared" si="62"/>
        <v>10500</v>
      </c>
      <c r="P436" s="8">
        <v>15</v>
      </c>
      <c r="Q436" s="8">
        <f t="shared" si="63"/>
        <v>10</v>
      </c>
      <c r="R436" s="8">
        <f t="shared" si="64"/>
        <v>75</v>
      </c>
      <c r="S436" s="8">
        <f t="shared" si="65"/>
        <v>85</v>
      </c>
      <c r="T436" s="17">
        <f t="shared" si="59"/>
        <v>7.7717906205589768</v>
      </c>
      <c r="U436" s="19">
        <f t="shared" si="66"/>
        <v>25388.21204405497</v>
      </c>
      <c r="V436" s="29" t="s">
        <v>2983</v>
      </c>
    </row>
    <row r="437" spans="1:22" ht="15" customHeight="1" x14ac:dyDescent="0.25">
      <c r="A437" t="s">
        <v>1913</v>
      </c>
      <c r="B437" t="s">
        <v>1914</v>
      </c>
      <c r="C437" t="s">
        <v>1915</v>
      </c>
      <c r="D437" t="s">
        <v>1916</v>
      </c>
      <c r="E437" t="s">
        <v>1917</v>
      </c>
      <c r="F437" s="5">
        <v>65</v>
      </c>
      <c r="G437" t="s">
        <v>435</v>
      </c>
      <c r="H437" s="3">
        <v>400</v>
      </c>
      <c r="I437" s="3">
        <v>370</v>
      </c>
      <c r="J437" s="3">
        <v>212</v>
      </c>
      <c r="K437">
        <v>72</v>
      </c>
      <c r="L437">
        <f t="shared" si="61"/>
        <v>31.376000000000001</v>
      </c>
      <c r="M437">
        <f t="shared" si="67"/>
        <v>4706.4000000000005</v>
      </c>
      <c r="N437" s="8">
        <v>150</v>
      </c>
      <c r="O437" s="14">
        <f t="shared" si="62"/>
        <v>9750</v>
      </c>
      <c r="P437" s="8">
        <v>15</v>
      </c>
      <c r="Q437" s="8">
        <f t="shared" si="63"/>
        <v>10</v>
      </c>
      <c r="R437" s="8">
        <f t="shared" si="64"/>
        <v>75</v>
      </c>
      <c r="S437" s="8">
        <f t="shared" si="65"/>
        <v>85</v>
      </c>
      <c r="T437" s="17">
        <f t="shared" ref="T437:T500" si="68">O437/O$1749</f>
        <v>7.2166627190904791</v>
      </c>
      <c r="U437" s="19">
        <f t="shared" si="66"/>
        <v>25395.428706774059</v>
      </c>
      <c r="V437" s="29" t="s">
        <v>2983</v>
      </c>
    </row>
    <row r="438" spans="1:22" ht="15" customHeight="1" x14ac:dyDescent="0.25">
      <c r="A438" t="s">
        <v>1913</v>
      </c>
      <c r="B438" t="s">
        <v>1914</v>
      </c>
      <c r="C438" t="s">
        <v>1945</v>
      </c>
      <c r="D438" t="s">
        <v>1946</v>
      </c>
      <c r="E438" t="s">
        <v>1947</v>
      </c>
      <c r="F438" s="5">
        <v>54</v>
      </c>
      <c r="G438" t="s">
        <v>1948</v>
      </c>
      <c r="H438" s="3">
        <v>35</v>
      </c>
      <c r="I438" s="3">
        <v>170</v>
      </c>
      <c r="J438" s="3">
        <v>60</v>
      </c>
      <c r="K438">
        <v>5</v>
      </c>
      <c r="L438">
        <f t="shared" si="61"/>
        <v>0.35699999999999998</v>
      </c>
      <c r="M438">
        <f t="shared" si="67"/>
        <v>60.69</v>
      </c>
      <c r="N438" s="8">
        <v>170</v>
      </c>
      <c r="O438" s="14">
        <f t="shared" si="62"/>
        <v>9180</v>
      </c>
      <c r="P438" s="8">
        <v>15</v>
      </c>
      <c r="Q438" s="8">
        <f t="shared" si="63"/>
        <v>11.333333333333334</v>
      </c>
      <c r="R438" s="8">
        <f t="shared" si="64"/>
        <v>85</v>
      </c>
      <c r="S438" s="8">
        <f t="shared" si="65"/>
        <v>96.333333333333329</v>
      </c>
      <c r="T438" s="17">
        <f t="shared" si="68"/>
        <v>6.7947655139744203</v>
      </c>
      <c r="U438" s="19">
        <f t="shared" si="66"/>
        <v>25402.223472288035</v>
      </c>
      <c r="V438" s="29" t="s">
        <v>2983</v>
      </c>
    </row>
    <row r="439" spans="1:22" ht="15" customHeight="1" x14ac:dyDescent="0.25">
      <c r="A439" t="s">
        <v>1913</v>
      </c>
      <c r="B439" t="s">
        <v>1914</v>
      </c>
      <c r="C439" t="s">
        <v>1931</v>
      </c>
      <c r="D439" t="s">
        <v>1936</v>
      </c>
      <c r="E439" t="s">
        <v>1933</v>
      </c>
      <c r="F439" s="5">
        <v>58</v>
      </c>
      <c r="G439" t="s">
        <v>1363</v>
      </c>
      <c r="H439" s="3">
        <v>45</v>
      </c>
      <c r="I439" s="3">
        <v>1100</v>
      </c>
      <c r="J439" s="3">
        <v>377.5</v>
      </c>
      <c r="K439">
        <v>111.25</v>
      </c>
      <c r="L439">
        <f t="shared" si="61"/>
        <v>18.686250000000001</v>
      </c>
      <c r="M439">
        <f t="shared" si="67"/>
        <v>2802.9375</v>
      </c>
      <c r="N439" s="8">
        <v>150</v>
      </c>
      <c r="O439" s="14">
        <f t="shared" si="62"/>
        <v>8700</v>
      </c>
      <c r="P439" s="8">
        <v>15</v>
      </c>
      <c r="Q439" s="8">
        <f t="shared" si="63"/>
        <v>10</v>
      </c>
      <c r="R439" s="8">
        <f t="shared" si="64"/>
        <v>75</v>
      </c>
      <c r="S439" s="8">
        <f t="shared" si="65"/>
        <v>85</v>
      </c>
      <c r="T439" s="17">
        <f t="shared" si="68"/>
        <v>6.4394836570345806</v>
      </c>
      <c r="U439" s="19">
        <f t="shared" si="66"/>
        <v>25408.66295594507</v>
      </c>
      <c r="V439" s="29" t="s">
        <v>2983</v>
      </c>
    </row>
    <row r="440" spans="1:22" ht="15" customHeight="1" x14ac:dyDescent="0.25">
      <c r="A440" t="s">
        <v>1913</v>
      </c>
      <c r="B440" t="s">
        <v>1914</v>
      </c>
      <c r="C440" t="s">
        <v>1915</v>
      </c>
      <c r="D440" t="s">
        <v>1922</v>
      </c>
      <c r="E440" t="s">
        <v>1920</v>
      </c>
      <c r="F440" s="5">
        <v>52</v>
      </c>
      <c r="G440" t="s">
        <v>1921</v>
      </c>
      <c r="H440" s="3">
        <v>154</v>
      </c>
      <c r="I440" s="3">
        <v>103</v>
      </c>
      <c r="J440" s="3">
        <v>165</v>
      </c>
      <c r="K440">
        <v>25</v>
      </c>
      <c r="L440">
        <f t="shared" si="61"/>
        <v>2.6172300000000002</v>
      </c>
      <c r="M440">
        <f t="shared" si="67"/>
        <v>340.23990000000003</v>
      </c>
      <c r="N440" s="8">
        <v>130</v>
      </c>
      <c r="O440" s="14">
        <f t="shared" si="62"/>
        <v>6760</v>
      </c>
      <c r="P440" s="8">
        <v>15</v>
      </c>
      <c r="Q440" s="8">
        <f t="shared" si="63"/>
        <v>8.6666666666666661</v>
      </c>
      <c r="R440" s="8">
        <f t="shared" si="64"/>
        <v>65</v>
      </c>
      <c r="S440" s="8">
        <f t="shared" si="65"/>
        <v>73.666666666666671</v>
      </c>
      <c r="T440" s="17">
        <f t="shared" si="68"/>
        <v>5.0035528185693989</v>
      </c>
      <c r="U440" s="19">
        <f t="shared" si="66"/>
        <v>25413.666508763639</v>
      </c>
      <c r="V440" s="29" t="s">
        <v>2983</v>
      </c>
    </row>
    <row r="441" spans="1:22" ht="15" customHeight="1" x14ac:dyDescent="0.25">
      <c r="A441" t="s">
        <v>1913</v>
      </c>
      <c r="B441" t="s">
        <v>1914</v>
      </c>
      <c r="C441" t="s">
        <v>1945</v>
      </c>
      <c r="D441" t="s">
        <v>1950</v>
      </c>
      <c r="E441" t="s">
        <v>1947</v>
      </c>
      <c r="F441" s="5">
        <v>42</v>
      </c>
      <c r="G441" t="s">
        <v>1948</v>
      </c>
      <c r="H441" s="3">
        <v>20</v>
      </c>
      <c r="I441" s="3">
        <v>200</v>
      </c>
      <c r="J441" s="3">
        <v>80</v>
      </c>
      <c r="K441">
        <v>2.5</v>
      </c>
      <c r="L441">
        <f t="shared" si="61"/>
        <v>0.32</v>
      </c>
      <c r="M441">
        <f t="shared" si="67"/>
        <v>48</v>
      </c>
      <c r="N441" s="8">
        <v>150</v>
      </c>
      <c r="O441" s="14">
        <f t="shared" si="62"/>
        <v>6300</v>
      </c>
      <c r="P441" s="8">
        <v>15</v>
      </c>
      <c r="Q441" s="8">
        <f t="shared" si="63"/>
        <v>10</v>
      </c>
      <c r="R441" s="8">
        <f t="shared" si="64"/>
        <v>75</v>
      </c>
      <c r="S441" s="8">
        <f t="shared" si="65"/>
        <v>85</v>
      </c>
      <c r="T441" s="17">
        <f t="shared" si="68"/>
        <v>4.6630743723353865</v>
      </c>
      <c r="U441" s="19">
        <f t="shared" si="66"/>
        <v>25418.329583135976</v>
      </c>
      <c r="V441" s="29" t="s">
        <v>2983</v>
      </c>
    </row>
    <row r="442" spans="1:22" ht="15" customHeight="1" x14ac:dyDescent="0.25">
      <c r="A442" t="s">
        <v>1913</v>
      </c>
      <c r="B442" t="s">
        <v>1914</v>
      </c>
      <c r="C442" t="s">
        <v>1923</v>
      </c>
      <c r="D442" t="s">
        <v>1924</v>
      </c>
      <c r="E442" t="s">
        <v>1925</v>
      </c>
      <c r="F442" s="5">
        <v>56</v>
      </c>
      <c r="G442" t="s">
        <v>1926</v>
      </c>
      <c r="H442" s="3">
        <v>609.6</v>
      </c>
      <c r="I442" s="3">
        <v>210.3</v>
      </c>
      <c r="J442" s="3">
        <v>429</v>
      </c>
      <c r="K442">
        <v>12.54</v>
      </c>
      <c r="L442">
        <f t="shared" si="61"/>
        <v>54.997319520000012</v>
      </c>
      <c r="M442">
        <f t="shared" si="67"/>
        <v>5499.731952000001</v>
      </c>
      <c r="N442" s="8">
        <v>100</v>
      </c>
      <c r="O442" s="14">
        <f t="shared" si="62"/>
        <v>5600</v>
      </c>
      <c r="P442" s="8">
        <v>15</v>
      </c>
      <c r="Q442" s="8">
        <f t="shared" si="63"/>
        <v>6.666666666666667</v>
      </c>
      <c r="R442" s="8">
        <f t="shared" si="64"/>
        <v>50</v>
      </c>
      <c r="S442" s="8">
        <f t="shared" si="65"/>
        <v>56.666666666666664</v>
      </c>
      <c r="T442" s="17">
        <f t="shared" si="68"/>
        <v>4.1449549976314541</v>
      </c>
      <c r="U442" s="19">
        <f t="shared" si="66"/>
        <v>25422.474538133607</v>
      </c>
      <c r="V442" s="29" t="s">
        <v>2983</v>
      </c>
    </row>
    <row r="443" spans="1:22" ht="15" customHeight="1" x14ac:dyDescent="0.25">
      <c r="A443" t="s">
        <v>1913</v>
      </c>
      <c r="B443" t="s">
        <v>1344</v>
      </c>
      <c r="C443" t="s">
        <v>1362</v>
      </c>
      <c r="D443" t="s">
        <v>1880</v>
      </c>
      <c r="E443" t="s">
        <v>13</v>
      </c>
      <c r="F443" s="5">
        <v>80</v>
      </c>
      <c r="G443" t="s">
        <v>1363</v>
      </c>
      <c r="H443" s="3">
        <v>6</v>
      </c>
      <c r="I443" s="3">
        <v>13</v>
      </c>
      <c r="J443" s="3">
        <v>18</v>
      </c>
      <c r="K443" s="3">
        <v>0.56000000000000005</v>
      </c>
      <c r="L443">
        <f t="shared" si="61"/>
        <v>1.4040000000000001E-3</v>
      </c>
      <c r="M443">
        <f t="shared" si="67"/>
        <v>8.4240000000000009E-2</v>
      </c>
      <c r="N443" s="8">
        <v>60</v>
      </c>
      <c r="O443" s="14">
        <f t="shared" si="62"/>
        <v>4800</v>
      </c>
      <c r="P443" s="8">
        <v>20</v>
      </c>
      <c r="Q443" s="8">
        <f t="shared" si="63"/>
        <v>3</v>
      </c>
      <c r="R443" s="8">
        <f t="shared" si="64"/>
        <v>40</v>
      </c>
      <c r="S443" s="8">
        <f t="shared" si="65"/>
        <v>43</v>
      </c>
      <c r="T443" s="17">
        <f t="shared" si="68"/>
        <v>3.5528185693983896</v>
      </c>
      <c r="U443" s="19">
        <f t="shared" si="66"/>
        <v>25426.027356703005</v>
      </c>
      <c r="V443" s="29" t="s">
        <v>2983</v>
      </c>
    </row>
    <row r="444" spans="1:22" ht="15" customHeight="1" x14ac:dyDescent="0.25">
      <c r="A444" t="s">
        <v>1913</v>
      </c>
      <c r="B444" t="s">
        <v>1344</v>
      </c>
      <c r="C444" t="s">
        <v>1357</v>
      </c>
      <c r="D444" t="s">
        <v>1876</v>
      </c>
      <c r="E444" t="s">
        <v>13</v>
      </c>
      <c r="F444" s="5">
        <v>55</v>
      </c>
      <c r="G444" t="s">
        <v>307</v>
      </c>
      <c r="H444" s="3">
        <v>15</v>
      </c>
      <c r="I444" s="3">
        <v>7</v>
      </c>
      <c r="J444" s="3">
        <v>18</v>
      </c>
      <c r="K444" s="3">
        <v>0.53</v>
      </c>
      <c r="L444">
        <f t="shared" si="61"/>
        <v>1.89E-3</v>
      </c>
      <c r="M444">
        <f t="shared" si="67"/>
        <v>0.1134</v>
      </c>
      <c r="N444" s="8">
        <v>60</v>
      </c>
      <c r="O444" s="14">
        <f t="shared" si="62"/>
        <v>3300</v>
      </c>
      <c r="P444" s="8">
        <v>20</v>
      </c>
      <c r="Q444" s="8">
        <f t="shared" si="63"/>
        <v>3</v>
      </c>
      <c r="R444" s="8">
        <f t="shared" si="64"/>
        <v>40</v>
      </c>
      <c r="S444" s="8">
        <f t="shared" si="65"/>
        <v>43</v>
      </c>
      <c r="T444" s="17">
        <f t="shared" si="68"/>
        <v>2.4425627664613927</v>
      </c>
      <c r="U444" s="19">
        <f t="shared" si="66"/>
        <v>25428.469919469466</v>
      </c>
      <c r="V444" s="29" t="s">
        <v>2983</v>
      </c>
    </row>
    <row r="445" spans="1:22" ht="15" customHeight="1" x14ac:dyDescent="0.25">
      <c r="A445" t="s">
        <v>1913</v>
      </c>
      <c r="B445" t="s">
        <v>1914</v>
      </c>
      <c r="C445" t="s">
        <v>1923</v>
      </c>
      <c r="D445" t="s">
        <v>1929</v>
      </c>
      <c r="E445" t="s">
        <v>1925</v>
      </c>
      <c r="F445" s="5">
        <v>16</v>
      </c>
      <c r="G445" t="s">
        <v>1930</v>
      </c>
      <c r="H445" s="3">
        <v>291</v>
      </c>
      <c r="I445" s="3">
        <v>84</v>
      </c>
      <c r="J445" s="3">
        <v>174</v>
      </c>
      <c r="K445">
        <v>2.7</v>
      </c>
      <c r="L445">
        <f t="shared" si="61"/>
        <v>4.2532560000000004</v>
      </c>
      <c r="M445">
        <f t="shared" si="67"/>
        <v>723.05352000000005</v>
      </c>
      <c r="N445" s="8">
        <v>170</v>
      </c>
      <c r="O445" s="14">
        <f t="shared" si="62"/>
        <v>2720</v>
      </c>
      <c r="P445" s="8">
        <v>15</v>
      </c>
      <c r="Q445" s="8">
        <f t="shared" si="63"/>
        <v>11.333333333333334</v>
      </c>
      <c r="R445" s="8">
        <f t="shared" si="64"/>
        <v>85</v>
      </c>
      <c r="S445" s="8">
        <f t="shared" si="65"/>
        <v>96.333333333333329</v>
      </c>
      <c r="T445" s="17">
        <f t="shared" si="68"/>
        <v>2.0132638559924207</v>
      </c>
      <c r="U445" s="19">
        <f t="shared" si="66"/>
        <v>25430.483183325458</v>
      </c>
      <c r="V445" s="29" t="s">
        <v>2983</v>
      </c>
    </row>
    <row r="446" spans="1:22" ht="15" customHeight="1" x14ac:dyDescent="0.25">
      <c r="A446" t="s">
        <v>1913</v>
      </c>
      <c r="B446" t="s">
        <v>1914</v>
      </c>
      <c r="C446" t="s">
        <v>1945</v>
      </c>
      <c r="D446" t="s">
        <v>1949</v>
      </c>
      <c r="E446" t="s">
        <v>1947</v>
      </c>
      <c r="F446" s="5">
        <v>8</v>
      </c>
      <c r="G446" t="s">
        <v>1948</v>
      </c>
      <c r="H446" s="3">
        <v>20</v>
      </c>
      <c r="I446" s="3">
        <v>200</v>
      </c>
      <c r="J446" s="3">
        <v>80</v>
      </c>
      <c r="K446">
        <v>2.5</v>
      </c>
      <c r="L446">
        <f t="shared" si="61"/>
        <v>0.32</v>
      </c>
      <c r="M446">
        <f t="shared" si="67"/>
        <v>54.4</v>
      </c>
      <c r="N446" s="8">
        <v>170</v>
      </c>
      <c r="O446" s="14">
        <f t="shared" si="62"/>
        <v>1360</v>
      </c>
      <c r="P446" s="8">
        <v>15</v>
      </c>
      <c r="Q446" s="8">
        <f t="shared" si="63"/>
        <v>11.333333333333334</v>
      </c>
      <c r="R446" s="8">
        <f t="shared" si="64"/>
        <v>85</v>
      </c>
      <c r="S446" s="8">
        <f t="shared" si="65"/>
        <v>96.333333333333329</v>
      </c>
      <c r="T446" s="17">
        <f t="shared" si="68"/>
        <v>1.0066319279962104</v>
      </c>
      <c r="U446" s="19">
        <f t="shared" ref="U446:U471" si="69">U445+T446</f>
        <v>25431.489815253455</v>
      </c>
      <c r="V446" s="29" t="s">
        <v>2983</v>
      </c>
    </row>
    <row r="447" spans="1:22" ht="15" customHeight="1" x14ac:dyDescent="0.25">
      <c r="A447" t="s">
        <v>1913</v>
      </c>
      <c r="B447" t="s">
        <v>1373</v>
      </c>
      <c r="C447" t="s">
        <v>1390</v>
      </c>
      <c r="D447" t="s">
        <v>1900</v>
      </c>
      <c r="E447" t="s">
        <v>13</v>
      </c>
      <c r="F447" s="5">
        <v>1055</v>
      </c>
      <c r="G447" t="s">
        <v>359</v>
      </c>
      <c r="H447" s="3">
        <v>16</v>
      </c>
      <c r="I447" s="3">
        <v>4</v>
      </c>
      <c r="J447" s="3">
        <v>9</v>
      </c>
      <c r="K447" s="3">
        <v>0.51</v>
      </c>
      <c r="L447">
        <f t="shared" si="61"/>
        <v>5.7600000000000001E-4</v>
      </c>
      <c r="M447">
        <f t="shared" si="67"/>
        <v>4.6080000000000003E-4</v>
      </c>
      <c r="N447" s="8">
        <v>0.8</v>
      </c>
      <c r="O447" s="14">
        <f t="shared" si="62"/>
        <v>844</v>
      </c>
      <c r="P447" s="8">
        <v>15</v>
      </c>
      <c r="Q447" s="8">
        <f t="shared" si="63"/>
        <v>5.3333333333333337E-2</v>
      </c>
      <c r="R447" s="8">
        <f t="shared" si="64"/>
        <v>0.4</v>
      </c>
      <c r="S447" s="8">
        <f t="shared" si="65"/>
        <v>0.45333333333333337</v>
      </c>
      <c r="T447" s="17">
        <f t="shared" si="68"/>
        <v>0.62470393178588346</v>
      </c>
      <c r="U447" s="19">
        <f t="shared" si="69"/>
        <v>25432.114519185241</v>
      </c>
      <c r="V447" s="29" t="s">
        <v>2983</v>
      </c>
    </row>
    <row r="448" spans="1:22" ht="15" customHeight="1" x14ac:dyDescent="0.25">
      <c r="A448" t="s">
        <v>1913</v>
      </c>
      <c r="B448" t="s">
        <v>1960</v>
      </c>
      <c r="C448" t="s">
        <v>1961</v>
      </c>
      <c r="D448" t="s">
        <v>1963</v>
      </c>
      <c r="E448" t="s">
        <v>480</v>
      </c>
      <c r="F448" s="5">
        <v>1350</v>
      </c>
      <c r="G448" t="s">
        <v>1940</v>
      </c>
      <c r="H448" s="3">
        <v>107.5</v>
      </c>
      <c r="I448" s="3">
        <v>71.099999999999994</v>
      </c>
      <c r="J448" s="3">
        <v>30.6</v>
      </c>
      <c r="K448">
        <v>12.9</v>
      </c>
      <c r="L448">
        <f t="shared" si="61"/>
        <v>0.23388344999999999</v>
      </c>
      <c r="M448">
        <f t="shared" si="67"/>
        <v>9.3553380000000005E-2</v>
      </c>
      <c r="N448" s="8">
        <v>0.4</v>
      </c>
      <c r="O448" s="14">
        <f t="shared" si="62"/>
        <v>540</v>
      </c>
      <c r="P448" s="8">
        <v>40</v>
      </c>
      <c r="Q448" s="8">
        <f t="shared" si="63"/>
        <v>0.01</v>
      </c>
      <c r="R448" s="8">
        <f t="shared" si="64"/>
        <v>0.53333333333333333</v>
      </c>
      <c r="S448" s="8">
        <f t="shared" si="65"/>
        <v>0.54333333333333333</v>
      </c>
      <c r="T448" s="17">
        <f t="shared" si="68"/>
        <v>0.39969208905731884</v>
      </c>
      <c r="U448" s="19">
        <f t="shared" si="69"/>
        <v>25432.514211274298</v>
      </c>
      <c r="V448" s="29" t="s">
        <v>2983</v>
      </c>
    </row>
    <row r="449" spans="1:22" ht="15" customHeight="1" x14ac:dyDescent="0.25">
      <c r="A449" t="s">
        <v>1913</v>
      </c>
      <c r="B449" t="s">
        <v>1960</v>
      </c>
      <c r="C449" t="s">
        <v>1961</v>
      </c>
      <c r="D449" t="s">
        <v>1965</v>
      </c>
      <c r="E449" t="s">
        <v>480</v>
      </c>
      <c r="F449" s="5">
        <v>700</v>
      </c>
      <c r="G449" t="s">
        <v>442</v>
      </c>
      <c r="H449" s="3">
        <v>56.6</v>
      </c>
      <c r="I449" s="3">
        <v>93</v>
      </c>
      <c r="J449" s="3">
        <v>22.5</v>
      </c>
      <c r="K449">
        <v>12.4</v>
      </c>
      <c r="L449">
        <f t="shared" si="61"/>
        <v>0.1184355</v>
      </c>
      <c r="M449">
        <f t="shared" si="67"/>
        <v>4.7374200000000005E-2</v>
      </c>
      <c r="N449" s="8">
        <v>0.4</v>
      </c>
      <c r="O449" s="14">
        <f t="shared" si="62"/>
        <v>280</v>
      </c>
      <c r="P449" s="8">
        <v>40</v>
      </c>
      <c r="Q449" s="8">
        <f t="shared" si="63"/>
        <v>0.01</v>
      </c>
      <c r="R449" s="8">
        <f t="shared" si="64"/>
        <v>0.53333333333333333</v>
      </c>
      <c r="S449" s="8">
        <f t="shared" si="65"/>
        <v>0.54333333333333333</v>
      </c>
      <c r="T449" s="17">
        <f t="shared" si="68"/>
        <v>0.20724774988157271</v>
      </c>
      <c r="U449" s="19">
        <f t="shared" si="69"/>
        <v>25432.721459024178</v>
      </c>
      <c r="V449" s="29" t="s">
        <v>2983</v>
      </c>
    </row>
    <row r="450" spans="1:22" ht="15" customHeight="1" x14ac:dyDescent="0.25">
      <c r="A450" t="s">
        <v>1913</v>
      </c>
      <c r="B450" t="s">
        <v>1960</v>
      </c>
      <c r="C450" t="s">
        <v>1961</v>
      </c>
      <c r="D450" t="s">
        <v>1966</v>
      </c>
      <c r="E450" t="s">
        <v>480</v>
      </c>
      <c r="F450" s="5">
        <v>398</v>
      </c>
      <c r="G450" t="s">
        <v>441</v>
      </c>
      <c r="H450" s="3">
        <v>44.5</v>
      </c>
      <c r="I450" s="3">
        <v>62.2</v>
      </c>
      <c r="J450" s="3">
        <v>11.6</v>
      </c>
      <c r="K450">
        <v>4.5</v>
      </c>
      <c r="L450">
        <f t="shared" ref="L450:L513" si="70">J450*I450*H450/1000000</f>
        <v>3.210764E-2</v>
      </c>
      <c r="M450">
        <f t="shared" si="67"/>
        <v>2.2475347999999999E-2</v>
      </c>
      <c r="N450" s="8">
        <v>0.7</v>
      </c>
      <c r="O450" s="14">
        <f t="shared" ref="O450:O513" si="71">N450*F450</f>
        <v>278.59999999999997</v>
      </c>
      <c r="P450" s="8">
        <v>40</v>
      </c>
      <c r="Q450" s="8">
        <f t="shared" ref="Q450:Q513" si="72">N450/P450</f>
        <v>1.7499999999999998E-2</v>
      </c>
      <c r="R450" s="8">
        <f t="shared" ref="R450:R513" si="73">(N450/30)*P450</f>
        <v>0.93333333333333324</v>
      </c>
      <c r="S450" s="8">
        <f t="shared" ref="S450:S513" si="74">Q450+R450</f>
        <v>0.9508333333333332</v>
      </c>
      <c r="T450" s="17">
        <f t="shared" si="68"/>
        <v>0.20621151113216482</v>
      </c>
      <c r="U450" s="19">
        <f t="shared" si="69"/>
        <v>25432.927670535311</v>
      </c>
      <c r="V450" s="29" t="s">
        <v>2983</v>
      </c>
    </row>
    <row r="451" spans="1:22" ht="15" customHeight="1" x14ac:dyDescent="0.25">
      <c r="A451" t="s">
        <v>1913</v>
      </c>
      <c r="B451" t="s">
        <v>1960</v>
      </c>
      <c r="C451" t="s">
        <v>1982</v>
      </c>
      <c r="D451" t="s">
        <v>1987</v>
      </c>
      <c r="E451" t="s">
        <v>480</v>
      </c>
      <c r="F451" s="5">
        <v>670</v>
      </c>
      <c r="G451" t="s">
        <v>440</v>
      </c>
      <c r="H451">
        <v>34.9</v>
      </c>
      <c r="I451">
        <v>28.5</v>
      </c>
      <c r="J451">
        <v>37</v>
      </c>
      <c r="K451">
        <v>9.6</v>
      </c>
      <c r="L451">
        <f t="shared" si="70"/>
        <v>3.6802049999999996E-2</v>
      </c>
      <c r="M451">
        <f t="shared" si="67"/>
        <v>1.4720819999999999E-2</v>
      </c>
      <c r="N451" s="8">
        <v>0.4</v>
      </c>
      <c r="O451" s="14">
        <f t="shared" si="71"/>
        <v>268</v>
      </c>
      <c r="P451" s="8">
        <v>40</v>
      </c>
      <c r="Q451" s="8">
        <f t="shared" si="72"/>
        <v>0.01</v>
      </c>
      <c r="R451" s="8">
        <f t="shared" si="73"/>
        <v>0.53333333333333333</v>
      </c>
      <c r="S451" s="8">
        <f t="shared" si="74"/>
        <v>0.54333333333333333</v>
      </c>
      <c r="T451" s="17">
        <f t="shared" si="68"/>
        <v>0.19836570345807675</v>
      </c>
      <c r="U451" s="19">
        <f t="shared" si="69"/>
        <v>25433.126036238769</v>
      </c>
      <c r="V451" s="29" t="s">
        <v>2983</v>
      </c>
    </row>
    <row r="452" spans="1:22" ht="15" customHeight="1" x14ac:dyDescent="0.25">
      <c r="A452" t="s">
        <v>1913</v>
      </c>
      <c r="B452" t="s">
        <v>1960</v>
      </c>
      <c r="C452" t="s">
        <v>1961</v>
      </c>
      <c r="D452" t="s">
        <v>1964</v>
      </c>
      <c r="E452" t="s">
        <v>480</v>
      </c>
      <c r="F452" s="5">
        <v>640</v>
      </c>
      <c r="G452" t="s">
        <v>440</v>
      </c>
      <c r="H452" s="3">
        <v>73</v>
      </c>
      <c r="I452" s="3">
        <v>44</v>
      </c>
      <c r="J452" s="3">
        <v>5.5</v>
      </c>
      <c r="K452">
        <v>6</v>
      </c>
      <c r="L452">
        <f t="shared" si="70"/>
        <v>1.7666000000000001E-2</v>
      </c>
      <c r="M452">
        <f t="shared" si="67"/>
        <v>7.0664000000000005E-3</v>
      </c>
      <c r="N452" s="8">
        <v>0.4</v>
      </c>
      <c r="O452" s="14">
        <f t="shared" si="71"/>
        <v>256</v>
      </c>
      <c r="P452" s="8">
        <v>40</v>
      </c>
      <c r="Q452" s="8">
        <f t="shared" si="72"/>
        <v>0.01</v>
      </c>
      <c r="R452" s="8">
        <f t="shared" si="73"/>
        <v>0.53333333333333333</v>
      </c>
      <c r="S452" s="8">
        <f t="shared" si="74"/>
        <v>0.54333333333333333</v>
      </c>
      <c r="T452" s="17">
        <f t="shared" si="68"/>
        <v>0.18948365703458078</v>
      </c>
      <c r="U452" s="19">
        <f t="shared" si="69"/>
        <v>25433.315519895805</v>
      </c>
      <c r="V452" s="29" t="s">
        <v>2983</v>
      </c>
    </row>
    <row r="453" spans="1:22" ht="15" customHeight="1" x14ac:dyDescent="0.25">
      <c r="A453" t="s">
        <v>1913</v>
      </c>
      <c r="B453" t="s">
        <v>1960</v>
      </c>
      <c r="C453" t="s">
        <v>1961</v>
      </c>
      <c r="D453" t="s">
        <v>1962</v>
      </c>
      <c r="E453" t="s">
        <v>480</v>
      </c>
      <c r="F453" s="5">
        <v>460</v>
      </c>
      <c r="G453" t="s">
        <v>1352</v>
      </c>
      <c r="H453" s="3">
        <v>44.7</v>
      </c>
      <c r="I453" s="3">
        <v>73.3</v>
      </c>
      <c r="J453" s="3">
        <v>0.79</v>
      </c>
      <c r="K453">
        <v>9</v>
      </c>
      <c r="L453">
        <f t="shared" si="70"/>
        <v>2.5884429000000006E-3</v>
      </c>
      <c r="M453">
        <f t="shared" si="67"/>
        <v>1.0353771600000003E-3</v>
      </c>
      <c r="N453" s="8">
        <v>0.4</v>
      </c>
      <c r="O453" s="14">
        <f t="shared" si="71"/>
        <v>184</v>
      </c>
      <c r="P453" s="8">
        <v>40</v>
      </c>
      <c r="Q453" s="8">
        <f t="shared" si="72"/>
        <v>0.01</v>
      </c>
      <c r="R453" s="8">
        <f t="shared" si="73"/>
        <v>0.53333333333333333</v>
      </c>
      <c r="S453" s="8">
        <f t="shared" si="74"/>
        <v>0.54333333333333333</v>
      </c>
      <c r="T453" s="17">
        <f t="shared" si="68"/>
        <v>0.13619137849360494</v>
      </c>
      <c r="U453" s="19">
        <f t="shared" si="69"/>
        <v>25433.451711274298</v>
      </c>
      <c r="V453" s="29" t="s">
        <v>2983</v>
      </c>
    </row>
    <row r="454" spans="1:22" ht="15" customHeight="1" x14ac:dyDescent="0.25">
      <c r="A454" t="s">
        <v>1913</v>
      </c>
      <c r="B454" t="s">
        <v>1960</v>
      </c>
      <c r="C454" t="s">
        <v>443</v>
      </c>
      <c r="D454" t="s">
        <v>1979</v>
      </c>
      <c r="E454" t="s">
        <v>480</v>
      </c>
      <c r="F454" s="5">
        <v>190</v>
      </c>
      <c r="G454" t="s">
        <v>306</v>
      </c>
      <c r="H454" s="3">
        <v>4</v>
      </c>
      <c r="I454" s="3">
        <v>17</v>
      </c>
      <c r="J454" s="3">
        <v>21</v>
      </c>
      <c r="K454">
        <v>0.75</v>
      </c>
      <c r="L454">
        <f t="shared" si="70"/>
        <v>1.428E-3</v>
      </c>
      <c r="M454">
        <f t="shared" si="67"/>
        <v>1.1424E-3</v>
      </c>
      <c r="N454" s="8">
        <v>0.8</v>
      </c>
      <c r="O454" s="14">
        <f t="shared" si="71"/>
        <v>152</v>
      </c>
      <c r="P454" s="8">
        <v>40</v>
      </c>
      <c r="Q454" s="8">
        <f t="shared" si="72"/>
        <v>0.02</v>
      </c>
      <c r="R454" s="8">
        <f t="shared" si="73"/>
        <v>1.0666666666666667</v>
      </c>
      <c r="S454" s="8">
        <f t="shared" si="74"/>
        <v>1.0866666666666667</v>
      </c>
      <c r="T454" s="17">
        <f t="shared" si="68"/>
        <v>0.11250592136428234</v>
      </c>
      <c r="U454" s="19">
        <f t="shared" si="69"/>
        <v>25433.564217195661</v>
      </c>
      <c r="V454" s="29" t="s">
        <v>2983</v>
      </c>
    </row>
    <row r="455" spans="1:22" ht="15" customHeight="1" x14ac:dyDescent="0.25">
      <c r="A455" t="s">
        <v>1913</v>
      </c>
      <c r="B455" t="s">
        <v>1960</v>
      </c>
      <c r="C455" t="s">
        <v>1982</v>
      </c>
      <c r="D455" t="s">
        <v>1984</v>
      </c>
      <c r="E455" t="s">
        <v>480</v>
      </c>
      <c r="F455" s="5">
        <v>350</v>
      </c>
      <c r="G455" t="s">
        <v>305</v>
      </c>
      <c r="H455" s="3">
        <v>32</v>
      </c>
      <c r="I455" s="3">
        <v>35.200000000000003</v>
      </c>
      <c r="J455">
        <v>22</v>
      </c>
      <c r="K455">
        <v>12.12</v>
      </c>
      <c r="L455">
        <f t="shared" si="70"/>
        <v>2.4780800000000002E-2</v>
      </c>
      <c r="M455">
        <f t="shared" si="67"/>
        <v>9.9123200000000022E-3</v>
      </c>
      <c r="N455" s="8">
        <v>0.4</v>
      </c>
      <c r="O455" s="14">
        <f t="shared" si="71"/>
        <v>140</v>
      </c>
      <c r="P455" s="8">
        <v>40</v>
      </c>
      <c r="Q455" s="8">
        <f t="shared" si="72"/>
        <v>0.01</v>
      </c>
      <c r="R455" s="8">
        <f t="shared" si="73"/>
        <v>0.53333333333333333</v>
      </c>
      <c r="S455" s="8">
        <f t="shared" si="74"/>
        <v>0.54333333333333333</v>
      </c>
      <c r="T455" s="17">
        <f t="shared" si="68"/>
        <v>0.10362387494078636</v>
      </c>
      <c r="U455" s="19">
        <f t="shared" si="69"/>
        <v>25433.667841070601</v>
      </c>
      <c r="V455" s="29" t="s">
        <v>2983</v>
      </c>
    </row>
    <row r="456" spans="1:22" ht="15" customHeight="1" x14ac:dyDescent="0.25">
      <c r="A456" t="s">
        <v>1913</v>
      </c>
      <c r="B456" t="s">
        <v>1960</v>
      </c>
      <c r="C456" t="s">
        <v>1982</v>
      </c>
      <c r="D456" t="s">
        <v>1986</v>
      </c>
      <c r="E456" t="s">
        <v>480</v>
      </c>
      <c r="F456" s="5">
        <v>340</v>
      </c>
      <c r="G456" t="s">
        <v>1352</v>
      </c>
      <c r="H456" s="3">
        <v>24</v>
      </c>
      <c r="I456" s="3">
        <v>24.6</v>
      </c>
      <c r="J456" s="3">
        <v>30.8</v>
      </c>
      <c r="K456">
        <v>9</v>
      </c>
      <c r="L456">
        <f t="shared" si="70"/>
        <v>1.818432E-2</v>
      </c>
      <c r="M456">
        <f t="shared" si="67"/>
        <v>7.2737280000000001E-3</v>
      </c>
      <c r="N456" s="8">
        <v>0.4</v>
      </c>
      <c r="O456" s="14">
        <f t="shared" si="71"/>
        <v>136</v>
      </c>
      <c r="P456" s="8">
        <v>40</v>
      </c>
      <c r="Q456" s="8">
        <f t="shared" si="72"/>
        <v>0.01</v>
      </c>
      <c r="R456" s="8">
        <f t="shared" si="73"/>
        <v>0.53333333333333333</v>
      </c>
      <c r="S456" s="8">
        <f t="shared" si="74"/>
        <v>0.54333333333333333</v>
      </c>
      <c r="T456" s="17">
        <f t="shared" si="68"/>
        <v>0.10066319279962103</v>
      </c>
      <c r="U456" s="19">
        <f t="shared" si="69"/>
        <v>25433.7685042634</v>
      </c>
      <c r="V456" s="29" t="s">
        <v>2983</v>
      </c>
    </row>
    <row r="457" spans="1:22" ht="15" customHeight="1" x14ac:dyDescent="0.25">
      <c r="A457" t="s">
        <v>1913</v>
      </c>
      <c r="B457" t="s">
        <v>1960</v>
      </c>
      <c r="C457" t="s">
        <v>1967</v>
      </c>
      <c r="D457" t="s">
        <v>1970</v>
      </c>
      <c r="E457" t="s">
        <v>480</v>
      </c>
      <c r="F457" s="5">
        <v>340</v>
      </c>
      <c r="G457" t="s">
        <v>1971</v>
      </c>
      <c r="H457" s="3">
        <v>10</v>
      </c>
      <c r="I457" s="3">
        <v>45</v>
      </c>
      <c r="J457" s="3">
        <v>50</v>
      </c>
      <c r="K457">
        <v>9</v>
      </c>
      <c r="L457">
        <f t="shared" si="70"/>
        <v>2.2499999999999999E-2</v>
      </c>
      <c r="M457">
        <f t="shared" si="67"/>
        <v>8.9999999999999993E-3</v>
      </c>
      <c r="N457" s="8">
        <v>0.4</v>
      </c>
      <c r="O457" s="14">
        <f t="shared" si="71"/>
        <v>136</v>
      </c>
      <c r="P457" s="8">
        <v>40</v>
      </c>
      <c r="Q457" s="8">
        <f t="shared" si="72"/>
        <v>0.01</v>
      </c>
      <c r="R457" s="8">
        <f t="shared" si="73"/>
        <v>0.53333333333333333</v>
      </c>
      <c r="S457" s="8">
        <f t="shared" si="74"/>
        <v>0.54333333333333333</v>
      </c>
      <c r="T457" s="17">
        <f t="shared" si="68"/>
        <v>0.10066319279962103</v>
      </c>
      <c r="U457" s="19">
        <f t="shared" si="69"/>
        <v>25433.8691674562</v>
      </c>
      <c r="V457" s="29" t="s">
        <v>2983</v>
      </c>
    </row>
    <row r="458" spans="1:22" ht="15" customHeight="1" x14ac:dyDescent="0.25">
      <c r="A458" t="s">
        <v>1913</v>
      </c>
      <c r="B458" t="s">
        <v>1373</v>
      </c>
      <c r="C458" t="s">
        <v>1376</v>
      </c>
      <c r="D458" t="s">
        <v>1890</v>
      </c>
      <c r="E458" t="s">
        <v>13</v>
      </c>
      <c r="F458" s="5">
        <v>169</v>
      </c>
      <c r="G458" t="s">
        <v>1377</v>
      </c>
      <c r="H458" s="3">
        <v>11</v>
      </c>
      <c r="I458" s="3">
        <v>1.32</v>
      </c>
      <c r="J458" s="3">
        <v>5</v>
      </c>
      <c r="K458" s="3">
        <v>0.83</v>
      </c>
      <c r="L458">
        <f t="shared" si="70"/>
        <v>7.2600000000000003E-5</v>
      </c>
      <c r="M458">
        <f t="shared" si="67"/>
        <v>5.8080000000000006E-5</v>
      </c>
      <c r="N458" s="8">
        <v>0.8</v>
      </c>
      <c r="O458" s="14">
        <f t="shared" si="71"/>
        <v>135.20000000000002</v>
      </c>
      <c r="P458" s="8">
        <v>15</v>
      </c>
      <c r="Q458" s="8">
        <f t="shared" si="72"/>
        <v>5.3333333333333337E-2</v>
      </c>
      <c r="R458" s="8">
        <f t="shared" si="73"/>
        <v>0.4</v>
      </c>
      <c r="S458" s="8">
        <f t="shared" si="74"/>
        <v>0.45333333333333337</v>
      </c>
      <c r="T458" s="17">
        <f t="shared" si="68"/>
        <v>0.10007105637138798</v>
      </c>
      <c r="U458" s="19">
        <f t="shared" si="69"/>
        <v>25433.969238512571</v>
      </c>
      <c r="V458" s="29" t="s">
        <v>2983</v>
      </c>
    </row>
    <row r="459" spans="1:22" ht="15" customHeight="1" x14ac:dyDescent="0.25">
      <c r="A459" t="s">
        <v>1913</v>
      </c>
      <c r="B459" t="s">
        <v>1373</v>
      </c>
      <c r="C459" t="s">
        <v>1407</v>
      </c>
      <c r="D459" t="s">
        <v>1912</v>
      </c>
      <c r="E459" t="s">
        <v>13</v>
      </c>
      <c r="F459" s="5">
        <v>169</v>
      </c>
      <c r="G459" t="s">
        <v>1397</v>
      </c>
      <c r="H459" s="3">
        <v>14</v>
      </c>
      <c r="I459" s="3">
        <v>17</v>
      </c>
      <c r="J459" s="3">
        <v>7</v>
      </c>
      <c r="K459" s="3">
        <v>0.49</v>
      </c>
      <c r="L459">
        <f t="shared" si="70"/>
        <v>1.6659999999999999E-3</v>
      </c>
      <c r="M459">
        <f t="shared" si="67"/>
        <v>1.3328000000000001E-3</v>
      </c>
      <c r="N459" s="8">
        <v>0.8</v>
      </c>
      <c r="O459" s="14">
        <f t="shared" si="71"/>
        <v>135.20000000000002</v>
      </c>
      <c r="P459" s="8">
        <v>15</v>
      </c>
      <c r="Q459" s="8">
        <f t="shared" si="72"/>
        <v>5.3333333333333337E-2</v>
      </c>
      <c r="R459" s="8">
        <f t="shared" si="73"/>
        <v>0.4</v>
      </c>
      <c r="S459" s="8">
        <f t="shared" si="74"/>
        <v>0.45333333333333337</v>
      </c>
      <c r="T459" s="17">
        <f t="shared" si="68"/>
        <v>0.10007105637138798</v>
      </c>
      <c r="U459" s="19">
        <f t="shared" si="69"/>
        <v>25434.069309568942</v>
      </c>
      <c r="V459" s="29" t="s">
        <v>2983</v>
      </c>
    </row>
    <row r="460" spans="1:22" ht="15" customHeight="1" x14ac:dyDescent="0.25">
      <c r="A460" t="s">
        <v>1913</v>
      </c>
      <c r="B460" t="s">
        <v>1373</v>
      </c>
      <c r="C460" t="s">
        <v>1405</v>
      </c>
      <c r="D460" t="s">
        <v>1910</v>
      </c>
      <c r="E460" t="s">
        <v>13</v>
      </c>
      <c r="F460" s="5">
        <v>159</v>
      </c>
      <c r="G460" t="s">
        <v>1397</v>
      </c>
      <c r="H460" s="3">
        <v>12</v>
      </c>
      <c r="I460" s="3">
        <v>20</v>
      </c>
      <c r="J460" s="3">
        <v>7</v>
      </c>
      <c r="K460" s="3">
        <v>0.45</v>
      </c>
      <c r="L460">
        <f t="shared" si="70"/>
        <v>1.6800000000000001E-3</v>
      </c>
      <c r="M460">
        <f t="shared" si="67"/>
        <v>1.3440000000000001E-3</v>
      </c>
      <c r="N460" s="8">
        <v>0.8</v>
      </c>
      <c r="O460" s="14">
        <f t="shared" si="71"/>
        <v>127.2</v>
      </c>
      <c r="P460" s="8">
        <v>15</v>
      </c>
      <c r="Q460" s="8">
        <f t="shared" si="72"/>
        <v>5.3333333333333337E-2</v>
      </c>
      <c r="R460" s="8">
        <f t="shared" si="73"/>
        <v>0.4</v>
      </c>
      <c r="S460" s="8">
        <f t="shared" si="74"/>
        <v>0.45333333333333337</v>
      </c>
      <c r="T460" s="17">
        <f t="shared" si="68"/>
        <v>9.4149692089057324E-2</v>
      </c>
      <c r="U460" s="19">
        <f t="shared" si="69"/>
        <v>25434.163459261032</v>
      </c>
      <c r="V460" s="29" t="s">
        <v>2983</v>
      </c>
    </row>
    <row r="461" spans="1:22" ht="15" customHeight="1" x14ac:dyDescent="0.25">
      <c r="A461" t="s">
        <v>1913</v>
      </c>
      <c r="B461" t="s">
        <v>1960</v>
      </c>
      <c r="C461" t="s">
        <v>443</v>
      </c>
      <c r="D461" t="s">
        <v>1980</v>
      </c>
      <c r="E461" t="s">
        <v>480</v>
      </c>
      <c r="F461" s="5">
        <v>140</v>
      </c>
      <c r="G461" t="s">
        <v>1981</v>
      </c>
      <c r="H461" s="3">
        <v>5</v>
      </c>
      <c r="I461" s="3">
        <v>21</v>
      </c>
      <c r="J461" s="3">
        <v>17</v>
      </c>
      <c r="K461">
        <v>0.88</v>
      </c>
      <c r="L461">
        <f t="shared" si="70"/>
        <v>1.7849999999999999E-3</v>
      </c>
      <c r="M461">
        <f t="shared" si="67"/>
        <v>1.428E-3</v>
      </c>
      <c r="N461" s="8">
        <v>0.8</v>
      </c>
      <c r="O461" s="14">
        <f t="shared" si="71"/>
        <v>112</v>
      </c>
      <c r="P461" s="8">
        <v>40</v>
      </c>
      <c r="Q461" s="8">
        <f t="shared" si="72"/>
        <v>0.02</v>
      </c>
      <c r="R461" s="8">
        <f t="shared" si="73"/>
        <v>1.0666666666666667</v>
      </c>
      <c r="S461" s="8">
        <f t="shared" si="74"/>
        <v>1.0866666666666667</v>
      </c>
      <c r="T461" s="17">
        <f t="shared" si="68"/>
        <v>8.2899099952629091E-2</v>
      </c>
      <c r="U461" s="19">
        <f t="shared" si="69"/>
        <v>25434.246358360986</v>
      </c>
      <c r="V461" s="29" t="s">
        <v>2983</v>
      </c>
    </row>
    <row r="462" spans="1:22" ht="15" customHeight="1" x14ac:dyDescent="0.25">
      <c r="A462" t="s">
        <v>1913</v>
      </c>
      <c r="B462" t="s">
        <v>1960</v>
      </c>
      <c r="C462" t="s">
        <v>1967</v>
      </c>
      <c r="D462" t="s">
        <v>1968</v>
      </c>
      <c r="E462" t="s">
        <v>480</v>
      </c>
      <c r="F462" s="5">
        <v>110</v>
      </c>
      <c r="G462" t="s">
        <v>1969</v>
      </c>
      <c r="H462" s="3">
        <v>45</v>
      </c>
      <c r="I462" s="3">
        <v>60</v>
      </c>
      <c r="J462" s="3">
        <v>45</v>
      </c>
      <c r="K462">
        <v>1.95</v>
      </c>
      <c r="L462">
        <f t="shared" si="70"/>
        <v>0.1215</v>
      </c>
      <c r="M462">
        <f t="shared" si="67"/>
        <v>9.7200000000000009E-2</v>
      </c>
      <c r="N462" s="8">
        <v>0.8</v>
      </c>
      <c r="O462" s="14">
        <f t="shared" si="71"/>
        <v>88</v>
      </c>
      <c r="P462" s="8">
        <v>40</v>
      </c>
      <c r="Q462" s="8">
        <f t="shared" si="72"/>
        <v>0.02</v>
      </c>
      <c r="R462" s="8">
        <f t="shared" si="73"/>
        <v>1.0666666666666667</v>
      </c>
      <c r="S462" s="8">
        <f t="shared" si="74"/>
        <v>1.0866666666666667</v>
      </c>
      <c r="T462" s="17">
        <f t="shared" si="68"/>
        <v>6.5135007105637147E-2</v>
      </c>
      <c r="U462" s="19">
        <f t="shared" si="69"/>
        <v>25434.311493368092</v>
      </c>
      <c r="V462" s="29" t="s">
        <v>2983</v>
      </c>
    </row>
    <row r="463" spans="1:22" ht="15" customHeight="1" x14ac:dyDescent="0.25">
      <c r="A463" t="s">
        <v>1913</v>
      </c>
      <c r="B463" t="s">
        <v>1960</v>
      </c>
      <c r="C463" t="s">
        <v>1982</v>
      </c>
      <c r="D463" t="s">
        <v>1985</v>
      </c>
      <c r="E463" t="s">
        <v>480</v>
      </c>
      <c r="F463" s="5">
        <v>200</v>
      </c>
      <c r="G463" t="s">
        <v>1363</v>
      </c>
      <c r="H463" s="3">
        <v>17.2</v>
      </c>
      <c r="I463" s="3">
        <v>41.8</v>
      </c>
      <c r="J463" s="3">
        <v>22.4</v>
      </c>
      <c r="K463">
        <v>2.4</v>
      </c>
      <c r="L463">
        <f t="shared" si="70"/>
        <v>1.6104703999999997E-2</v>
      </c>
      <c r="M463">
        <f t="shared" si="67"/>
        <v>6.4418815999999993E-3</v>
      </c>
      <c r="N463" s="8">
        <v>0.4</v>
      </c>
      <c r="O463" s="14">
        <f t="shared" si="71"/>
        <v>80</v>
      </c>
      <c r="P463" s="8">
        <v>40</v>
      </c>
      <c r="Q463" s="8">
        <f t="shared" si="72"/>
        <v>0.01</v>
      </c>
      <c r="R463" s="8">
        <f t="shared" si="73"/>
        <v>0.53333333333333333</v>
      </c>
      <c r="S463" s="8">
        <f t="shared" si="74"/>
        <v>0.54333333333333333</v>
      </c>
      <c r="T463" s="17">
        <f t="shared" si="68"/>
        <v>5.9213642823306489E-2</v>
      </c>
      <c r="U463" s="19">
        <f t="shared" si="69"/>
        <v>25434.370707010916</v>
      </c>
      <c r="V463" s="29" t="s">
        <v>2983</v>
      </c>
    </row>
    <row r="464" spans="1:22" ht="15" customHeight="1" x14ac:dyDescent="0.25">
      <c r="A464" t="s">
        <v>1913</v>
      </c>
      <c r="B464" t="s">
        <v>1960</v>
      </c>
      <c r="C464" t="s">
        <v>443</v>
      </c>
      <c r="D464" t="s">
        <v>1978</v>
      </c>
      <c r="E464" t="s">
        <v>480</v>
      </c>
      <c r="F464" s="5">
        <v>70</v>
      </c>
      <c r="G464" t="s">
        <v>1352</v>
      </c>
      <c r="H464" s="3">
        <v>3.2</v>
      </c>
      <c r="I464" s="3">
        <v>20.9</v>
      </c>
      <c r="J464" s="3">
        <v>32</v>
      </c>
      <c r="K464">
        <v>1</v>
      </c>
      <c r="L464">
        <f t="shared" si="70"/>
        <v>2.1401599999999999E-3</v>
      </c>
      <c r="M464">
        <f t="shared" si="67"/>
        <v>1.712128E-3</v>
      </c>
      <c r="N464" s="8">
        <v>0.8</v>
      </c>
      <c r="O464" s="14">
        <f t="shared" si="71"/>
        <v>56</v>
      </c>
      <c r="P464" s="8">
        <v>40</v>
      </c>
      <c r="Q464" s="8">
        <f t="shared" si="72"/>
        <v>0.02</v>
      </c>
      <c r="R464" s="8">
        <f t="shared" si="73"/>
        <v>1.0666666666666667</v>
      </c>
      <c r="S464" s="8">
        <f t="shared" si="74"/>
        <v>1.0866666666666667</v>
      </c>
      <c r="T464" s="17">
        <f t="shared" si="68"/>
        <v>4.1449549976314545E-2</v>
      </c>
      <c r="U464" s="19">
        <f t="shared" si="69"/>
        <v>25434.412156560891</v>
      </c>
      <c r="V464" s="29" t="s">
        <v>2983</v>
      </c>
    </row>
    <row r="465" spans="1:22" ht="15" customHeight="1" x14ac:dyDescent="0.25">
      <c r="A465" t="s">
        <v>1913</v>
      </c>
      <c r="B465" t="s">
        <v>1960</v>
      </c>
      <c r="C465" t="s">
        <v>1967</v>
      </c>
      <c r="D465" t="s">
        <v>1973</v>
      </c>
      <c r="E465" t="s">
        <v>480</v>
      </c>
      <c r="F465" s="5">
        <v>65</v>
      </c>
      <c r="G465" t="s">
        <v>1969</v>
      </c>
      <c r="H465" s="3">
        <v>4.5</v>
      </c>
      <c r="I465" s="3">
        <v>9</v>
      </c>
      <c r="J465" s="3">
        <v>3.3</v>
      </c>
      <c r="K465">
        <v>1.9</v>
      </c>
      <c r="L465">
        <f t="shared" si="70"/>
        <v>1.3365E-4</v>
      </c>
      <c r="M465">
        <f t="shared" si="67"/>
        <v>1.0692E-4</v>
      </c>
      <c r="N465" s="8">
        <v>0.8</v>
      </c>
      <c r="O465" s="14">
        <f t="shared" si="71"/>
        <v>52</v>
      </c>
      <c r="P465" s="8">
        <v>40</v>
      </c>
      <c r="Q465" s="8">
        <f t="shared" si="72"/>
        <v>0.02</v>
      </c>
      <c r="R465" s="8">
        <f t="shared" si="73"/>
        <v>1.0666666666666667</v>
      </c>
      <c r="S465" s="8">
        <f t="shared" si="74"/>
        <v>1.0866666666666667</v>
      </c>
      <c r="T465" s="17">
        <f t="shared" si="68"/>
        <v>3.8488867835149217E-2</v>
      </c>
      <c r="U465" s="19">
        <f t="shared" si="69"/>
        <v>25434.450645428726</v>
      </c>
      <c r="V465" s="29" t="s">
        <v>2983</v>
      </c>
    </row>
    <row r="466" spans="1:22" ht="15" customHeight="1" x14ac:dyDescent="0.25">
      <c r="A466" t="s">
        <v>1913</v>
      </c>
      <c r="B466" t="s">
        <v>1960</v>
      </c>
      <c r="C466" t="s">
        <v>443</v>
      </c>
      <c r="D466" t="s">
        <v>1977</v>
      </c>
      <c r="E466" t="s">
        <v>480</v>
      </c>
      <c r="F466" s="5">
        <v>62</v>
      </c>
      <c r="G466" t="s">
        <v>307</v>
      </c>
      <c r="H466" s="3">
        <v>4.5</v>
      </c>
      <c r="I466" s="3">
        <v>25</v>
      </c>
      <c r="J466" s="3">
        <v>36</v>
      </c>
      <c r="K466">
        <v>1.2</v>
      </c>
      <c r="L466">
        <f t="shared" si="70"/>
        <v>4.0499999999999998E-3</v>
      </c>
      <c r="M466">
        <f t="shared" si="67"/>
        <v>3.2399999999999998E-3</v>
      </c>
      <c r="N466" s="8">
        <v>0.8</v>
      </c>
      <c r="O466" s="14">
        <f t="shared" si="71"/>
        <v>49.6</v>
      </c>
      <c r="P466" s="8">
        <v>40</v>
      </c>
      <c r="Q466" s="8">
        <f t="shared" si="72"/>
        <v>0.02</v>
      </c>
      <c r="R466" s="8">
        <f t="shared" si="73"/>
        <v>1.0666666666666667</v>
      </c>
      <c r="S466" s="8">
        <f t="shared" si="74"/>
        <v>1.0866666666666667</v>
      </c>
      <c r="T466" s="17">
        <f t="shared" si="68"/>
        <v>3.6712458550450022E-2</v>
      </c>
      <c r="U466" s="19">
        <f t="shared" si="69"/>
        <v>25434.487357887276</v>
      </c>
      <c r="V466" s="29" t="s">
        <v>2983</v>
      </c>
    </row>
    <row r="467" spans="1:22" ht="15" customHeight="1" x14ac:dyDescent="0.25">
      <c r="A467" t="s">
        <v>1913</v>
      </c>
      <c r="B467" t="s">
        <v>1960</v>
      </c>
      <c r="C467" t="s">
        <v>443</v>
      </c>
      <c r="D467" t="s">
        <v>1976</v>
      </c>
      <c r="E467" t="s">
        <v>480</v>
      </c>
      <c r="F467" s="5">
        <v>59</v>
      </c>
      <c r="G467" t="s">
        <v>305</v>
      </c>
      <c r="H467" s="3">
        <v>3.7</v>
      </c>
      <c r="I467" s="3">
        <v>27</v>
      </c>
      <c r="J467" s="3">
        <v>20.100000000000001</v>
      </c>
      <c r="K467">
        <v>1.1000000000000001</v>
      </c>
      <c r="L467">
        <f t="shared" si="70"/>
        <v>2.0079900000000003E-3</v>
      </c>
      <c r="M467">
        <f t="shared" si="67"/>
        <v>1.6063920000000003E-3</v>
      </c>
      <c r="N467" s="8">
        <v>0.8</v>
      </c>
      <c r="O467" s="14">
        <f t="shared" si="71"/>
        <v>47.2</v>
      </c>
      <c r="P467" s="8">
        <v>40</v>
      </c>
      <c r="Q467" s="8">
        <f t="shared" si="72"/>
        <v>0.02</v>
      </c>
      <c r="R467" s="8">
        <f t="shared" si="73"/>
        <v>1.0666666666666667</v>
      </c>
      <c r="S467" s="8">
        <f t="shared" si="74"/>
        <v>1.0866666666666667</v>
      </c>
      <c r="T467" s="17">
        <f t="shared" si="68"/>
        <v>3.4936049265750835E-2</v>
      </c>
      <c r="U467" s="19">
        <f t="shared" si="69"/>
        <v>25434.522293936541</v>
      </c>
      <c r="V467" s="29" t="s">
        <v>2983</v>
      </c>
    </row>
    <row r="468" spans="1:22" ht="15" customHeight="1" x14ac:dyDescent="0.25">
      <c r="A468" t="s">
        <v>1913</v>
      </c>
      <c r="B468" t="s">
        <v>1373</v>
      </c>
      <c r="C468" t="s">
        <v>1393</v>
      </c>
      <c r="D468" t="s">
        <v>1902</v>
      </c>
      <c r="E468" t="s">
        <v>13</v>
      </c>
      <c r="F468" s="5">
        <v>39</v>
      </c>
      <c r="G468" t="s">
        <v>1394</v>
      </c>
      <c r="H468" s="3">
        <v>6</v>
      </c>
      <c r="I468" s="3">
        <v>21</v>
      </c>
      <c r="J468" s="3">
        <v>21</v>
      </c>
      <c r="K468" s="3">
        <v>0.65</v>
      </c>
      <c r="L468">
        <f t="shared" si="70"/>
        <v>2.6459999999999999E-3</v>
      </c>
      <c r="M468">
        <f t="shared" si="67"/>
        <v>2.1167999999999998E-3</v>
      </c>
      <c r="N468" s="8">
        <v>0.8</v>
      </c>
      <c r="O468" s="14">
        <f t="shared" si="71"/>
        <v>31.200000000000003</v>
      </c>
      <c r="P468" s="8">
        <v>15</v>
      </c>
      <c r="Q468" s="8">
        <f t="shared" si="72"/>
        <v>5.3333333333333337E-2</v>
      </c>
      <c r="R468" s="8">
        <f t="shared" si="73"/>
        <v>0.4</v>
      </c>
      <c r="S468" s="8">
        <f t="shared" si="74"/>
        <v>0.45333333333333337</v>
      </c>
      <c r="T468" s="17">
        <f t="shared" si="68"/>
        <v>2.3093320701089534E-2</v>
      </c>
      <c r="U468" s="19">
        <f t="shared" si="69"/>
        <v>25434.545387257243</v>
      </c>
      <c r="V468" s="29" t="s">
        <v>2983</v>
      </c>
    </row>
    <row r="469" spans="1:22" ht="15" customHeight="1" x14ac:dyDescent="0.25">
      <c r="A469" t="s">
        <v>1913</v>
      </c>
      <c r="B469" t="s">
        <v>1960</v>
      </c>
      <c r="C469" t="s">
        <v>1967</v>
      </c>
      <c r="D469" t="s">
        <v>1974</v>
      </c>
      <c r="E469" t="s">
        <v>480</v>
      </c>
      <c r="F469" s="5">
        <v>75</v>
      </c>
      <c r="G469" t="s">
        <v>1975</v>
      </c>
      <c r="H469" s="3">
        <v>55</v>
      </c>
      <c r="I469" s="3">
        <v>12.3</v>
      </c>
      <c r="J469" s="3">
        <v>104.3</v>
      </c>
      <c r="K469">
        <v>10</v>
      </c>
      <c r="L469">
        <f t="shared" si="70"/>
        <v>7.0558950000000009E-2</v>
      </c>
      <c r="M469">
        <f t="shared" si="67"/>
        <v>2.8223580000000005E-2</v>
      </c>
      <c r="N469" s="8">
        <v>0.4</v>
      </c>
      <c r="O469" s="14">
        <f t="shared" si="71"/>
        <v>30</v>
      </c>
      <c r="P469" s="8">
        <v>40</v>
      </c>
      <c r="Q469" s="8">
        <f t="shared" si="72"/>
        <v>0.01</v>
      </c>
      <c r="R469" s="8">
        <f t="shared" si="73"/>
        <v>0.53333333333333333</v>
      </c>
      <c r="S469" s="8">
        <f t="shared" si="74"/>
        <v>0.54333333333333333</v>
      </c>
      <c r="T469" s="17">
        <f t="shared" si="68"/>
        <v>2.2205116058739933E-2</v>
      </c>
      <c r="U469" s="19">
        <f t="shared" si="69"/>
        <v>25434.567592373303</v>
      </c>
      <c r="V469" s="29" t="s">
        <v>2983</v>
      </c>
    </row>
    <row r="470" spans="1:22" ht="15" customHeight="1" x14ac:dyDescent="0.25">
      <c r="A470" t="s">
        <v>1913</v>
      </c>
      <c r="B470" t="s">
        <v>1373</v>
      </c>
      <c r="C470" t="s">
        <v>1395</v>
      </c>
      <c r="D470" t="s">
        <v>1903</v>
      </c>
      <c r="E470" t="s">
        <v>13</v>
      </c>
      <c r="F470" s="5">
        <v>29</v>
      </c>
      <c r="G470" t="s">
        <v>1394</v>
      </c>
      <c r="H470" s="3">
        <v>7</v>
      </c>
      <c r="I470" s="3">
        <v>20</v>
      </c>
      <c r="J470" s="3">
        <v>12</v>
      </c>
      <c r="K470" s="3">
        <v>0.78</v>
      </c>
      <c r="L470">
        <f t="shared" si="70"/>
        <v>1.6800000000000001E-3</v>
      </c>
      <c r="M470">
        <f t="shared" si="67"/>
        <v>1.3440000000000001E-3</v>
      </c>
      <c r="N470" s="8">
        <v>0.8</v>
      </c>
      <c r="O470" s="14">
        <f t="shared" si="71"/>
        <v>23.200000000000003</v>
      </c>
      <c r="P470" s="8">
        <v>15</v>
      </c>
      <c r="Q470" s="8">
        <f t="shared" si="72"/>
        <v>5.3333333333333337E-2</v>
      </c>
      <c r="R470" s="8">
        <f t="shared" si="73"/>
        <v>0.4</v>
      </c>
      <c r="S470" s="8">
        <f t="shared" si="74"/>
        <v>0.45333333333333337</v>
      </c>
      <c r="T470" s="17">
        <f t="shared" si="68"/>
        <v>1.7171956418758884E-2</v>
      </c>
      <c r="U470" s="19">
        <f t="shared" si="69"/>
        <v>25434.584764329724</v>
      </c>
      <c r="V470" s="29" t="s">
        <v>2983</v>
      </c>
    </row>
    <row r="471" spans="1:22" ht="15" customHeight="1" x14ac:dyDescent="0.25">
      <c r="A471" t="s">
        <v>1913</v>
      </c>
      <c r="B471" t="s">
        <v>1960</v>
      </c>
      <c r="C471" t="s">
        <v>1967</v>
      </c>
      <c r="D471" t="s">
        <v>1972</v>
      </c>
      <c r="E471" t="s">
        <v>480</v>
      </c>
      <c r="F471" s="5">
        <v>15</v>
      </c>
      <c r="G471" t="s">
        <v>1397</v>
      </c>
      <c r="H471" s="3">
        <v>22</v>
      </c>
      <c r="I471" s="3">
        <v>15</v>
      </c>
      <c r="J471" s="3">
        <v>15</v>
      </c>
      <c r="K471">
        <v>3</v>
      </c>
      <c r="L471">
        <f t="shared" si="70"/>
        <v>4.9500000000000004E-3</v>
      </c>
      <c r="M471">
        <f t="shared" si="67"/>
        <v>1.9800000000000004E-3</v>
      </c>
      <c r="N471" s="8">
        <v>0.4</v>
      </c>
      <c r="O471" s="14">
        <f t="shared" si="71"/>
        <v>6</v>
      </c>
      <c r="P471" s="8">
        <v>40</v>
      </c>
      <c r="Q471" s="8">
        <f t="shared" si="72"/>
        <v>0.01</v>
      </c>
      <c r="R471" s="8">
        <f t="shared" si="73"/>
        <v>0.53333333333333333</v>
      </c>
      <c r="S471" s="8">
        <f t="shared" si="74"/>
        <v>0.54333333333333333</v>
      </c>
      <c r="T471" s="17">
        <f t="shared" si="68"/>
        <v>4.4410232117479869E-3</v>
      </c>
      <c r="U471" s="19">
        <f t="shared" si="69"/>
        <v>25434.589205352935</v>
      </c>
      <c r="V471" s="29" t="s">
        <v>2983</v>
      </c>
    </row>
    <row r="472" spans="1:22" ht="15" customHeight="1" x14ac:dyDescent="0.25">
      <c r="A472" t="s">
        <v>295</v>
      </c>
      <c r="B472" t="s">
        <v>1988</v>
      </c>
      <c r="C472" t="s">
        <v>1085</v>
      </c>
      <c r="D472" t="s">
        <v>1087</v>
      </c>
      <c r="E472" t="s">
        <v>13</v>
      </c>
      <c r="F472" s="5">
        <v>4170.8999999999996</v>
      </c>
      <c r="G472" t="s">
        <v>1088</v>
      </c>
      <c r="H472" s="3">
        <v>125</v>
      </c>
      <c r="I472" s="3">
        <v>130</v>
      </c>
      <c r="J472" s="3">
        <v>70</v>
      </c>
      <c r="K472" s="3">
        <v>240</v>
      </c>
      <c r="L472">
        <f t="shared" si="70"/>
        <v>1.1375</v>
      </c>
      <c r="M472">
        <f t="shared" si="67"/>
        <v>455</v>
      </c>
      <c r="N472" s="8">
        <v>400</v>
      </c>
      <c r="O472" s="14">
        <f t="shared" si="71"/>
        <v>1668359.9999999998</v>
      </c>
      <c r="P472" s="8">
        <v>22</v>
      </c>
      <c r="Q472" s="8">
        <f t="shared" si="72"/>
        <v>18.181818181818183</v>
      </c>
      <c r="R472" s="8">
        <f t="shared" si="73"/>
        <v>293.33333333333337</v>
      </c>
      <c r="S472" s="8">
        <f t="shared" si="74"/>
        <v>311.51515151515156</v>
      </c>
      <c r="T472" s="17">
        <f t="shared" si="68"/>
        <v>1234.8709142586451</v>
      </c>
      <c r="U472" s="19">
        <f>T472</f>
        <v>1234.8709142586451</v>
      </c>
      <c r="V472" s="25" t="s">
        <v>2987</v>
      </c>
    </row>
    <row r="473" spans="1:22" ht="15" customHeight="1" x14ac:dyDescent="0.25">
      <c r="A473" t="s">
        <v>295</v>
      </c>
      <c r="B473" t="s">
        <v>1988</v>
      </c>
      <c r="C473" t="s">
        <v>1078</v>
      </c>
      <c r="D473" t="s">
        <v>1081</v>
      </c>
      <c r="E473" t="s">
        <v>234</v>
      </c>
      <c r="F473" s="5">
        <v>2949.9</v>
      </c>
      <c r="G473" t="s">
        <v>1082</v>
      </c>
      <c r="H473" s="3">
        <v>24</v>
      </c>
      <c r="I473">
        <v>50</v>
      </c>
      <c r="J473" s="3">
        <v>16</v>
      </c>
      <c r="K473" s="3">
        <v>21.7</v>
      </c>
      <c r="L473">
        <f t="shared" si="70"/>
        <v>1.9199999999999998E-2</v>
      </c>
      <c r="M473">
        <f t="shared" si="67"/>
        <v>5.76</v>
      </c>
      <c r="N473" s="8">
        <v>300</v>
      </c>
      <c r="O473" s="14">
        <f t="shared" si="71"/>
        <v>884970</v>
      </c>
      <c r="P473" s="8">
        <v>22</v>
      </c>
      <c r="Q473" s="8">
        <f t="shared" si="72"/>
        <v>13.636363636363637</v>
      </c>
      <c r="R473" s="8">
        <f t="shared" si="73"/>
        <v>220</v>
      </c>
      <c r="S473" s="8">
        <f t="shared" si="74"/>
        <v>233.63636363636363</v>
      </c>
      <c r="T473" s="17">
        <f t="shared" si="68"/>
        <v>655.02871861676931</v>
      </c>
      <c r="U473" s="19">
        <f t="shared" ref="U473:U504" si="75">U472+T473</f>
        <v>1889.8996328754145</v>
      </c>
      <c r="V473" s="25" t="s">
        <v>2987</v>
      </c>
    </row>
    <row r="474" spans="1:22" ht="15" customHeight="1" x14ac:dyDescent="0.25">
      <c r="A474" t="s">
        <v>295</v>
      </c>
      <c r="B474" t="s">
        <v>1988</v>
      </c>
      <c r="C474" t="s">
        <v>1046</v>
      </c>
      <c r="D474" t="s">
        <v>1051</v>
      </c>
      <c r="E474" t="s">
        <v>13</v>
      </c>
      <c r="F474" s="5">
        <v>3399</v>
      </c>
      <c r="G474" t="s">
        <v>970</v>
      </c>
      <c r="H474" s="3">
        <v>114</v>
      </c>
      <c r="I474" s="3">
        <v>134</v>
      </c>
      <c r="J474" s="3">
        <v>64</v>
      </c>
      <c r="K474" s="3">
        <v>160</v>
      </c>
      <c r="L474">
        <f t="shared" si="70"/>
        <v>0.97766399999999998</v>
      </c>
      <c r="M474">
        <f t="shared" si="67"/>
        <v>195.53280000000001</v>
      </c>
      <c r="N474" s="8">
        <v>200</v>
      </c>
      <c r="O474" s="14">
        <f t="shared" si="71"/>
        <v>679800</v>
      </c>
      <c r="P474" s="8">
        <v>22</v>
      </c>
      <c r="Q474" s="8">
        <f t="shared" si="72"/>
        <v>9.0909090909090917</v>
      </c>
      <c r="R474" s="8">
        <f t="shared" si="73"/>
        <v>146.66666666666669</v>
      </c>
      <c r="S474" s="8">
        <f t="shared" si="74"/>
        <v>155.75757575757578</v>
      </c>
      <c r="T474" s="17">
        <f t="shared" si="68"/>
        <v>503.16792989104692</v>
      </c>
      <c r="U474" s="19">
        <f t="shared" si="75"/>
        <v>2393.0675627664614</v>
      </c>
      <c r="V474" s="25" t="s">
        <v>2987</v>
      </c>
    </row>
    <row r="475" spans="1:22" ht="15" customHeight="1" x14ac:dyDescent="0.25">
      <c r="A475" t="s">
        <v>295</v>
      </c>
      <c r="B475" t="s">
        <v>904</v>
      </c>
      <c r="C475" t="s">
        <v>2001</v>
      </c>
      <c r="D475" t="s">
        <v>930</v>
      </c>
      <c r="E475" t="s">
        <v>480</v>
      </c>
      <c r="F475" s="5">
        <v>199</v>
      </c>
      <c r="G475" t="s">
        <v>911</v>
      </c>
      <c r="H475" s="3">
        <v>57</v>
      </c>
      <c r="I475" s="3">
        <v>15</v>
      </c>
      <c r="J475" s="3">
        <v>15</v>
      </c>
      <c r="K475">
        <v>5.0999999999999996</v>
      </c>
      <c r="L475">
        <f t="shared" si="70"/>
        <v>1.2825E-2</v>
      </c>
      <c r="M475">
        <f t="shared" si="67"/>
        <v>38.475000000000001</v>
      </c>
      <c r="N475" s="8">
        <v>3000</v>
      </c>
      <c r="O475" s="14">
        <f t="shared" si="71"/>
        <v>597000</v>
      </c>
      <c r="P475" s="8">
        <v>15</v>
      </c>
      <c r="Q475" s="8">
        <f t="shared" si="72"/>
        <v>200</v>
      </c>
      <c r="R475" s="8">
        <f t="shared" si="73"/>
        <v>1500</v>
      </c>
      <c r="S475" s="8">
        <f t="shared" si="74"/>
        <v>1700</v>
      </c>
      <c r="T475" s="17">
        <f t="shared" si="68"/>
        <v>441.88180956892467</v>
      </c>
      <c r="U475" s="19">
        <f t="shared" si="75"/>
        <v>2834.9493723353862</v>
      </c>
      <c r="V475" s="25" t="s">
        <v>2987</v>
      </c>
    </row>
    <row r="476" spans="1:22" ht="15" customHeight="1" x14ac:dyDescent="0.25">
      <c r="A476" t="s">
        <v>295</v>
      </c>
      <c r="B476" t="s">
        <v>1988</v>
      </c>
      <c r="C476" t="s">
        <v>1046</v>
      </c>
      <c r="D476" t="s">
        <v>1050</v>
      </c>
      <c r="E476" t="s">
        <v>13</v>
      </c>
      <c r="F476" s="5">
        <v>2839.9</v>
      </c>
      <c r="G476" t="s">
        <v>970</v>
      </c>
      <c r="H476" s="3">
        <v>102</v>
      </c>
      <c r="I476" s="3">
        <v>132</v>
      </c>
      <c r="J476" s="3">
        <v>63.8</v>
      </c>
      <c r="K476" s="3">
        <v>88</v>
      </c>
      <c r="L476">
        <f t="shared" si="70"/>
        <v>0.85900320000000008</v>
      </c>
      <c r="M476">
        <f t="shared" si="67"/>
        <v>171.80064000000002</v>
      </c>
      <c r="N476" s="8">
        <v>200</v>
      </c>
      <c r="O476" s="14">
        <f t="shared" si="71"/>
        <v>567980</v>
      </c>
      <c r="P476" s="8">
        <v>22</v>
      </c>
      <c r="Q476" s="8">
        <f t="shared" si="72"/>
        <v>9.0909090909090917</v>
      </c>
      <c r="R476" s="8">
        <f t="shared" si="73"/>
        <v>146.66666666666669</v>
      </c>
      <c r="S476" s="8">
        <f t="shared" si="74"/>
        <v>155.75757575757578</v>
      </c>
      <c r="T476" s="17">
        <f t="shared" si="68"/>
        <v>420.40206063477024</v>
      </c>
      <c r="U476" s="19">
        <f t="shared" si="75"/>
        <v>3255.3514329701566</v>
      </c>
      <c r="V476" s="25" t="s">
        <v>2987</v>
      </c>
    </row>
    <row r="477" spans="1:22" ht="15" customHeight="1" x14ac:dyDescent="0.25">
      <c r="A477" t="s">
        <v>295</v>
      </c>
      <c r="B477" t="s">
        <v>1988</v>
      </c>
      <c r="C477" t="s">
        <v>1989</v>
      </c>
      <c r="D477" t="s">
        <v>969</v>
      </c>
      <c r="E477" t="s">
        <v>13</v>
      </c>
      <c r="F477" s="5">
        <v>1800</v>
      </c>
      <c r="G477" t="s">
        <v>970</v>
      </c>
      <c r="H477" s="3">
        <v>51.5</v>
      </c>
      <c r="I477" s="3">
        <v>45</v>
      </c>
      <c r="J477" s="3">
        <v>61.5</v>
      </c>
      <c r="K477" s="3">
        <v>60</v>
      </c>
      <c r="L477">
        <f t="shared" si="70"/>
        <v>0.14252624999999999</v>
      </c>
      <c r="M477">
        <f t="shared" si="67"/>
        <v>42.757874999999999</v>
      </c>
      <c r="N477" s="8">
        <v>300</v>
      </c>
      <c r="O477" s="14">
        <f t="shared" si="71"/>
        <v>540000</v>
      </c>
      <c r="P477" s="8">
        <v>22</v>
      </c>
      <c r="Q477" s="8">
        <f t="shared" si="72"/>
        <v>13.636363636363637</v>
      </c>
      <c r="R477" s="8">
        <f t="shared" si="73"/>
        <v>220</v>
      </c>
      <c r="S477" s="8">
        <f t="shared" si="74"/>
        <v>233.63636363636363</v>
      </c>
      <c r="T477" s="17">
        <f t="shared" si="68"/>
        <v>399.69208905731881</v>
      </c>
      <c r="U477" s="19">
        <f t="shared" si="75"/>
        <v>3655.0435220274753</v>
      </c>
      <c r="V477" s="25" t="s">
        <v>2987</v>
      </c>
    </row>
    <row r="478" spans="1:22" ht="15" customHeight="1" x14ac:dyDescent="0.25">
      <c r="A478" t="s">
        <v>295</v>
      </c>
      <c r="B478" t="s">
        <v>1988</v>
      </c>
      <c r="C478" t="s">
        <v>1063</v>
      </c>
      <c r="D478" t="s">
        <v>2013</v>
      </c>
      <c r="E478" t="s">
        <v>234</v>
      </c>
      <c r="F478" s="5">
        <v>221.9</v>
      </c>
      <c r="G478" t="s">
        <v>1022</v>
      </c>
      <c r="H478" s="3">
        <v>27</v>
      </c>
      <c r="I478" s="3">
        <v>29</v>
      </c>
      <c r="J478" s="3">
        <v>10.5</v>
      </c>
      <c r="K478" s="3">
        <v>4.8</v>
      </c>
      <c r="L478">
        <f t="shared" si="70"/>
        <v>8.2214999999999996E-3</v>
      </c>
      <c r="M478">
        <f t="shared" si="67"/>
        <v>19.320525</v>
      </c>
      <c r="N478" s="8">
        <v>2350</v>
      </c>
      <c r="O478" s="14">
        <f t="shared" si="71"/>
        <v>521465</v>
      </c>
      <c r="P478" s="8">
        <v>22</v>
      </c>
      <c r="Q478" s="8">
        <f t="shared" si="72"/>
        <v>106.81818181818181</v>
      </c>
      <c r="R478" s="8">
        <f t="shared" si="73"/>
        <v>1723.3333333333333</v>
      </c>
      <c r="S478" s="8">
        <f t="shared" si="74"/>
        <v>1830.151515151515</v>
      </c>
      <c r="T478" s="17">
        <f t="shared" si="68"/>
        <v>385.97302818569398</v>
      </c>
      <c r="U478" s="19">
        <f t="shared" si="75"/>
        <v>4041.0165502131695</v>
      </c>
      <c r="V478" s="25" t="s">
        <v>2987</v>
      </c>
    </row>
    <row r="479" spans="1:22" ht="15" customHeight="1" x14ac:dyDescent="0.25">
      <c r="A479" t="s">
        <v>295</v>
      </c>
      <c r="B479" t="s">
        <v>1988</v>
      </c>
      <c r="C479" t="s">
        <v>1085</v>
      </c>
      <c r="D479" t="s">
        <v>1089</v>
      </c>
      <c r="E479" t="s">
        <v>13</v>
      </c>
      <c r="F479" s="5">
        <v>1699</v>
      </c>
      <c r="G479" t="s">
        <v>1036</v>
      </c>
      <c r="H479" s="3">
        <v>114</v>
      </c>
      <c r="I479" s="3">
        <v>100</v>
      </c>
      <c r="J479" s="3">
        <v>65</v>
      </c>
      <c r="K479" s="3">
        <v>60</v>
      </c>
      <c r="L479">
        <f t="shared" si="70"/>
        <v>0.74099999999999999</v>
      </c>
      <c r="M479">
        <f t="shared" si="67"/>
        <v>222.3</v>
      </c>
      <c r="N479" s="8">
        <v>300</v>
      </c>
      <c r="O479" s="14">
        <f t="shared" si="71"/>
        <v>509700</v>
      </c>
      <c r="P479" s="8">
        <v>22</v>
      </c>
      <c r="Q479" s="8">
        <f t="shared" si="72"/>
        <v>13.636363636363637</v>
      </c>
      <c r="R479" s="8">
        <f t="shared" si="73"/>
        <v>220</v>
      </c>
      <c r="S479" s="8">
        <f t="shared" si="74"/>
        <v>233.63636363636363</v>
      </c>
      <c r="T479" s="17">
        <f t="shared" si="68"/>
        <v>377.26492183799149</v>
      </c>
      <c r="U479" s="19">
        <f t="shared" si="75"/>
        <v>4418.2814720511606</v>
      </c>
      <c r="V479" s="25" t="s">
        <v>2987</v>
      </c>
    </row>
    <row r="480" spans="1:22" ht="15" customHeight="1" x14ac:dyDescent="0.25">
      <c r="A480" t="s">
        <v>295</v>
      </c>
      <c r="B480" t="s">
        <v>1988</v>
      </c>
      <c r="C480" t="s">
        <v>1989</v>
      </c>
      <c r="D480" t="s">
        <v>972</v>
      </c>
      <c r="E480" t="s">
        <v>13</v>
      </c>
      <c r="F480" s="5">
        <v>2500</v>
      </c>
      <c r="G480" t="s">
        <v>970</v>
      </c>
      <c r="H480" s="3">
        <v>67</v>
      </c>
      <c r="I480" s="3">
        <v>73.5</v>
      </c>
      <c r="J480" s="3">
        <v>49</v>
      </c>
      <c r="K480" s="3">
        <v>75</v>
      </c>
      <c r="L480">
        <f t="shared" si="70"/>
        <v>0.2413005</v>
      </c>
      <c r="M480">
        <f t="shared" si="67"/>
        <v>48.260100000000001</v>
      </c>
      <c r="N480" s="8">
        <v>200</v>
      </c>
      <c r="O480" s="14">
        <f t="shared" si="71"/>
        <v>500000</v>
      </c>
      <c r="P480" s="8">
        <v>22</v>
      </c>
      <c r="Q480" s="8">
        <f t="shared" si="72"/>
        <v>9.0909090909090917</v>
      </c>
      <c r="R480" s="8">
        <f t="shared" si="73"/>
        <v>146.66666666666669</v>
      </c>
      <c r="S480" s="8">
        <f t="shared" si="74"/>
        <v>155.75757575757578</v>
      </c>
      <c r="T480" s="17">
        <f t="shared" si="68"/>
        <v>370.08526764566557</v>
      </c>
      <c r="U480" s="19">
        <f t="shared" si="75"/>
        <v>4788.3667396968258</v>
      </c>
      <c r="V480" s="25" t="s">
        <v>2987</v>
      </c>
    </row>
    <row r="481" spans="1:22" ht="15" customHeight="1" x14ac:dyDescent="0.25">
      <c r="A481" t="s">
        <v>295</v>
      </c>
      <c r="B481" t="s">
        <v>296</v>
      </c>
      <c r="C481" t="s">
        <v>2017</v>
      </c>
      <c r="D481" t="s">
        <v>293</v>
      </c>
      <c r="E481" t="s">
        <v>480</v>
      </c>
      <c r="F481" s="5">
        <v>806.9</v>
      </c>
      <c r="G481" t="s">
        <v>294</v>
      </c>
      <c r="H481" s="3">
        <v>29</v>
      </c>
      <c r="I481" s="3">
        <v>41</v>
      </c>
      <c r="J481" s="3">
        <v>21</v>
      </c>
      <c r="K481" s="3">
        <v>24.9</v>
      </c>
      <c r="L481">
        <f t="shared" si="70"/>
        <v>2.4969000000000002E-2</v>
      </c>
      <c r="M481">
        <f t="shared" si="67"/>
        <v>14.981400000000001</v>
      </c>
      <c r="N481" s="8">
        <v>600</v>
      </c>
      <c r="O481" s="14">
        <f t="shared" si="71"/>
        <v>484140</v>
      </c>
      <c r="P481" s="8">
        <v>40</v>
      </c>
      <c r="Q481" s="8">
        <f t="shared" si="72"/>
        <v>15</v>
      </c>
      <c r="R481" s="8">
        <f t="shared" si="73"/>
        <v>800</v>
      </c>
      <c r="S481" s="8">
        <f t="shared" si="74"/>
        <v>815</v>
      </c>
      <c r="T481" s="17">
        <f t="shared" si="68"/>
        <v>358.34616295594503</v>
      </c>
      <c r="U481" s="19">
        <f t="shared" si="75"/>
        <v>5146.7129026527709</v>
      </c>
      <c r="V481" s="25" t="s">
        <v>2987</v>
      </c>
    </row>
    <row r="482" spans="1:22" ht="15" customHeight="1" x14ac:dyDescent="0.25">
      <c r="A482" t="s">
        <v>295</v>
      </c>
      <c r="B482" t="s">
        <v>1988</v>
      </c>
      <c r="C482" t="s">
        <v>1989</v>
      </c>
      <c r="D482" t="s">
        <v>966</v>
      </c>
      <c r="E482" t="s">
        <v>13</v>
      </c>
      <c r="F482" s="5">
        <v>1500</v>
      </c>
      <c r="G482" t="s">
        <v>357</v>
      </c>
      <c r="H482" s="3">
        <v>67</v>
      </c>
      <c r="I482" s="3">
        <v>73.5</v>
      </c>
      <c r="J482" s="3">
        <v>48.5</v>
      </c>
      <c r="K482" s="3">
        <v>55</v>
      </c>
      <c r="L482">
        <f t="shared" si="70"/>
        <v>0.23883825</v>
      </c>
      <c r="M482">
        <f t="shared" si="67"/>
        <v>71.651475000000005</v>
      </c>
      <c r="N482" s="8">
        <v>300</v>
      </c>
      <c r="O482" s="14">
        <f t="shared" si="71"/>
        <v>450000</v>
      </c>
      <c r="P482" s="8">
        <v>22</v>
      </c>
      <c r="Q482" s="8">
        <f t="shared" si="72"/>
        <v>13.636363636363637</v>
      </c>
      <c r="R482" s="8">
        <f t="shared" si="73"/>
        <v>220</v>
      </c>
      <c r="S482" s="8">
        <f t="shared" si="74"/>
        <v>233.63636363636363</v>
      </c>
      <c r="T482" s="17">
        <f t="shared" si="68"/>
        <v>333.076740881099</v>
      </c>
      <c r="U482" s="19">
        <f t="shared" si="75"/>
        <v>5479.7896435338698</v>
      </c>
      <c r="V482" s="25" t="s">
        <v>2987</v>
      </c>
    </row>
    <row r="483" spans="1:22" ht="15" customHeight="1" x14ac:dyDescent="0.25">
      <c r="A483" t="s">
        <v>295</v>
      </c>
      <c r="B483" t="s">
        <v>1988</v>
      </c>
      <c r="C483" t="s">
        <v>1989</v>
      </c>
      <c r="D483" t="s">
        <v>976</v>
      </c>
      <c r="E483" t="s">
        <v>13</v>
      </c>
      <c r="F483" s="5">
        <v>2100</v>
      </c>
      <c r="G483" t="s">
        <v>974</v>
      </c>
      <c r="H483" s="3">
        <v>67</v>
      </c>
      <c r="I483" s="3">
        <v>51</v>
      </c>
      <c r="J483" s="3">
        <v>77</v>
      </c>
      <c r="K483" s="3">
        <v>100</v>
      </c>
      <c r="L483">
        <f t="shared" si="70"/>
        <v>0.26310899999999998</v>
      </c>
      <c r="M483">
        <f t="shared" si="67"/>
        <v>52.621799999999993</v>
      </c>
      <c r="N483" s="8">
        <v>200</v>
      </c>
      <c r="O483" s="14">
        <f t="shared" si="71"/>
        <v>420000</v>
      </c>
      <c r="P483" s="8">
        <v>22</v>
      </c>
      <c r="Q483" s="8">
        <f t="shared" si="72"/>
        <v>9.0909090909090917</v>
      </c>
      <c r="R483" s="8">
        <f t="shared" si="73"/>
        <v>146.66666666666669</v>
      </c>
      <c r="S483" s="8">
        <f t="shared" si="74"/>
        <v>155.75757575757578</v>
      </c>
      <c r="T483" s="17">
        <f t="shared" si="68"/>
        <v>310.87162482235908</v>
      </c>
      <c r="U483" s="19">
        <f t="shared" si="75"/>
        <v>5790.6612683562289</v>
      </c>
      <c r="V483" s="25" t="s">
        <v>2987</v>
      </c>
    </row>
    <row r="484" spans="1:22" ht="15" customHeight="1" x14ac:dyDescent="0.25">
      <c r="A484" t="s">
        <v>295</v>
      </c>
      <c r="B484" t="s">
        <v>1988</v>
      </c>
      <c r="C484" t="s">
        <v>1085</v>
      </c>
      <c r="D484" t="s">
        <v>1086</v>
      </c>
      <c r="E484" t="s">
        <v>13</v>
      </c>
      <c r="F484" s="5">
        <v>2799.9</v>
      </c>
      <c r="G484" t="s">
        <v>1036</v>
      </c>
      <c r="H484" s="3">
        <v>130</v>
      </c>
      <c r="I484" s="3">
        <v>140</v>
      </c>
      <c r="J484" s="3">
        <v>80</v>
      </c>
      <c r="K484" s="3">
        <v>65</v>
      </c>
      <c r="L484">
        <f t="shared" si="70"/>
        <v>1.456</v>
      </c>
      <c r="M484">
        <f t="shared" si="67"/>
        <v>218.4</v>
      </c>
      <c r="N484" s="8">
        <v>150</v>
      </c>
      <c r="O484" s="14">
        <f t="shared" si="71"/>
        <v>419985</v>
      </c>
      <c r="P484" s="8">
        <v>22</v>
      </c>
      <c r="Q484" s="8">
        <f t="shared" si="72"/>
        <v>6.8181818181818183</v>
      </c>
      <c r="R484" s="8">
        <f t="shared" si="73"/>
        <v>110</v>
      </c>
      <c r="S484" s="8">
        <f t="shared" si="74"/>
        <v>116.81818181818181</v>
      </c>
      <c r="T484" s="17">
        <f t="shared" si="68"/>
        <v>310.86052226432969</v>
      </c>
      <c r="U484" s="19">
        <f t="shared" si="75"/>
        <v>6101.5217906205589</v>
      </c>
      <c r="V484" s="25" t="s">
        <v>2987</v>
      </c>
    </row>
    <row r="485" spans="1:22" ht="15" customHeight="1" x14ac:dyDescent="0.25">
      <c r="A485" t="s">
        <v>295</v>
      </c>
      <c r="B485" t="s">
        <v>1988</v>
      </c>
      <c r="C485" t="s">
        <v>2011</v>
      </c>
      <c r="D485" t="s">
        <v>567</v>
      </c>
      <c r="E485" t="s">
        <v>234</v>
      </c>
      <c r="F485" s="5">
        <v>171.93</v>
      </c>
      <c r="G485" t="s">
        <v>1011</v>
      </c>
      <c r="H485" s="3">
        <v>21</v>
      </c>
      <c r="I485" s="3">
        <v>38</v>
      </c>
      <c r="J485" s="3">
        <v>10</v>
      </c>
      <c r="K485" s="3">
        <v>4.0999999999999996</v>
      </c>
      <c r="L485">
        <f t="shared" si="70"/>
        <v>7.9799999999999992E-3</v>
      </c>
      <c r="M485">
        <f t="shared" si="67"/>
        <v>18.752999999999997</v>
      </c>
      <c r="N485" s="8">
        <v>2350</v>
      </c>
      <c r="O485" s="14">
        <f t="shared" si="71"/>
        <v>404035.5</v>
      </c>
      <c r="P485" s="8">
        <v>22</v>
      </c>
      <c r="Q485" s="8">
        <f t="shared" si="72"/>
        <v>106.81818181818181</v>
      </c>
      <c r="R485" s="8">
        <f t="shared" si="73"/>
        <v>1723.3333333333333</v>
      </c>
      <c r="S485" s="8">
        <f t="shared" si="74"/>
        <v>1830.151515151515</v>
      </c>
      <c r="T485" s="17">
        <f t="shared" si="68"/>
        <v>299.05517231170063</v>
      </c>
      <c r="U485" s="19">
        <f t="shared" si="75"/>
        <v>6400.5769629322594</v>
      </c>
      <c r="V485" s="25" t="s">
        <v>2987</v>
      </c>
    </row>
    <row r="486" spans="1:22" ht="15" customHeight="1" x14ac:dyDescent="0.25">
      <c r="A486" t="s">
        <v>295</v>
      </c>
      <c r="B486" t="s">
        <v>1988</v>
      </c>
      <c r="C486" t="s">
        <v>1989</v>
      </c>
      <c r="D486" t="s">
        <v>967</v>
      </c>
      <c r="E486" t="s">
        <v>13</v>
      </c>
      <c r="F486" s="5">
        <v>2000</v>
      </c>
      <c r="G486" t="s">
        <v>968</v>
      </c>
      <c r="H486" s="3">
        <v>68</v>
      </c>
      <c r="I486" s="3">
        <v>75</v>
      </c>
      <c r="J486" s="3">
        <v>49.5</v>
      </c>
      <c r="K486" s="3">
        <v>73</v>
      </c>
      <c r="L486">
        <f t="shared" si="70"/>
        <v>0.25245000000000001</v>
      </c>
      <c r="M486">
        <f t="shared" si="67"/>
        <v>50.49</v>
      </c>
      <c r="N486" s="8">
        <v>200</v>
      </c>
      <c r="O486" s="14">
        <f t="shared" si="71"/>
        <v>400000</v>
      </c>
      <c r="P486" s="8">
        <v>22</v>
      </c>
      <c r="Q486" s="8">
        <f t="shared" si="72"/>
        <v>9.0909090909090917</v>
      </c>
      <c r="R486" s="8">
        <f t="shared" si="73"/>
        <v>146.66666666666669</v>
      </c>
      <c r="S486" s="8">
        <f t="shared" si="74"/>
        <v>155.75757575757578</v>
      </c>
      <c r="T486" s="17">
        <f t="shared" si="68"/>
        <v>296.06821411653243</v>
      </c>
      <c r="U486" s="19">
        <f t="shared" si="75"/>
        <v>6696.645177048792</v>
      </c>
      <c r="V486" s="25" t="s">
        <v>2987</v>
      </c>
    </row>
    <row r="487" spans="1:22" ht="15" customHeight="1" x14ac:dyDescent="0.25">
      <c r="A487" t="s">
        <v>295</v>
      </c>
      <c r="B487" t="s">
        <v>1988</v>
      </c>
      <c r="C487" t="s">
        <v>1989</v>
      </c>
      <c r="D487" t="s">
        <v>977</v>
      </c>
      <c r="E487" t="s">
        <v>13</v>
      </c>
      <c r="F487" s="5">
        <v>1950</v>
      </c>
      <c r="G487" t="s">
        <v>974</v>
      </c>
      <c r="H487" s="3">
        <v>59.3</v>
      </c>
      <c r="I487" s="3">
        <v>46.5</v>
      </c>
      <c r="J487" s="3">
        <v>59.3</v>
      </c>
      <c r="K487" s="3">
        <v>68</v>
      </c>
      <c r="L487">
        <f t="shared" si="70"/>
        <v>0.16351678499999997</v>
      </c>
      <c r="M487">
        <f t="shared" si="67"/>
        <v>32.703356999999997</v>
      </c>
      <c r="N487" s="8">
        <v>200</v>
      </c>
      <c r="O487" s="14">
        <f t="shared" si="71"/>
        <v>390000</v>
      </c>
      <c r="P487" s="8">
        <v>22</v>
      </c>
      <c r="Q487" s="8">
        <f t="shared" si="72"/>
        <v>9.0909090909090917</v>
      </c>
      <c r="R487" s="8">
        <f t="shared" si="73"/>
        <v>146.66666666666669</v>
      </c>
      <c r="S487" s="8">
        <f t="shared" si="74"/>
        <v>155.75757575757578</v>
      </c>
      <c r="T487" s="17">
        <f t="shared" si="68"/>
        <v>288.66650876361916</v>
      </c>
      <c r="U487" s="19">
        <f t="shared" si="75"/>
        <v>6985.3116858124113</v>
      </c>
      <c r="V487" s="25" t="s">
        <v>2987</v>
      </c>
    </row>
    <row r="488" spans="1:22" ht="15" customHeight="1" x14ac:dyDescent="0.25">
      <c r="A488" t="s">
        <v>295</v>
      </c>
      <c r="B488" t="s">
        <v>1988</v>
      </c>
      <c r="C488" t="s">
        <v>1039</v>
      </c>
      <c r="D488" t="s">
        <v>1045</v>
      </c>
      <c r="E488" t="s">
        <v>13</v>
      </c>
      <c r="F488" s="5">
        <v>395</v>
      </c>
      <c r="G488" t="s">
        <v>1038</v>
      </c>
      <c r="H488" s="3">
        <v>37</v>
      </c>
      <c r="I488" s="3">
        <v>36</v>
      </c>
      <c r="J488" s="3">
        <v>19</v>
      </c>
      <c r="K488" s="3">
        <v>5.8</v>
      </c>
      <c r="L488">
        <f t="shared" si="70"/>
        <v>2.5308000000000001E-2</v>
      </c>
      <c r="M488">
        <f t="shared" si="67"/>
        <v>24.0426</v>
      </c>
      <c r="N488" s="8">
        <v>950</v>
      </c>
      <c r="O488" s="14">
        <f t="shared" si="71"/>
        <v>375250</v>
      </c>
      <c r="P488" s="8">
        <v>22</v>
      </c>
      <c r="Q488" s="8">
        <f t="shared" si="72"/>
        <v>43.18181818181818</v>
      </c>
      <c r="R488" s="8">
        <f t="shared" si="73"/>
        <v>696.66666666666674</v>
      </c>
      <c r="S488" s="8">
        <f t="shared" si="74"/>
        <v>739.84848484848487</v>
      </c>
      <c r="T488" s="17">
        <f t="shared" si="68"/>
        <v>277.74899336807204</v>
      </c>
      <c r="U488" s="19">
        <f t="shared" si="75"/>
        <v>7263.060679180483</v>
      </c>
      <c r="V488" s="25" t="s">
        <v>2987</v>
      </c>
    </row>
    <row r="489" spans="1:22" ht="15" customHeight="1" x14ac:dyDescent="0.25">
      <c r="A489" t="s">
        <v>295</v>
      </c>
      <c r="B489" t="s">
        <v>1988</v>
      </c>
      <c r="C489" t="s">
        <v>2011</v>
      </c>
      <c r="D489" t="s">
        <v>545</v>
      </c>
      <c r="E489" t="s">
        <v>234</v>
      </c>
      <c r="F489" s="5">
        <v>157.9</v>
      </c>
      <c r="G489" t="s">
        <v>1022</v>
      </c>
      <c r="H489" s="3">
        <v>25</v>
      </c>
      <c r="I489" s="3">
        <v>30</v>
      </c>
      <c r="J489" s="3">
        <v>8</v>
      </c>
      <c r="K489" s="3">
        <v>3.24</v>
      </c>
      <c r="L489">
        <f t="shared" si="70"/>
        <v>6.0000000000000001E-3</v>
      </c>
      <c r="M489">
        <f t="shared" si="67"/>
        <v>14.1</v>
      </c>
      <c r="N489" s="8">
        <v>2350</v>
      </c>
      <c r="O489" s="14">
        <f t="shared" si="71"/>
        <v>371065</v>
      </c>
      <c r="P489" s="8">
        <v>22</v>
      </c>
      <c r="Q489" s="8">
        <f t="shared" si="72"/>
        <v>106.81818181818181</v>
      </c>
      <c r="R489" s="8">
        <f t="shared" si="73"/>
        <v>1723.3333333333333</v>
      </c>
      <c r="S489" s="8">
        <f t="shared" si="74"/>
        <v>1830.151515151515</v>
      </c>
      <c r="T489" s="17">
        <f t="shared" si="68"/>
        <v>274.6513796778778</v>
      </c>
      <c r="U489" s="19">
        <f t="shared" si="75"/>
        <v>7537.7120588583612</v>
      </c>
      <c r="V489" s="25" t="s">
        <v>2987</v>
      </c>
    </row>
    <row r="490" spans="1:22" ht="15" customHeight="1" x14ac:dyDescent="0.25">
      <c r="A490" t="s">
        <v>295</v>
      </c>
      <c r="B490" t="s">
        <v>296</v>
      </c>
      <c r="C490" t="s">
        <v>2015</v>
      </c>
      <c r="D490" t="s">
        <v>2016</v>
      </c>
      <c r="E490" t="s">
        <v>480</v>
      </c>
      <c r="F490" s="5">
        <v>599.9</v>
      </c>
      <c r="G490" t="s">
        <v>911</v>
      </c>
      <c r="H490" s="3">
        <v>30</v>
      </c>
      <c r="I490" s="3">
        <v>54</v>
      </c>
      <c r="J490" s="3">
        <v>30</v>
      </c>
      <c r="K490" s="3">
        <v>48.6</v>
      </c>
      <c r="L490">
        <f t="shared" si="70"/>
        <v>4.8599999999999997E-2</v>
      </c>
      <c r="M490">
        <f t="shared" si="67"/>
        <v>29.16</v>
      </c>
      <c r="N490" s="8">
        <v>600</v>
      </c>
      <c r="O490" s="14">
        <f t="shared" si="71"/>
        <v>359940</v>
      </c>
      <c r="P490" s="8">
        <v>40</v>
      </c>
      <c r="Q490" s="8">
        <f t="shared" si="72"/>
        <v>15</v>
      </c>
      <c r="R490" s="8">
        <f t="shared" si="73"/>
        <v>800</v>
      </c>
      <c r="S490" s="8">
        <f t="shared" si="74"/>
        <v>815</v>
      </c>
      <c r="T490" s="17">
        <f t="shared" si="68"/>
        <v>266.41698247276173</v>
      </c>
      <c r="U490" s="19">
        <f t="shared" si="75"/>
        <v>7804.1290413311226</v>
      </c>
      <c r="V490" s="25" t="s">
        <v>2987</v>
      </c>
    </row>
    <row r="491" spans="1:22" ht="15" customHeight="1" x14ac:dyDescent="0.25">
      <c r="A491" t="s">
        <v>295</v>
      </c>
      <c r="B491" t="s">
        <v>904</v>
      </c>
      <c r="C491" t="s">
        <v>1999</v>
      </c>
      <c r="D491" t="s">
        <v>926</v>
      </c>
      <c r="E491" t="s">
        <v>480</v>
      </c>
      <c r="F491" s="5">
        <v>110</v>
      </c>
      <c r="G491" t="s">
        <v>927</v>
      </c>
      <c r="H491" s="3">
        <v>20</v>
      </c>
      <c r="I491" s="3">
        <v>80</v>
      </c>
      <c r="J491" s="3">
        <v>15</v>
      </c>
      <c r="K491">
        <v>5.6</v>
      </c>
      <c r="L491">
        <f t="shared" si="70"/>
        <v>2.4E-2</v>
      </c>
      <c r="M491">
        <f t="shared" si="67"/>
        <v>72</v>
      </c>
      <c r="N491" s="8">
        <v>3000</v>
      </c>
      <c r="O491" s="14">
        <f t="shared" si="71"/>
        <v>330000</v>
      </c>
      <c r="P491" s="8">
        <v>15</v>
      </c>
      <c r="Q491" s="8">
        <f t="shared" si="72"/>
        <v>200</v>
      </c>
      <c r="R491" s="8">
        <f t="shared" si="73"/>
        <v>1500</v>
      </c>
      <c r="S491" s="8">
        <f t="shared" si="74"/>
        <v>1700</v>
      </c>
      <c r="T491" s="17">
        <f t="shared" si="68"/>
        <v>244.25627664613927</v>
      </c>
      <c r="U491" s="19">
        <f t="shared" si="75"/>
        <v>8048.3853179772623</v>
      </c>
      <c r="V491" s="25" t="s">
        <v>2987</v>
      </c>
    </row>
    <row r="492" spans="1:22" ht="15" customHeight="1" x14ac:dyDescent="0.25">
      <c r="A492" t="s">
        <v>295</v>
      </c>
      <c r="B492" t="s">
        <v>1988</v>
      </c>
      <c r="C492" t="s">
        <v>1046</v>
      </c>
      <c r="D492" t="s">
        <v>1047</v>
      </c>
      <c r="E492" t="s">
        <v>13</v>
      </c>
      <c r="F492" s="5">
        <v>1599.9</v>
      </c>
      <c r="G492" t="s">
        <v>970</v>
      </c>
      <c r="H492" s="3">
        <v>77.5</v>
      </c>
      <c r="I492" s="3">
        <v>88</v>
      </c>
      <c r="J492" s="3">
        <v>46</v>
      </c>
      <c r="K492" s="3">
        <v>87</v>
      </c>
      <c r="L492">
        <f t="shared" si="70"/>
        <v>0.31372</v>
      </c>
      <c r="M492">
        <f t="shared" si="67"/>
        <v>62.744</v>
      </c>
      <c r="N492" s="8">
        <v>200</v>
      </c>
      <c r="O492" s="14">
        <f t="shared" si="71"/>
        <v>319980</v>
      </c>
      <c r="P492" s="8">
        <v>22</v>
      </c>
      <c r="Q492" s="8">
        <f t="shared" si="72"/>
        <v>9.0909090909090917</v>
      </c>
      <c r="R492" s="8">
        <f t="shared" si="73"/>
        <v>146.66666666666669</v>
      </c>
      <c r="S492" s="8">
        <f t="shared" si="74"/>
        <v>155.75757575757578</v>
      </c>
      <c r="T492" s="17">
        <f t="shared" si="68"/>
        <v>236.83976788252014</v>
      </c>
      <c r="U492" s="19">
        <f t="shared" si="75"/>
        <v>8285.2250858597818</v>
      </c>
      <c r="V492" s="25" t="s">
        <v>2987</v>
      </c>
    </row>
    <row r="493" spans="1:22" ht="15" customHeight="1" x14ac:dyDescent="0.25">
      <c r="A493" t="s">
        <v>295</v>
      </c>
      <c r="B493" t="s">
        <v>296</v>
      </c>
      <c r="C493" t="s">
        <v>2018</v>
      </c>
      <c r="D493" t="s">
        <v>2019</v>
      </c>
      <c r="E493" t="s">
        <v>480</v>
      </c>
      <c r="F493" s="5">
        <v>625.5</v>
      </c>
      <c r="G493" t="s">
        <v>2020</v>
      </c>
      <c r="H493" s="3">
        <v>26</v>
      </c>
      <c r="I493" s="3">
        <v>49.5</v>
      </c>
      <c r="J493" s="3">
        <v>30.5</v>
      </c>
      <c r="K493" s="3">
        <v>39.25</v>
      </c>
      <c r="L493">
        <f t="shared" si="70"/>
        <v>3.9253499999999997E-2</v>
      </c>
      <c r="M493">
        <f t="shared" si="67"/>
        <v>19.626749999999998</v>
      </c>
      <c r="N493" s="8">
        <v>500</v>
      </c>
      <c r="O493" s="14">
        <f t="shared" si="71"/>
        <v>312750</v>
      </c>
      <c r="P493" s="8">
        <v>40</v>
      </c>
      <c r="Q493" s="8">
        <f t="shared" si="72"/>
        <v>12.5</v>
      </c>
      <c r="R493" s="8">
        <f t="shared" si="73"/>
        <v>666.66666666666674</v>
      </c>
      <c r="S493" s="8">
        <f t="shared" si="74"/>
        <v>679.16666666666674</v>
      </c>
      <c r="T493" s="17">
        <f t="shared" si="68"/>
        <v>231.48833491236383</v>
      </c>
      <c r="U493" s="19">
        <f t="shared" si="75"/>
        <v>8516.7134207721465</v>
      </c>
      <c r="V493" s="25" t="s">
        <v>2987</v>
      </c>
    </row>
    <row r="494" spans="1:22" ht="15" customHeight="1" x14ac:dyDescent="0.25">
      <c r="A494" t="s">
        <v>295</v>
      </c>
      <c r="B494" t="s">
        <v>1988</v>
      </c>
      <c r="C494" t="s">
        <v>1989</v>
      </c>
      <c r="D494" t="s">
        <v>963</v>
      </c>
      <c r="E494" t="s">
        <v>13</v>
      </c>
      <c r="F494" s="5">
        <v>1000</v>
      </c>
      <c r="G494" t="s">
        <v>1991</v>
      </c>
      <c r="H494" s="3">
        <v>42.5</v>
      </c>
      <c r="I494" s="3">
        <v>51</v>
      </c>
      <c r="J494" s="3">
        <v>29</v>
      </c>
      <c r="K494" s="3">
        <v>30</v>
      </c>
      <c r="L494">
        <f t="shared" si="70"/>
        <v>6.2857499999999997E-2</v>
      </c>
      <c r="M494">
        <f t="shared" ref="M494:M557" si="76">L494*N494</f>
        <v>18.857250000000001</v>
      </c>
      <c r="N494" s="8">
        <v>300</v>
      </c>
      <c r="O494" s="14">
        <f t="shared" si="71"/>
        <v>300000</v>
      </c>
      <c r="P494" s="8">
        <v>22</v>
      </c>
      <c r="Q494" s="8">
        <f t="shared" si="72"/>
        <v>13.636363636363637</v>
      </c>
      <c r="R494" s="8">
        <f t="shared" si="73"/>
        <v>220</v>
      </c>
      <c r="S494" s="8">
        <f t="shared" si="74"/>
        <v>233.63636363636363</v>
      </c>
      <c r="T494" s="17">
        <f t="shared" si="68"/>
        <v>222.05116058739935</v>
      </c>
      <c r="U494" s="19">
        <f t="shared" si="75"/>
        <v>8738.7645813595464</v>
      </c>
      <c r="V494" s="25" t="s">
        <v>2987</v>
      </c>
    </row>
    <row r="495" spans="1:22" ht="15" customHeight="1" x14ac:dyDescent="0.25">
      <c r="A495" t="s">
        <v>295</v>
      </c>
      <c r="B495" t="s">
        <v>904</v>
      </c>
      <c r="C495" t="s">
        <v>1992</v>
      </c>
      <c r="D495" t="s">
        <v>912</v>
      </c>
      <c r="E495" t="s">
        <v>480</v>
      </c>
      <c r="F495" s="5">
        <v>100</v>
      </c>
      <c r="G495" t="s">
        <v>911</v>
      </c>
      <c r="H495" s="3">
        <v>80</v>
      </c>
      <c r="I495" s="3">
        <v>25</v>
      </c>
      <c r="J495" s="3">
        <v>25</v>
      </c>
      <c r="K495">
        <v>4.5999999999999996</v>
      </c>
      <c r="L495">
        <f t="shared" si="70"/>
        <v>0.05</v>
      </c>
      <c r="M495">
        <f t="shared" si="76"/>
        <v>150</v>
      </c>
      <c r="N495" s="8">
        <v>3000</v>
      </c>
      <c r="O495" s="14">
        <f t="shared" si="71"/>
        <v>300000</v>
      </c>
      <c r="P495" s="8">
        <v>15</v>
      </c>
      <c r="Q495" s="8">
        <f t="shared" si="72"/>
        <v>200</v>
      </c>
      <c r="R495" s="8">
        <f t="shared" si="73"/>
        <v>1500</v>
      </c>
      <c r="S495" s="8">
        <f t="shared" si="74"/>
        <v>1700</v>
      </c>
      <c r="T495" s="17">
        <f t="shared" si="68"/>
        <v>222.05116058739935</v>
      </c>
      <c r="U495" s="19">
        <f t="shared" si="75"/>
        <v>8960.8157419469462</v>
      </c>
      <c r="V495" s="25" t="s">
        <v>2987</v>
      </c>
    </row>
    <row r="496" spans="1:22" ht="15" customHeight="1" x14ac:dyDescent="0.25">
      <c r="A496" t="s">
        <v>295</v>
      </c>
      <c r="B496" t="s">
        <v>1988</v>
      </c>
      <c r="C496" t="s">
        <v>1989</v>
      </c>
      <c r="D496" t="s">
        <v>975</v>
      </c>
      <c r="E496" t="s">
        <v>13</v>
      </c>
      <c r="F496" s="5">
        <v>1900</v>
      </c>
      <c r="G496" t="s">
        <v>974</v>
      </c>
      <c r="H496" s="3">
        <v>54</v>
      </c>
      <c r="I496" s="3">
        <v>48</v>
      </c>
      <c r="J496" s="3">
        <v>63</v>
      </c>
      <c r="K496" s="3">
        <v>60</v>
      </c>
      <c r="L496">
        <f t="shared" si="70"/>
        <v>0.163296</v>
      </c>
      <c r="M496">
        <f t="shared" si="76"/>
        <v>24.494399999999999</v>
      </c>
      <c r="N496" s="8">
        <v>150</v>
      </c>
      <c r="O496" s="14">
        <f t="shared" si="71"/>
        <v>285000</v>
      </c>
      <c r="P496" s="8">
        <v>22</v>
      </c>
      <c r="Q496" s="8">
        <f t="shared" si="72"/>
        <v>6.8181818181818183</v>
      </c>
      <c r="R496" s="8">
        <f t="shared" si="73"/>
        <v>110</v>
      </c>
      <c r="S496" s="8">
        <f t="shared" si="74"/>
        <v>116.81818181818181</v>
      </c>
      <c r="T496" s="17">
        <f t="shared" si="68"/>
        <v>210.94860255802936</v>
      </c>
      <c r="U496" s="19">
        <f t="shared" si="75"/>
        <v>9171.7643445049762</v>
      </c>
      <c r="V496" s="25" t="s">
        <v>2987</v>
      </c>
    </row>
    <row r="497" spans="1:22" ht="15" customHeight="1" x14ac:dyDescent="0.25">
      <c r="A497" t="s">
        <v>295</v>
      </c>
      <c r="B497" t="s">
        <v>1988</v>
      </c>
      <c r="C497" t="s">
        <v>1989</v>
      </c>
      <c r="D497" t="s">
        <v>973</v>
      </c>
      <c r="E497" t="s">
        <v>13</v>
      </c>
      <c r="F497" s="5">
        <v>1800</v>
      </c>
      <c r="G497" t="s">
        <v>974</v>
      </c>
      <c r="H497" s="3">
        <v>53</v>
      </c>
      <c r="I497" s="3">
        <v>48</v>
      </c>
      <c r="J497" s="3">
        <v>64</v>
      </c>
      <c r="K497" s="3">
        <v>65</v>
      </c>
      <c r="L497">
        <f t="shared" si="70"/>
        <v>0.16281599999999999</v>
      </c>
      <c r="M497">
        <f t="shared" si="76"/>
        <v>24.4224</v>
      </c>
      <c r="N497" s="8">
        <v>150</v>
      </c>
      <c r="O497" s="14">
        <f t="shared" si="71"/>
        <v>270000</v>
      </c>
      <c r="P497" s="8">
        <v>22</v>
      </c>
      <c r="Q497" s="8">
        <f t="shared" si="72"/>
        <v>6.8181818181818183</v>
      </c>
      <c r="R497" s="8">
        <f t="shared" si="73"/>
        <v>110</v>
      </c>
      <c r="S497" s="8">
        <f t="shared" si="74"/>
        <v>116.81818181818181</v>
      </c>
      <c r="T497" s="17">
        <f t="shared" si="68"/>
        <v>199.84604452865941</v>
      </c>
      <c r="U497" s="19">
        <f t="shared" si="75"/>
        <v>9371.6103890336362</v>
      </c>
      <c r="V497" s="25" t="s">
        <v>2987</v>
      </c>
    </row>
    <row r="498" spans="1:22" ht="15" customHeight="1" x14ac:dyDescent="0.25">
      <c r="A498" t="s">
        <v>295</v>
      </c>
      <c r="B498" t="s">
        <v>904</v>
      </c>
      <c r="C498" t="s">
        <v>1992</v>
      </c>
      <c r="D498" t="s">
        <v>910</v>
      </c>
      <c r="E498" t="s">
        <v>480</v>
      </c>
      <c r="F498" s="5">
        <v>90</v>
      </c>
      <c r="G498" t="s">
        <v>911</v>
      </c>
      <c r="H498" s="3">
        <v>95</v>
      </c>
      <c r="I498" s="3">
        <v>30</v>
      </c>
      <c r="J498" s="3">
        <v>25</v>
      </c>
      <c r="K498">
        <v>5.5</v>
      </c>
      <c r="L498">
        <f t="shared" si="70"/>
        <v>7.1249999999999994E-2</v>
      </c>
      <c r="M498">
        <f t="shared" si="76"/>
        <v>213.74999999999997</v>
      </c>
      <c r="N498" s="8">
        <v>3000</v>
      </c>
      <c r="O498" s="14">
        <f t="shared" si="71"/>
        <v>270000</v>
      </c>
      <c r="P498" s="8">
        <v>15</v>
      </c>
      <c r="Q498" s="8">
        <f t="shared" si="72"/>
        <v>200</v>
      </c>
      <c r="R498" s="8">
        <f t="shared" si="73"/>
        <v>1500</v>
      </c>
      <c r="S498" s="8">
        <f t="shared" si="74"/>
        <v>1700</v>
      </c>
      <c r="T498" s="17">
        <f t="shared" si="68"/>
        <v>199.84604452865941</v>
      </c>
      <c r="U498" s="19">
        <f t="shared" si="75"/>
        <v>9571.4564335622963</v>
      </c>
      <c r="V498" s="25" t="s">
        <v>2987</v>
      </c>
    </row>
    <row r="499" spans="1:22" ht="15" customHeight="1" x14ac:dyDescent="0.25">
      <c r="A499" t="s">
        <v>295</v>
      </c>
      <c r="B499" t="s">
        <v>1988</v>
      </c>
      <c r="C499" t="s">
        <v>1989</v>
      </c>
      <c r="D499" t="s">
        <v>964</v>
      </c>
      <c r="E499" t="s">
        <v>13</v>
      </c>
      <c r="F499" s="5">
        <v>899</v>
      </c>
      <c r="G499" t="s">
        <v>965</v>
      </c>
      <c r="H499" s="3">
        <v>41</v>
      </c>
      <c r="I499" s="3">
        <v>39</v>
      </c>
      <c r="J499" s="3">
        <v>36.5</v>
      </c>
      <c r="K499" s="3">
        <v>28</v>
      </c>
      <c r="L499">
        <f t="shared" si="70"/>
        <v>5.8363499999999999E-2</v>
      </c>
      <c r="M499">
        <f t="shared" si="76"/>
        <v>17.509049999999998</v>
      </c>
      <c r="N499" s="8">
        <v>300</v>
      </c>
      <c r="O499" s="14">
        <f t="shared" si="71"/>
        <v>269700</v>
      </c>
      <c r="P499" s="8">
        <v>22</v>
      </c>
      <c r="Q499" s="8">
        <f t="shared" si="72"/>
        <v>13.636363636363637</v>
      </c>
      <c r="R499" s="8">
        <f t="shared" si="73"/>
        <v>220</v>
      </c>
      <c r="S499" s="8">
        <f t="shared" si="74"/>
        <v>233.63636363636363</v>
      </c>
      <c r="T499" s="17">
        <f t="shared" si="68"/>
        <v>199.62399336807201</v>
      </c>
      <c r="U499" s="19">
        <f t="shared" si="75"/>
        <v>9771.080426930368</v>
      </c>
      <c r="V499" s="25" t="s">
        <v>2987</v>
      </c>
    </row>
    <row r="500" spans="1:22" ht="15" customHeight="1" x14ac:dyDescent="0.25">
      <c r="A500" t="s">
        <v>295</v>
      </c>
      <c r="B500" t="s">
        <v>1988</v>
      </c>
      <c r="C500" t="s">
        <v>1046</v>
      </c>
      <c r="D500" t="s">
        <v>1048</v>
      </c>
      <c r="E500" t="s">
        <v>13</v>
      </c>
      <c r="F500" s="5">
        <v>834.9</v>
      </c>
      <c r="G500" t="s">
        <v>970</v>
      </c>
      <c r="H500" s="3">
        <v>81</v>
      </c>
      <c r="I500" s="3">
        <v>90</v>
      </c>
      <c r="J500" s="3">
        <v>35</v>
      </c>
      <c r="K500" s="3">
        <v>25.53</v>
      </c>
      <c r="L500">
        <f t="shared" si="70"/>
        <v>0.25514999999999999</v>
      </c>
      <c r="M500">
        <f t="shared" si="76"/>
        <v>76.545000000000002</v>
      </c>
      <c r="N500" s="8">
        <v>300</v>
      </c>
      <c r="O500" s="14">
        <f t="shared" si="71"/>
        <v>250470</v>
      </c>
      <c r="P500" s="8">
        <v>22</v>
      </c>
      <c r="Q500" s="8">
        <f t="shared" si="72"/>
        <v>13.636363636363637</v>
      </c>
      <c r="R500" s="8">
        <f t="shared" si="73"/>
        <v>220</v>
      </c>
      <c r="S500" s="8">
        <f t="shared" si="74"/>
        <v>233.63636363636363</v>
      </c>
      <c r="T500" s="17">
        <f t="shared" si="68"/>
        <v>185.39051397441972</v>
      </c>
      <c r="U500" s="19">
        <f t="shared" si="75"/>
        <v>9956.4709409047882</v>
      </c>
      <c r="V500" s="25" t="s">
        <v>2987</v>
      </c>
    </row>
    <row r="501" spans="1:22" ht="15" customHeight="1" x14ac:dyDescent="0.25">
      <c r="A501" t="s">
        <v>295</v>
      </c>
      <c r="B501" t="s">
        <v>1988</v>
      </c>
      <c r="C501" t="s">
        <v>1020</v>
      </c>
      <c r="D501" t="s">
        <v>1033</v>
      </c>
      <c r="E501" t="s">
        <v>1770</v>
      </c>
      <c r="F501" s="5">
        <v>696.96</v>
      </c>
      <c r="G501" t="s">
        <v>1007</v>
      </c>
      <c r="H501" s="3">
        <v>35</v>
      </c>
      <c r="I501" s="3">
        <v>35</v>
      </c>
      <c r="J501" s="3">
        <v>15</v>
      </c>
      <c r="K501" s="3">
        <v>8</v>
      </c>
      <c r="L501">
        <f t="shared" si="70"/>
        <v>1.8374999999999999E-2</v>
      </c>
      <c r="M501">
        <f t="shared" si="76"/>
        <v>6.4312499999999995</v>
      </c>
      <c r="N501" s="8">
        <v>350</v>
      </c>
      <c r="O501" s="14">
        <f t="shared" si="71"/>
        <v>243936</v>
      </c>
      <c r="P501" s="8">
        <v>22</v>
      </c>
      <c r="Q501" s="8">
        <f t="shared" si="72"/>
        <v>15.909090909090908</v>
      </c>
      <c r="R501" s="8">
        <f t="shared" si="73"/>
        <v>256.66666666666663</v>
      </c>
      <c r="S501" s="8">
        <f t="shared" si="74"/>
        <v>272.57575757575756</v>
      </c>
      <c r="T501" s="17">
        <f t="shared" ref="T501:T564" si="77">O501/O$1749</f>
        <v>180.55423969682616</v>
      </c>
      <c r="U501" s="19">
        <f t="shared" si="75"/>
        <v>10137.025180601615</v>
      </c>
      <c r="V501" s="25" t="s">
        <v>2987</v>
      </c>
    </row>
    <row r="502" spans="1:22" ht="15" customHeight="1" x14ac:dyDescent="0.25">
      <c r="A502" t="s">
        <v>295</v>
      </c>
      <c r="B502" t="s">
        <v>1988</v>
      </c>
      <c r="C502" t="s">
        <v>1989</v>
      </c>
      <c r="D502" t="s">
        <v>971</v>
      </c>
      <c r="E502" t="s">
        <v>13</v>
      </c>
      <c r="F502" s="5">
        <v>1600</v>
      </c>
      <c r="G502" t="s">
        <v>970</v>
      </c>
      <c r="H502" s="3">
        <v>81</v>
      </c>
      <c r="I502" s="3">
        <v>92</v>
      </c>
      <c r="J502" s="3">
        <v>59</v>
      </c>
      <c r="K502" s="3">
        <v>60</v>
      </c>
      <c r="L502">
        <f t="shared" si="70"/>
        <v>0.439668</v>
      </c>
      <c r="M502">
        <f t="shared" si="76"/>
        <v>65.950199999999995</v>
      </c>
      <c r="N502" s="8">
        <v>150</v>
      </c>
      <c r="O502" s="14">
        <f t="shared" si="71"/>
        <v>240000</v>
      </c>
      <c r="P502" s="8">
        <v>22</v>
      </c>
      <c r="Q502" s="8">
        <f t="shared" si="72"/>
        <v>6.8181818181818183</v>
      </c>
      <c r="R502" s="8">
        <f t="shared" si="73"/>
        <v>110</v>
      </c>
      <c r="S502" s="8">
        <f t="shared" si="74"/>
        <v>116.81818181818181</v>
      </c>
      <c r="T502" s="17">
        <f t="shared" si="77"/>
        <v>177.64092846991949</v>
      </c>
      <c r="U502" s="19">
        <f t="shared" si="75"/>
        <v>10314.666109071535</v>
      </c>
      <c r="V502" s="25" t="s">
        <v>2987</v>
      </c>
    </row>
    <row r="503" spans="1:22" ht="15" customHeight="1" x14ac:dyDescent="0.25">
      <c r="A503" t="s">
        <v>295</v>
      </c>
      <c r="B503" t="s">
        <v>904</v>
      </c>
      <c r="C503" t="s">
        <v>1992</v>
      </c>
      <c r="D503" t="s">
        <v>907</v>
      </c>
      <c r="E503" t="s">
        <v>480</v>
      </c>
      <c r="F503" s="5">
        <v>80</v>
      </c>
      <c r="G503" t="s">
        <v>906</v>
      </c>
      <c r="H503" s="3">
        <v>85</v>
      </c>
      <c r="I503" s="3">
        <v>30</v>
      </c>
      <c r="J503" s="3">
        <v>25</v>
      </c>
      <c r="K503">
        <v>5.3</v>
      </c>
      <c r="L503">
        <f t="shared" si="70"/>
        <v>6.3750000000000001E-2</v>
      </c>
      <c r="M503">
        <f t="shared" si="76"/>
        <v>191.25</v>
      </c>
      <c r="N503" s="8">
        <v>3000</v>
      </c>
      <c r="O503" s="14">
        <f t="shared" si="71"/>
        <v>240000</v>
      </c>
      <c r="P503" s="8">
        <v>15</v>
      </c>
      <c r="Q503" s="8">
        <f t="shared" si="72"/>
        <v>200</v>
      </c>
      <c r="R503" s="8">
        <f t="shared" si="73"/>
        <v>1500</v>
      </c>
      <c r="S503" s="8">
        <f t="shared" si="74"/>
        <v>1700</v>
      </c>
      <c r="T503" s="17">
        <f t="shared" si="77"/>
        <v>177.64092846991949</v>
      </c>
      <c r="U503" s="19">
        <f t="shared" si="75"/>
        <v>10492.307037541455</v>
      </c>
      <c r="V503" s="27" t="s">
        <v>2982</v>
      </c>
    </row>
    <row r="504" spans="1:22" ht="15" customHeight="1" x14ac:dyDescent="0.25">
      <c r="A504" t="s">
        <v>295</v>
      </c>
      <c r="B504" t="s">
        <v>296</v>
      </c>
      <c r="C504" t="s">
        <v>2047</v>
      </c>
      <c r="D504" t="s">
        <v>2048</v>
      </c>
      <c r="E504" t="s">
        <v>480</v>
      </c>
      <c r="F504" s="5">
        <v>399.9</v>
      </c>
      <c r="G504" t="s">
        <v>2049</v>
      </c>
      <c r="H504" s="3">
        <v>18</v>
      </c>
      <c r="I504" s="3">
        <v>23</v>
      </c>
      <c r="J504" s="3">
        <v>58</v>
      </c>
      <c r="K504" s="3">
        <v>24</v>
      </c>
      <c r="L504">
        <f t="shared" si="70"/>
        <v>2.4011999999999999E-2</v>
      </c>
      <c r="M504">
        <f t="shared" si="76"/>
        <v>14.4072</v>
      </c>
      <c r="N504" s="8">
        <v>600</v>
      </c>
      <c r="O504" s="14">
        <f t="shared" si="71"/>
        <v>239940</v>
      </c>
      <c r="P504" s="8">
        <v>40</v>
      </c>
      <c r="Q504" s="8">
        <f t="shared" si="72"/>
        <v>15</v>
      </c>
      <c r="R504" s="8">
        <f t="shared" si="73"/>
        <v>800</v>
      </c>
      <c r="S504" s="8">
        <f t="shared" si="74"/>
        <v>815</v>
      </c>
      <c r="T504" s="17">
        <f t="shared" si="77"/>
        <v>177.596518237802</v>
      </c>
      <c r="U504" s="19">
        <f t="shared" si="75"/>
        <v>10669.903555779258</v>
      </c>
      <c r="V504" s="27" t="s">
        <v>2982</v>
      </c>
    </row>
    <row r="505" spans="1:22" ht="15" customHeight="1" x14ac:dyDescent="0.25">
      <c r="A505" t="s">
        <v>295</v>
      </c>
      <c r="B505" t="s">
        <v>1988</v>
      </c>
      <c r="C505" t="s">
        <v>1069</v>
      </c>
      <c r="D505" t="s">
        <v>1070</v>
      </c>
      <c r="E505" t="s">
        <v>234</v>
      </c>
      <c r="F505" s="5">
        <v>649.9</v>
      </c>
      <c r="G505" t="s">
        <v>1071</v>
      </c>
      <c r="H505">
        <v>12</v>
      </c>
      <c r="I505">
        <v>10</v>
      </c>
      <c r="J505">
        <v>20</v>
      </c>
      <c r="K505" s="3">
        <v>7.45</v>
      </c>
      <c r="L505">
        <f t="shared" si="70"/>
        <v>2.3999999999999998E-3</v>
      </c>
      <c r="M505">
        <f t="shared" si="76"/>
        <v>0.84</v>
      </c>
      <c r="N505" s="8">
        <v>350</v>
      </c>
      <c r="O505" s="14">
        <f t="shared" si="71"/>
        <v>227465</v>
      </c>
      <c r="P505" s="8">
        <v>22</v>
      </c>
      <c r="Q505" s="8">
        <f t="shared" si="72"/>
        <v>15.909090909090908</v>
      </c>
      <c r="R505" s="8">
        <f t="shared" si="73"/>
        <v>256.66666666666663</v>
      </c>
      <c r="S505" s="8">
        <f t="shared" si="74"/>
        <v>272.57575757575756</v>
      </c>
      <c r="T505" s="17">
        <f t="shared" si="77"/>
        <v>168.36289081004264</v>
      </c>
      <c r="U505" s="19">
        <f t="shared" ref="U505:U536" si="78">U504+T505</f>
        <v>10838.266446589299</v>
      </c>
      <c r="V505" s="27" t="s">
        <v>2982</v>
      </c>
    </row>
    <row r="506" spans="1:22" ht="15" customHeight="1" x14ac:dyDescent="0.25">
      <c r="A506" t="s">
        <v>295</v>
      </c>
      <c r="B506" t="s">
        <v>1988</v>
      </c>
      <c r="C506" t="s">
        <v>1039</v>
      </c>
      <c r="D506" t="s">
        <v>1041</v>
      </c>
      <c r="E506" t="s">
        <v>13</v>
      </c>
      <c r="F506" s="5">
        <v>5399.9</v>
      </c>
      <c r="G506" t="s">
        <v>1042</v>
      </c>
      <c r="H506" s="3">
        <v>38</v>
      </c>
      <c r="I506" s="3">
        <v>32</v>
      </c>
      <c r="J506" s="3">
        <v>26</v>
      </c>
      <c r="K506" s="3">
        <v>1.25</v>
      </c>
      <c r="L506">
        <f t="shared" si="70"/>
        <v>3.1615999999999998E-2</v>
      </c>
      <c r="M506">
        <f t="shared" si="76"/>
        <v>1.26464</v>
      </c>
      <c r="N506" s="8">
        <v>40</v>
      </c>
      <c r="O506" s="14">
        <f t="shared" si="71"/>
        <v>215996</v>
      </c>
      <c r="P506" s="8">
        <v>22</v>
      </c>
      <c r="Q506" s="8">
        <f t="shared" si="72"/>
        <v>1.8181818181818181</v>
      </c>
      <c r="R506" s="8">
        <f t="shared" si="73"/>
        <v>29.333333333333332</v>
      </c>
      <c r="S506" s="8">
        <f t="shared" si="74"/>
        <v>31.151515151515149</v>
      </c>
      <c r="T506" s="17">
        <f t="shared" si="77"/>
        <v>159.87387494078635</v>
      </c>
      <c r="U506" s="19">
        <f t="shared" si="78"/>
        <v>10998.140321530085</v>
      </c>
      <c r="V506" s="27" t="s">
        <v>2982</v>
      </c>
    </row>
    <row r="507" spans="1:22" ht="15" customHeight="1" x14ac:dyDescent="0.25">
      <c r="A507" t="s">
        <v>295</v>
      </c>
      <c r="B507" t="s">
        <v>904</v>
      </c>
      <c r="C507" t="s">
        <v>1999</v>
      </c>
      <c r="D507" t="s">
        <v>923</v>
      </c>
      <c r="E507" t="s">
        <v>480</v>
      </c>
      <c r="F507" s="5">
        <v>70</v>
      </c>
      <c r="G507" t="s">
        <v>909</v>
      </c>
      <c r="H507" s="3">
        <v>20</v>
      </c>
      <c r="I507" s="3">
        <v>113</v>
      </c>
      <c r="J507" s="3">
        <v>10</v>
      </c>
      <c r="K507">
        <v>5.2</v>
      </c>
      <c r="L507">
        <f t="shared" si="70"/>
        <v>2.2599999999999999E-2</v>
      </c>
      <c r="M507">
        <f t="shared" si="76"/>
        <v>67.8</v>
      </c>
      <c r="N507" s="8">
        <v>3000</v>
      </c>
      <c r="O507" s="14">
        <f t="shared" si="71"/>
        <v>210000</v>
      </c>
      <c r="P507" s="8">
        <v>15</v>
      </c>
      <c r="Q507" s="8">
        <f t="shared" si="72"/>
        <v>200</v>
      </c>
      <c r="R507" s="8">
        <f t="shared" si="73"/>
        <v>1500</v>
      </c>
      <c r="S507" s="8">
        <f t="shared" si="74"/>
        <v>1700</v>
      </c>
      <c r="T507" s="17">
        <f t="shared" si="77"/>
        <v>155.43581241117954</v>
      </c>
      <c r="U507" s="19">
        <f t="shared" si="78"/>
        <v>11153.576133941264</v>
      </c>
      <c r="V507" s="27" t="s">
        <v>2982</v>
      </c>
    </row>
    <row r="508" spans="1:22" ht="15" customHeight="1" x14ac:dyDescent="0.25">
      <c r="A508" t="s">
        <v>295</v>
      </c>
      <c r="B508" t="s">
        <v>1988</v>
      </c>
      <c r="C508" t="s">
        <v>1072</v>
      </c>
      <c r="D508" t="s">
        <v>1076</v>
      </c>
      <c r="E508" t="s">
        <v>234</v>
      </c>
      <c r="F508" s="5">
        <v>88.4</v>
      </c>
      <c r="G508" t="s">
        <v>1077</v>
      </c>
      <c r="H508">
        <v>12</v>
      </c>
      <c r="I508">
        <v>20</v>
      </c>
      <c r="J508">
        <v>10</v>
      </c>
      <c r="K508" s="3">
        <v>4.3</v>
      </c>
      <c r="L508">
        <f t="shared" si="70"/>
        <v>2.3999999999999998E-3</v>
      </c>
      <c r="M508">
        <f t="shared" si="76"/>
        <v>5.64</v>
      </c>
      <c r="N508" s="8">
        <v>2350</v>
      </c>
      <c r="O508" s="14">
        <f t="shared" si="71"/>
        <v>207740</v>
      </c>
      <c r="P508" s="8">
        <v>22</v>
      </c>
      <c r="Q508" s="8">
        <f t="shared" si="72"/>
        <v>106.81818181818181</v>
      </c>
      <c r="R508" s="8">
        <f t="shared" si="73"/>
        <v>1723.3333333333333</v>
      </c>
      <c r="S508" s="8">
        <f t="shared" si="74"/>
        <v>1830.151515151515</v>
      </c>
      <c r="T508" s="17">
        <f t="shared" si="77"/>
        <v>153.76302700142114</v>
      </c>
      <c r="U508" s="19">
        <f t="shared" si="78"/>
        <v>11307.339160942685</v>
      </c>
      <c r="V508" s="27" t="s">
        <v>2982</v>
      </c>
    </row>
    <row r="509" spans="1:22" ht="15" customHeight="1" x14ac:dyDescent="0.25">
      <c r="A509" t="s">
        <v>295</v>
      </c>
      <c r="B509" t="s">
        <v>1988</v>
      </c>
      <c r="C509" t="s">
        <v>1046</v>
      </c>
      <c r="D509" t="s">
        <v>1053</v>
      </c>
      <c r="E509" t="s">
        <v>13</v>
      </c>
      <c r="F509" s="5">
        <v>609.9</v>
      </c>
      <c r="G509" t="s">
        <v>987</v>
      </c>
      <c r="H509" s="3">
        <v>61</v>
      </c>
      <c r="I509" s="3">
        <v>60</v>
      </c>
      <c r="J509" s="3">
        <v>35</v>
      </c>
      <c r="K509" s="3">
        <v>23</v>
      </c>
      <c r="L509">
        <f t="shared" si="70"/>
        <v>0.12809999999999999</v>
      </c>
      <c r="M509">
        <f t="shared" si="76"/>
        <v>38.43</v>
      </c>
      <c r="N509" s="8">
        <v>300</v>
      </c>
      <c r="O509" s="14">
        <f t="shared" si="71"/>
        <v>182970</v>
      </c>
      <c r="P509" s="8">
        <v>22</v>
      </c>
      <c r="Q509" s="8">
        <f t="shared" si="72"/>
        <v>13.636363636363637</v>
      </c>
      <c r="R509" s="8">
        <f t="shared" si="73"/>
        <v>220</v>
      </c>
      <c r="S509" s="8">
        <f t="shared" si="74"/>
        <v>233.63636363636363</v>
      </c>
      <c r="T509" s="17">
        <f t="shared" si="77"/>
        <v>135.42900284225485</v>
      </c>
      <c r="U509" s="19">
        <f t="shared" si="78"/>
        <v>11442.76816378494</v>
      </c>
      <c r="V509" s="27" t="s">
        <v>2982</v>
      </c>
    </row>
    <row r="510" spans="1:22" ht="15" customHeight="1" x14ac:dyDescent="0.25">
      <c r="A510" t="s">
        <v>295</v>
      </c>
      <c r="B510" t="s">
        <v>296</v>
      </c>
      <c r="C510" t="s">
        <v>2023</v>
      </c>
      <c r="D510" t="s">
        <v>2024</v>
      </c>
      <c r="E510" t="s">
        <v>480</v>
      </c>
      <c r="F510" s="5">
        <v>759.9</v>
      </c>
      <c r="G510" t="s">
        <v>2025</v>
      </c>
      <c r="H510" s="3">
        <v>35</v>
      </c>
      <c r="I510" s="3">
        <v>45</v>
      </c>
      <c r="J510" s="3">
        <v>40</v>
      </c>
      <c r="K510" s="3">
        <v>63</v>
      </c>
      <c r="L510">
        <f t="shared" si="70"/>
        <v>6.3E-2</v>
      </c>
      <c r="M510">
        <f t="shared" si="76"/>
        <v>15.120000000000001</v>
      </c>
      <c r="N510" s="8">
        <v>240</v>
      </c>
      <c r="O510" s="14">
        <f t="shared" si="71"/>
        <v>182376</v>
      </c>
      <c r="P510" s="8">
        <v>40</v>
      </c>
      <c r="Q510" s="8">
        <f t="shared" si="72"/>
        <v>6</v>
      </c>
      <c r="R510" s="8">
        <f t="shared" si="73"/>
        <v>320</v>
      </c>
      <c r="S510" s="8">
        <f t="shared" si="74"/>
        <v>326</v>
      </c>
      <c r="T510" s="17">
        <f t="shared" si="77"/>
        <v>134.98934154429182</v>
      </c>
      <c r="U510" s="19">
        <f t="shared" si="78"/>
        <v>11577.757505329231</v>
      </c>
      <c r="V510" s="27" t="s">
        <v>2982</v>
      </c>
    </row>
    <row r="511" spans="1:22" ht="15" customHeight="1" x14ac:dyDescent="0.25">
      <c r="A511" t="s">
        <v>295</v>
      </c>
      <c r="B511" t="s">
        <v>1988</v>
      </c>
      <c r="C511" t="s">
        <v>2010</v>
      </c>
      <c r="D511" t="s">
        <v>1035</v>
      </c>
      <c r="E511" t="s">
        <v>13</v>
      </c>
      <c r="F511" s="5">
        <v>531.9</v>
      </c>
      <c r="G511" t="s">
        <v>1036</v>
      </c>
      <c r="H511" s="3">
        <v>82</v>
      </c>
      <c r="I511" s="3">
        <v>135</v>
      </c>
      <c r="J511" s="3">
        <v>62</v>
      </c>
      <c r="K511" s="3">
        <v>40</v>
      </c>
      <c r="L511">
        <f t="shared" si="70"/>
        <v>0.68633999999999995</v>
      </c>
      <c r="M511">
        <f t="shared" si="76"/>
        <v>205.90199999999999</v>
      </c>
      <c r="N511" s="8">
        <v>300</v>
      </c>
      <c r="O511" s="14">
        <f t="shared" si="71"/>
        <v>159570</v>
      </c>
      <c r="P511" s="8">
        <v>22</v>
      </c>
      <c r="Q511" s="8">
        <f t="shared" si="72"/>
        <v>13.636363636363637</v>
      </c>
      <c r="R511" s="8">
        <f t="shared" si="73"/>
        <v>220</v>
      </c>
      <c r="S511" s="8">
        <f t="shared" si="74"/>
        <v>233.63636363636363</v>
      </c>
      <c r="T511" s="17">
        <f t="shared" si="77"/>
        <v>118.10901231643771</v>
      </c>
      <c r="U511" s="19">
        <f t="shared" si="78"/>
        <v>11695.866517645669</v>
      </c>
      <c r="V511" s="27" t="s">
        <v>2982</v>
      </c>
    </row>
    <row r="512" spans="1:22" ht="15" customHeight="1" x14ac:dyDescent="0.25">
      <c r="A512" t="s">
        <v>295</v>
      </c>
      <c r="B512" t="s">
        <v>1988</v>
      </c>
      <c r="C512" t="s">
        <v>1020</v>
      </c>
      <c r="D512" t="s">
        <v>1032</v>
      </c>
      <c r="E512" t="s">
        <v>1770</v>
      </c>
      <c r="F512" s="5">
        <v>429.9</v>
      </c>
      <c r="G512" t="s">
        <v>934</v>
      </c>
      <c r="H512" s="3">
        <v>35</v>
      </c>
      <c r="I512" s="3">
        <v>35</v>
      </c>
      <c r="J512" s="3">
        <v>15</v>
      </c>
      <c r="K512" s="3">
        <v>8</v>
      </c>
      <c r="L512">
        <f t="shared" si="70"/>
        <v>1.8374999999999999E-2</v>
      </c>
      <c r="M512">
        <f t="shared" si="76"/>
        <v>6.4312499999999995</v>
      </c>
      <c r="N512" s="8">
        <v>350</v>
      </c>
      <c r="O512" s="14">
        <f t="shared" si="71"/>
        <v>150465</v>
      </c>
      <c r="P512" s="8">
        <v>22</v>
      </c>
      <c r="Q512" s="8">
        <f t="shared" si="72"/>
        <v>15.909090909090908</v>
      </c>
      <c r="R512" s="8">
        <f t="shared" si="73"/>
        <v>256.66666666666663</v>
      </c>
      <c r="S512" s="8">
        <f t="shared" si="74"/>
        <v>272.57575757575756</v>
      </c>
      <c r="T512" s="17">
        <f t="shared" si="77"/>
        <v>111.36975959261014</v>
      </c>
      <c r="U512" s="19">
        <f t="shared" si="78"/>
        <v>11807.236277238278</v>
      </c>
      <c r="V512" s="27" t="s">
        <v>2982</v>
      </c>
    </row>
    <row r="513" spans="1:22" ht="15" customHeight="1" x14ac:dyDescent="0.25">
      <c r="A513" t="s">
        <v>295</v>
      </c>
      <c r="B513" t="s">
        <v>936</v>
      </c>
      <c r="C513" t="s">
        <v>2054</v>
      </c>
      <c r="D513" t="s">
        <v>2057</v>
      </c>
      <c r="E513" t="s">
        <v>480</v>
      </c>
      <c r="F513" s="5">
        <v>2000</v>
      </c>
      <c r="G513" t="s">
        <v>941</v>
      </c>
      <c r="H513" s="3">
        <v>100</v>
      </c>
      <c r="I513" s="3">
        <v>70</v>
      </c>
      <c r="J513" s="3">
        <v>70</v>
      </c>
      <c r="K513" s="3">
        <v>25</v>
      </c>
      <c r="L513">
        <f t="shared" si="70"/>
        <v>0.49</v>
      </c>
      <c r="M513">
        <f t="shared" si="76"/>
        <v>34.299999999999997</v>
      </c>
      <c r="N513" s="8">
        <v>70</v>
      </c>
      <c r="O513" s="14">
        <f t="shared" si="71"/>
        <v>140000</v>
      </c>
      <c r="P513" s="8">
        <v>40</v>
      </c>
      <c r="Q513" s="8">
        <f t="shared" si="72"/>
        <v>1.75</v>
      </c>
      <c r="R513" s="8">
        <f t="shared" si="73"/>
        <v>93.333333333333343</v>
      </c>
      <c r="S513" s="8">
        <f t="shared" si="74"/>
        <v>95.083333333333343</v>
      </c>
      <c r="T513" s="17">
        <f t="shared" si="77"/>
        <v>103.62387494078637</v>
      </c>
      <c r="U513" s="19">
        <f t="shared" si="78"/>
        <v>11910.860152179064</v>
      </c>
      <c r="V513" s="27" t="s">
        <v>2982</v>
      </c>
    </row>
    <row r="514" spans="1:22" ht="15" customHeight="1" x14ac:dyDescent="0.25">
      <c r="A514" t="s">
        <v>295</v>
      </c>
      <c r="B514" t="s">
        <v>1988</v>
      </c>
      <c r="C514" t="s">
        <v>1009</v>
      </c>
      <c r="D514" t="s">
        <v>1018</v>
      </c>
      <c r="E514" t="s">
        <v>1770</v>
      </c>
      <c r="F514" s="5">
        <v>147.11000000000001</v>
      </c>
      <c r="G514" t="s">
        <v>1015</v>
      </c>
      <c r="H514" s="3">
        <v>30</v>
      </c>
      <c r="I514" s="3">
        <v>45</v>
      </c>
      <c r="J514" s="3">
        <v>20</v>
      </c>
      <c r="K514" s="3">
        <v>6</v>
      </c>
      <c r="L514">
        <f t="shared" ref="L514:L577" si="79">J514*I514*H514/1000000</f>
        <v>2.7E-2</v>
      </c>
      <c r="M514">
        <f t="shared" si="76"/>
        <v>25.65</v>
      </c>
      <c r="N514" s="8">
        <v>950</v>
      </c>
      <c r="O514" s="14">
        <f t="shared" ref="O514:O577" si="80">N514*F514</f>
        <v>139754.5</v>
      </c>
      <c r="P514" s="8">
        <v>22</v>
      </c>
      <c r="Q514" s="8">
        <f t="shared" ref="Q514:Q577" si="81">N514/P514</f>
        <v>43.18181818181818</v>
      </c>
      <c r="R514" s="8">
        <f t="shared" ref="R514:R577" si="82">(N514/30)*P514</f>
        <v>696.66666666666674</v>
      </c>
      <c r="S514" s="8">
        <f t="shared" ref="S514:S577" si="83">Q514+R514</f>
        <v>739.84848484848487</v>
      </c>
      <c r="T514" s="17">
        <f t="shared" si="77"/>
        <v>103.44216307437233</v>
      </c>
      <c r="U514" s="19">
        <f t="shared" si="78"/>
        <v>12014.302315253437</v>
      </c>
      <c r="V514" s="27" t="s">
        <v>2982</v>
      </c>
    </row>
    <row r="515" spans="1:22" ht="15" customHeight="1" x14ac:dyDescent="0.25">
      <c r="A515" t="s">
        <v>295</v>
      </c>
      <c r="B515" t="s">
        <v>1988</v>
      </c>
      <c r="C515" t="s">
        <v>1020</v>
      </c>
      <c r="D515" t="s">
        <v>1023</v>
      </c>
      <c r="E515" t="s">
        <v>1770</v>
      </c>
      <c r="F515" s="5">
        <v>535.9</v>
      </c>
      <c r="G515" t="s">
        <v>985</v>
      </c>
      <c r="H515" s="3">
        <v>35</v>
      </c>
      <c r="I515" s="3">
        <v>35</v>
      </c>
      <c r="J515" s="3">
        <v>15</v>
      </c>
      <c r="K515" s="3">
        <v>8</v>
      </c>
      <c r="L515">
        <f t="shared" si="79"/>
        <v>1.8374999999999999E-2</v>
      </c>
      <c r="M515">
        <f t="shared" si="76"/>
        <v>4.59375</v>
      </c>
      <c r="N515" s="8">
        <v>250</v>
      </c>
      <c r="O515" s="14">
        <f t="shared" si="80"/>
        <v>133975</v>
      </c>
      <c r="P515" s="8">
        <v>22</v>
      </c>
      <c r="Q515" s="8">
        <f t="shared" si="81"/>
        <v>11.363636363636363</v>
      </c>
      <c r="R515" s="8">
        <f t="shared" si="82"/>
        <v>183.33333333333334</v>
      </c>
      <c r="S515" s="8">
        <f t="shared" si="83"/>
        <v>194.69696969696972</v>
      </c>
      <c r="T515" s="17">
        <f t="shared" si="77"/>
        <v>99.164347465656093</v>
      </c>
      <c r="U515" s="19">
        <f t="shared" si="78"/>
        <v>12113.466662719093</v>
      </c>
      <c r="V515" s="27" t="s">
        <v>2982</v>
      </c>
    </row>
    <row r="516" spans="1:22" ht="15" customHeight="1" x14ac:dyDescent="0.25">
      <c r="A516" t="s">
        <v>295</v>
      </c>
      <c r="B516" t="s">
        <v>1988</v>
      </c>
      <c r="C516" t="s">
        <v>1009</v>
      </c>
      <c r="D516" t="s">
        <v>1019</v>
      </c>
      <c r="E516" t="s">
        <v>1770</v>
      </c>
      <c r="F516" s="5">
        <v>137</v>
      </c>
      <c r="G516" t="s">
        <v>921</v>
      </c>
      <c r="H516" s="3">
        <v>30</v>
      </c>
      <c r="I516" s="3">
        <v>45</v>
      </c>
      <c r="J516" s="3">
        <v>20</v>
      </c>
      <c r="K516" s="3">
        <v>6</v>
      </c>
      <c r="L516">
        <f t="shared" si="79"/>
        <v>2.7E-2</v>
      </c>
      <c r="M516">
        <f t="shared" si="76"/>
        <v>25.65</v>
      </c>
      <c r="N516" s="8">
        <v>950</v>
      </c>
      <c r="O516" s="14">
        <f t="shared" si="80"/>
        <v>130150</v>
      </c>
      <c r="P516" s="8">
        <v>22</v>
      </c>
      <c r="Q516" s="8">
        <f t="shared" si="81"/>
        <v>43.18181818181818</v>
      </c>
      <c r="R516" s="8">
        <f t="shared" si="82"/>
        <v>696.66666666666674</v>
      </c>
      <c r="S516" s="8">
        <f t="shared" si="83"/>
        <v>739.84848484848487</v>
      </c>
      <c r="T516" s="17">
        <f t="shared" si="77"/>
        <v>96.333195168166753</v>
      </c>
      <c r="U516" s="19">
        <f t="shared" si="78"/>
        <v>12209.799857887259</v>
      </c>
      <c r="V516" s="27" t="s">
        <v>2982</v>
      </c>
    </row>
    <row r="517" spans="1:22" ht="15" customHeight="1" x14ac:dyDescent="0.25">
      <c r="A517" t="s">
        <v>295</v>
      </c>
      <c r="B517" t="s">
        <v>1988</v>
      </c>
      <c r="C517" t="s">
        <v>1020</v>
      </c>
      <c r="D517" t="s">
        <v>1024</v>
      </c>
      <c r="E517" t="s">
        <v>1770</v>
      </c>
      <c r="F517" s="5">
        <v>510</v>
      </c>
      <c r="G517" t="s">
        <v>934</v>
      </c>
      <c r="H517" s="3">
        <v>35</v>
      </c>
      <c r="I517" s="3">
        <v>35</v>
      </c>
      <c r="J517" s="3">
        <v>15</v>
      </c>
      <c r="K517" s="3">
        <v>8</v>
      </c>
      <c r="L517">
        <f t="shared" si="79"/>
        <v>1.8374999999999999E-2</v>
      </c>
      <c r="M517">
        <f t="shared" si="76"/>
        <v>4.59375</v>
      </c>
      <c r="N517" s="8">
        <v>250</v>
      </c>
      <c r="O517" s="14">
        <f t="shared" si="80"/>
        <v>127500</v>
      </c>
      <c r="P517" s="8">
        <v>22</v>
      </c>
      <c r="Q517" s="8">
        <f t="shared" si="81"/>
        <v>11.363636363636363</v>
      </c>
      <c r="R517" s="8">
        <f t="shared" si="82"/>
        <v>183.33333333333334</v>
      </c>
      <c r="S517" s="8">
        <f t="shared" si="83"/>
        <v>194.69696969696972</v>
      </c>
      <c r="T517" s="17">
        <f t="shared" si="77"/>
        <v>94.371743249644723</v>
      </c>
      <c r="U517" s="19">
        <f t="shared" si="78"/>
        <v>12304.171601136904</v>
      </c>
      <c r="V517" s="27" t="s">
        <v>2982</v>
      </c>
    </row>
    <row r="518" spans="1:22" ht="15" customHeight="1" x14ac:dyDescent="0.25">
      <c r="A518" t="s">
        <v>295</v>
      </c>
      <c r="B518" t="s">
        <v>1988</v>
      </c>
      <c r="C518" t="s">
        <v>1020</v>
      </c>
      <c r="D518" t="s">
        <v>1031</v>
      </c>
      <c r="E518" t="s">
        <v>1770</v>
      </c>
      <c r="F518" s="5">
        <v>359.9</v>
      </c>
      <c r="G518" t="s">
        <v>934</v>
      </c>
      <c r="H518" s="3">
        <v>35</v>
      </c>
      <c r="I518" s="3">
        <v>35</v>
      </c>
      <c r="J518" s="3">
        <v>15</v>
      </c>
      <c r="K518" s="3">
        <v>8</v>
      </c>
      <c r="L518">
        <f t="shared" si="79"/>
        <v>1.8374999999999999E-2</v>
      </c>
      <c r="M518">
        <f t="shared" si="76"/>
        <v>6.4312499999999995</v>
      </c>
      <c r="N518" s="8">
        <v>350</v>
      </c>
      <c r="O518" s="14">
        <f t="shared" si="80"/>
        <v>125964.99999999999</v>
      </c>
      <c r="P518" s="8">
        <v>22</v>
      </c>
      <c r="Q518" s="8">
        <f t="shared" si="81"/>
        <v>15.909090909090908</v>
      </c>
      <c r="R518" s="8">
        <f t="shared" si="82"/>
        <v>256.66666666666663</v>
      </c>
      <c r="S518" s="8">
        <f t="shared" si="83"/>
        <v>272.57575757575756</v>
      </c>
      <c r="T518" s="17">
        <f t="shared" si="77"/>
        <v>93.235581477972516</v>
      </c>
      <c r="U518" s="19">
        <f t="shared" si="78"/>
        <v>12397.407182614877</v>
      </c>
      <c r="V518" s="27" t="s">
        <v>2982</v>
      </c>
    </row>
    <row r="519" spans="1:22" ht="15" customHeight="1" x14ac:dyDescent="0.25">
      <c r="A519" t="s">
        <v>295</v>
      </c>
      <c r="B519" t="s">
        <v>1988</v>
      </c>
      <c r="C519" t="s">
        <v>1046</v>
      </c>
      <c r="D519" t="s">
        <v>1052</v>
      </c>
      <c r="E519" t="s">
        <v>13</v>
      </c>
      <c r="F519" s="5">
        <v>389</v>
      </c>
      <c r="G519" t="s">
        <v>987</v>
      </c>
      <c r="H519" s="3">
        <v>16</v>
      </c>
      <c r="I519" s="3">
        <v>33</v>
      </c>
      <c r="J519" s="3">
        <v>24</v>
      </c>
      <c r="K519" s="3">
        <v>15</v>
      </c>
      <c r="L519">
        <f t="shared" si="79"/>
        <v>1.2671999999999999E-2</v>
      </c>
      <c r="M519">
        <f t="shared" si="76"/>
        <v>3.8015999999999996</v>
      </c>
      <c r="N519" s="8">
        <v>300</v>
      </c>
      <c r="O519" s="14">
        <f t="shared" si="80"/>
        <v>116700</v>
      </c>
      <c r="P519" s="8">
        <v>22</v>
      </c>
      <c r="Q519" s="8">
        <f t="shared" si="81"/>
        <v>13.636363636363637</v>
      </c>
      <c r="R519" s="8">
        <f t="shared" si="82"/>
        <v>220</v>
      </c>
      <c r="S519" s="8">
        <f t="shared" si="83"/>
        <v>233.63636363636363</v>
      </c>
      <c r="T519" s="17">
        <f t="shared" si="77"/>
        <v>86.377901468498351</v>
      </c>
      <c r="U519" s="19">
        <f t="shared" si="78"/>
        <v>12483.785084083376</v>
      </c>
      <c r="V519" s="27" t="s">
        <v>2982</v>
      </c>
    </row>
    <row r="520" spans="1:22" ht="15" customHeight="1" x14ac:dyDescent="0.25">
      <c r="A520" t="s">
        <v>295</v>
      </c>
      <c r="B520" t="s">
        <v>1988</v>
      </c>
      <c r="C520" t="s">
        <v>1020</v>
      </c>
      <c r="D520" t="s">
        <v>1025</v>
      </c>
      <c r="E520" t="s">
        <v>1770</v>
      </c>
      <c r="F520" s="5">
        <v>463.9</v>
      </c>
      <c r="G520" t="s">
        <v>985</v>
      </c>
      <c r="H520" s="3">
        <v>35</v>
      </c>
      <c r="I520" s="3">
        <v>35</v>
      </c>
      <c r="J520" s="3">
        <v>15</v>
      </c>
      <c r="K520" s="3">
        <v>8</v>
      </c>
      <c r="L520">
        <f t="shared" si="79"/>
        <v>1.8374999999999999E-2</v>
      </c>
      <c r="M520">
        <f t="shared" si="76"/>
        <v>4.59375</v>
      </c>
      <c r="N520" s="8">
        <v>250</v>
      </c>
      <c r="O520" s="14">
        <f t="shared" si="80"/>
        <v>115975</v>
      </c>
      <c r="P520" s="8">
        <v>22</v>
      </c>
      <c r="Q520" s="8">
        <f t="shared" si="81"/>
        <v>11.363636363636363</v>
      </c>
      <c r="R520" s="8">
        <f t="shared" si="82"/>
        <v>183.33333333333334</v>
      </c>
      <c r="S520" s="8">
        <f t="shared" si="83"/>
        <v>194.69696969696972</v>
      </c>
      <c r="T520" s="17">
        <f t="shared" si="77"/>
        <v>85.841277830412125</v>
      </c>
      <c r="U520" s="19">
        <f t="shared" si="78"/>
        <v>12569.626361913788</v>
      </c>
      <c r="V520" s="27" t="s">
        <v>2982</v>
      </c>
    </row>
    <row r="521" spans="1:22" ht="15" customHeight="1" x14ac:dyDescent="0.25">
      <c r="A521" t="s">
        <v>295</v>
      </c>
      <c r="B521" t="s">
        <v>1988</v>
      </c>
      <c r="C521" t="s">
        <v>1072</v>
      </c>
      <c r="D521" t="s">
        <v>1073</v>
      </c>
      <c r="E521" t="s">
        <v>234</v>
      </c>
      <c r="F521" s="5">
        <v>119</v>
      </c>
      <c r="G521" t="s">
        <v>512</v>
      </c>
      <c r="H521">
        <v>10</v>
      </c>
      <c r="I521">
        <v>20</v>
      </c>
      <c r="J521">
        <v>10</v>
      </c>
      <c r="K521" s="3">
        <v>6</v>
      </c>
      <c r="L521">
        <f t="shared" si="79"/>
        <v>2E-3</v>
      </c>
      <c r="M521">
        <f t="shared" si="76"/>
        <v>1.9000000000000001</v>
      </c>
      <c r="N521" s="8">
        <v>950</v>
      </c>
      <c r="O521" s="14">
        <f t="shared" si="80"/>
        <v>113050</v>
      </c>
      <c r="P521" s="8">
        <v>22</v>
      </c>
      <c r="Q521" s="8">
        <f t="shared" si="81"/>
        <v>43.18181818181818</v>
      </c>
      <c r="R521" s="8">
        <f t="shared" si="82"/>
        <v>696.66666666666674</v>
      </c>
      <c r="S521" s="8">
        <f t="shared" si="83"/>
        <v>739.84848484848487</v>
      </c>
      <c r="T521" s="17">
        <f t="shared" si="77"/>
        <v>83.67627901468498</v>
      </c>
      <c r="U521" s="19">
        <f t="shared" si="78"/>
        <v>12653.302640928474</v>
      </c>
      <c r="V521" s="27" t="s">
        <v>2982</v>
      </c>
    </row>
    <row r="522" spans="1:22" ht="15" customHeight="1" x14ac:dyDescent="0.25">
      <c r="A522" t="s">
        <v>295</v>
      </c>
      <c r="B522" t="s">
        <v>1988</v>
      </c>
      <c r="C522" t="s">
        <v>1020</v>
      </c>
      <c r="D522" t="s">
        <v>1028</v>
      </c>
      <c r="E522" t="s">
        <v>1770</v>
      </c>
      <c r="F522" s="5">
        <v>433.9</v>
      </c>
      <c r="G522" t="s">
        <v>985</v>
      </c>
      <c r="H522" s="3">
        <v>35</v>
      </c>
      <c r="I522" s="3">
        <v>35</v>
      </c>
      <c r="J522" s="3">
        <v>15</v>
      </c>
      <c r="K522" s="3">
        <v>8</v>
      </c>
      <c r="L522">
        <f t="shared" si="79"/>
        <v>1.8374999999999999E-2</v>
      </c>
      <c r="M522">
        <f t="shared" si="76"/>
        <v>4.59375</v>
      </c>
      <c r="N522" s="8">
        <v>250</v>
      </c>
      <c r="O522" s="14">
        <f t="shared" si="80"/>
        <v>108475</v>
      </c>
      <c r="P522" s="8">
        <v>22</v>
      </c>
      <c r="Q522" s="8">
        <f t="shared" si="81"/>
        <v>11.363636363636363</v>
      </c>
      <c r="R522" s="8">
        <f t="shared" si="82"/>
        <v>183.33333333333334</v>
      </c>
      <c r="S522" s="8">
        <f t="shared" si="83"/>
        <v>194.69696969696972</v>
      </c>
      <c r="T522" s="17">
        <f t="shared" si="77"/>
        <v>80.289998815727145</v>
      </c>
      <c r="U522" s="19">
        <f t="shared" si="78"/>
        <v>12733.592639744202</v>
      </c>
      <c r="V522" s="27" t="s">
        <v>2982</v>
      </c>
    </row>
    <row r="523" spans="1:22" ht="15" customHeight="1" x14ac:dyDescent="0.25">
      <c r="A523" t="s">
        <v>295</v>
      </c>
      <c r="B523" t="s">
        <v>1988</v>
      </c>
      <c r="C523" t="s">
        <v>1020</v>
      </c>
      <c r="D523" t="s">
        <v>1029</v>
      </c>
      <c r="E523" t="s">
        <v>1770</v>
      </c>
      <c r="F523" s="5">
        <v>428.78</v>
      </c>
      <c r="G523" t="s">
        <v>990</v>
      </c>
      <c r="H523" s="3">
        <v>35</v>
      </c>
      <c r="I523" s="3">
        <v>35</v>
      </c>
      <c r="J523" s="3">
        <v>15</v>
      </c>
      <c r="K523" s="3">
        <v>8</v>
      </c>
      <c r="L523">
        <f t="shared" si="79"/>
        <v>1.8374999999999999E-2</v>
      </c>
      <c r="M523">
        <f t="shared" si="76"/>
        <v>4.59375</v>
      </c>
      <c r="N523" s="8">
        <v>250</v>
      </c>
      <c r="O523" s="14">
        <f t="shared" si="80"/>
        <v>107195</v>
      </c>
      <c r="P523" s="8">
        <v>22</v>
      </c>
      <c r="Q523" s="8">
        <f t="shared" si="81"/>
        <v>11.363636363636363</v>
      </c>
      <c r="R523" s="8">
        <f t="shared" si="82"/>
        <v>183.33333333333334</v>
      </c>
      <c r="S523" s="8">
        <f t="shared" si="83"/>
        <v>194.69696969696972</v>
      </c>
      <c r="T523" s="17">
        <f t="shared" si="77"/>
        <v>79.342580530554244</v>
      </c>
      <c r="U523" s="19">
        <f t="shared" si="78"/>
        <v>12812.935220274756</v>
      </c>
      <c r="V523" s="27" t="s">
        <v>2982</v>
      </c>
    </row>
    <row r="524" spans="1:22" ht="15" customHeight="1" x14ac:dyDescent="0.25">
      <c r="A524" t="s">
        <v>295</v>
      </c>
      <c r="B524" t="s">
        <v>1988</v>
      </c>
      <c r="C524" t="s">
        <v>1072</v>
      </c>
      <c r="D524" t="s">
        <v>1074</v>
      </c>
      <c r="E524" t="s">
        <v>234</v>
      </c>
      <c r="F524" s="5">
        <v>267.89999999999998</v>
      </c>
      <c r="G524" t="s">
        <v>1075</v>
      </c>
      <c r="H524">
        <v>12</v>
      </c>
      <c r="I524">
        <v>10</v>
      </c>
      <c r="J524">
        <v>20</v>
      </c>
      <c r="K524">
        <v>1</v>
      </c>
      <c r="L524">
        <f t="shared" si="79"/>
        <v>2.3999999999999998E-3</v>
      </c>
      <c r="M524">
        <f t="shared" si="76"/>
        <v>0.96</v>
      </c>
      <c r="N524" s="8">
        <v>400</v>
      </c>
      <c r="O524" s="14">
        <f t="shared" si="80"/>
        <v>107159.99999999999</v>
      </c>
      <c r="P524" s="8">
        <v>22</v>
      </c>
      <c r="Q524" s="8">
        <f t="shared" si="81"/>
        <v>18.181818181818183</v>
      </c>
      <c r="R524" s="8">
        <f t="shared" si="82"/>
        <v>293.33333333333337</v>
      </c>
      <c r="S524" s="8">
        <f t="shared" si="83"/>
        <v>311.51515151515156</v>
      </c>
      <c r="T524" s="17">
        <f t="shared" si="77"/>
        <v>79.316674561819028</v>
      </c>
      <c r="U524" s="19">
        <f t="shared" si="78"/>
        <v>12892.251894836574</v>
      </c>
      <c r="V524" s="27" t="s">
        <v>2982</v>
      </c>
    </row>
    <row r="525" spans="1:22" ht="15" customHeight="1" x14ac:dyDescent="0.25">
      <c r="A525" t="s">
        <v>295</v>
      </c>
      <c r="B525" t="s">
        <v>1988</v>
      </c>
      <c r="C525" t="s">
        <v>992</v>
      </c>
      <c r="D525" t="s">
        <v>997</v>
      </c>
      <c r="E525" t="s">
        <v>1770</v>
      </c>
      <c r="F525" s="5">
        <v>649.9</v>
      </c>
      <c r="G525" t="s">
        <v>512</v>
      </c>
      <c r="H525" s="3">
        <v>90</v>
      </c>
      <c r="I525" s="3">
        <v>40</v>
      </c>
      <c r="J525" s="3">
        <v>25</v>
      </c>
      <c r="K525" s="3">
        <v>10</v>
      </c>
      <c r="L525">
        <f t="shared" si="79"/>
        <v>0.09</v>
      </c>
      <c r="M525">
        <f t="shared" si="76"/>
        <v>13.5</v>
      </c>
      <c r="N525" s="8">
        <v>150</v>
      </c>
      <c r="O525" s="14">
        <f t="shared" si="80"/>
        <v>97485</v>
      </c>
      <c r="P525" s="8">
        <v>22</v>
      </c>
      <c r="Q525" s="8">
        <f t="shared" si="81"/>
        <v>6.8181818181818183</v>
      </c>
      <c r="R525" s="8">
        <f t="shared" si="82"/>
        <v>110</v>
      </c>
      <c r="S525" s="8">
        <f t="shared" si="83"/>
        <v>116.81818181818181</v>
      </c>
      <c r="T525" s="17">
        <f t="shared" si="77"/>
        <v>72.155524632875412</v>
      </c>
      <c r="U525" s="19">
        <f t="shared" si="78"/>
        <v>12964.407419469449</v>
      </c>
      <c r="V525" s="27" t="s">
        <v>2982</v>
      </c>
    </row>
    <row r="526" spans="1:22" ht="15" customHeight="1" x14ac:dyDescent="0.25">
      <c r="A526" t="s">
        <v>295</v>
      </c>
      <c r="B526" t="s">
        <v>1988</v>
      </c>
      <c r="C526" t="s">
        <v>992</v>
      </c>
      <c r="D526" t="s">
        <v>996</v>
      </c>
      <c r="E526" t="s">
        <v>1770</v>
      </c>
      <c r="F526" s="5">
        <v>641.6</v>
      </c>
      <c r="G526" t="s">
        <v>921</v>
      </c>
      <c r="H526" s="3">
        <v>90</v>
      </c>
      <c r="I526" s="3">
        <v>40</v>
      </c>
      <c r="J526" s="3">
        <v>25</v>
      </c>
      <c r="K526" s="3">
        <v>10</v>
      </c>
      <c r="L526">
        <f t="shared" si="79"/>
        <v>0.09</v>
      </c>
      <c r="M526">
        <f t="shared" si="76"/>
        <v>13.5</v>
      </c>
      <c r="N526" s="8">
        <v>150</v>
      </c>
      <c r="O526" s="14">
        <f t="shared" si="80"/>
        <v>96240</v>
      </c>
      <c r="P526" s="8">
        <v>22</v>
      </c>
      <c r="Q526" s="8">
        <f t="shared" si="81"/>
        <v>6.8181818181818183</v>
      </c>
      <c r="R526" s="8">
        <f t="shared" si="82"/>
        <v>110</v>
      </c>
      <c r="S526" s="8">
        <f t="shared" si="83"/>
        <v>116.81818181818181</v>
      </c>
      <c r="T526" s="17">
        <f t="shared" si="77"/>
        <v>71.234012316437713</v>
      </c>
      <c r="U526" s="19">
        <f t="shared" si="78"/>
        <v>13035.641431785887</v>
      </c>
      <c r="V526" s="27" t="s">
        <v>2982</v>
      </c>
    </row>
    <row r="527" spans="1:22" ht="15" customHeight="1" x14ac:dyDescent="0.25">
      <c r="A527" t="s">
        <v>295</v>
      </c>
      <c r="B527" t="s">
        <v>1988</v>
      </c>
      <c r="C527" t="s">
        <v>992</v>
      </c>
      <c r="D527" t="s">
        <v>995</v>
      </c>
      <c r="E527" t="s">
        <v>1770</v>
      </c>
      <c r="F527" s="5">
        <v>622</v>
      </c>
      <c r="G527" t="s">
        <v>921</v>
      </c>
      <c r="H527" s="3">
        <v>90</v>
      </c>
      <c r="I527" s="3">
        <v>40</v>
      </c>
      <c r="J527" s="3">
        <v>25</v>
      </c>
      <c r="K527" s="3">
        <v>10</v>
      </c>
      <c r="L527">
        <f t="shared" si="79"/>
        <v>0.09</v>
      </c>
      <c r="M527">
        <f t="shared" si="76"/>
        <v>13.5</v>
      </c>
      <c r="N527" s="8">
        <v>150</v>
      </c>
      <c r="O527" s="14">
        <f t="shared" si="80"/>
        <v>93300</v>
      </c>
      <c r="P527" s="8">
        <v>22</v>
      </c>
      <c r="Q527" s="8">
        <f t="shared" si="81"/>
        <v>6.8181818181818183</v>
      </c>
      <c r="R527" s="8">
        <f t="shared" si="82"/>
        <v>110</v>
      </c>
      <c r="S527" s="8">
        <f t="shared" si="83"/>
        <v>116.81818181818181</v>
      </c>
      <c r="T527" s="17">
        <f t="shared" si="77"/>
        <v>69.05791094268119</v>
      </c>
      <c r="U527" s="19">
        <f t="shared" si="78"/>
        <v>13104.699342728569</v>
      </c>
      <c r="V527" s="27" t="s">
        <v>2982</v>
      </c>
    </row>
    <row r="528" spans="1:22" ht="15" customHeight="1" x14ac:dyDescent="0.25">
      <c r="A528" t="s">
        <v>295</v>
      </c>
      <c r="B528" t="s">
        <v>904</v>
      </c>
      <c r="C528" t="s">
        <v>2001</v>
      </c>
      <c r="D528" t="s">
        <v>929</v>
      </c>
      <c r="E528" t="s">
        <v>480</v>
      </c>
      <c r="F528" s="5">
        <v>289</v>
      </c>
      <c r="G528" t="s">
        <v>909</v>
      </c>
      <c r="H528" s="3">
        <v>65</v>
      </c>
      <c r="I528" s="3">
        <v>15</v>
      </c>
      <c r="J528" s="3">
        <v>15</v>
      </c>
      <c r="K528">
        <v>2.6</v>
      </c>
      <c r="L528">
        <f t="shared" si="79"/>
        <v>1.4625000000000001E-2</v>
      </c>
      <c r="M528">
        <f t="shared" si="76"/>
        <v>4.6800000000000006</v>
      </c>
      <c r="N528" s="8">
        <v>320</v>
      </c>
      <c r="O528" s="14">
        <f t="shared" si="80"/>
        <v>92480</v>
      </c>
      <c r="P528" s="8">
        <v>15</v>
      </c>
      <c r="Q528" s="8">
        <f t="shared" si="81"/>
        <v>21.333333333333332</v>
      </c>
      <c r="R528" s="8">
        <f t="shared" si="82"/>
        <v>160</v>
      </c>
      <c r="S528" s="8">
        <f t="shared" si="83"/>
        <v>181.33333333333334</v>
      </c>
      <c r="T528" s="17">
        <f t="shared" si="77"/>
        <v>68.450971103742305</v>
      </c>
      <c r="U528" s="19">
        <f t="shared" si="78"/>
        <v>13173.150313832311</v>
      </c>
      <c r="V528" s="27" t="s">
        <v>2982</v>
      </c>
    </row>
    <row r="529" spans="1:22" ht="15" customHeight="1" x14ac:dyDescent="0.25">
      <c r="A529" t="s">
        <v>295</v>
      </c>
      <c r="B529" t="s">
        <v>1988</v>
      </c>
      <c r="C529" t="s">
        <v>992</v>
      </c>
      <c r="D529" t="s">
        <v>999</v>
      </c>
      <c r="E529" t="s">
        <v>1770</v>
      </c>
      <c r="F529" s="5">
        <v>579.99</v>
      </c>
      <c r="G529" t="s">
        <v>1000</v>
      </c>
      <c r="H529" s="3">
        <v>90</v>
      </c>
      <c r="I529" s="3">
        <v>40</v>
      </c>
      <c r="J529" s="3">
        <v>25</v>
      </c>
      <c r="K529" s="3">
        <v>10</v>
      </c>
      <c r="L529">
        <f t="shared" si="79"/>
        <v>0.09</v>
      </c>
      <c r="M529">
        <f t="shared" si="76"/>
        <v>13.5</v>
      </c>
      <c r="N529" s="8">
        <v>150</v>
      </c>
      <c r="O529" s="14">
        <f t="shared" si="80"/>
        <v>86998.5</v>
      </c>
      <c r="P529" s="8">
        <v>22</v>
      </c>
      <c r="Q529" s="8">
        <f t="shared" si="81"/>
        <v>6.8181818181818183</v>
      </c>
      <c r="R529" s="8">
        <f t="shared" si="82"/>
        <v>110</v>
      </c>
      <c r="S529" s="8">
        <f t="shared" si="83"/>
        <v>116.81818181818181</v>
      </c>
      <c r="T529" s="17">
        <f t="shared" si="77"/>
        <v>64.393726314542874</v>
      </c>
      <c r="U529" s="19">
        <f t="shared" si="78"/>
        <v>13237.544040146855</v>
      </c>
      <c r="V529" s="27" t="s">
        <v>2982</v>
      </c>
    </row>
    <row r="530" spans="1:22" ht="15" customHeight="1" x14ac:dyDescent="0.25">
      <c r="A530" t="s">
        <v>295</v>
      </c>
      <c r="B530" t="s">
        <v>936</v>
      </c>
      <c r="C530" t="s">
        <v>2054</v>
      </c>
      <c r="D530" t="s">
        <v>2056</v>
      </c>
      <c r="E530" t="s">
        <v>480</v>
      </c>
      <c r="F530" s="5">
        <v>1220</v>
      </c>
      <c r="G530" t="s">
        <v>940</v>
      </c>
      <c r="H530" s="3">
        <v>100</v>
      </c>
      <c r="I530" s="3">
        <v>70</v>
      </c>
      <c r="J530" s="3">
        <v>70</v>
      </c>
      <c r="K530" s="3">
        <v>30</v>
      </c>
      <c r="L530">
        <f t="shared" si="79"/>
        <v>0.49</v>
      </c>
      <c r="M530">
        <f t="shared" si="76"/>
        <v>34.299999999999997</v>
      </c>
      <c r="N530" s="8">
        <v>70</v>
      </c>
      <c r="O530" s="14">
        <f t="shared" si="80"/>
        <v>85400</v>
      </c>
      <c r="P530" s="8">
        <v>40</v>
      </c>
      <c r="Q530" s="8">
        <f t="shared" si="81"/>
        <v>1.75</v>
      </c>
      <c r="R530" s="8">
        <f t="shared" si="82"/>
        <v>93.333333333333343</v>
      </c>
      <c r="S530" s="8">
        <f t="shared" si="83"/>
        <v>95.083333333333343</v>
      </c>
      <c r="T530" s="17">
        <f t="shared" si="77"/>
        <v>63.210563713879679</v>
      </c>
      <c r="U530" s="19">
        <f t="shared" si="78"/>
        <v>13300.754603860734</v>
      </c>
      <c r="V530" s="27" t="s">
        <v>2982</v>
      </c>
    </row>
    <row r="531" spans="1:22" ht="15" customHeight="1" x14ac:dyDescent="0.25">
      <c r="A531" t="s">
        <v>295</v>
      </c>
      <c r="B531" t="s">
        <v>1988</v>
      </c>
      <c r="C531" t="s">
        <v>1078</v>
      </c>
      <c r="D531" t="s">
        <v>1083</v>
      </c>
      <c r="E531" t="s">
        <v>234</v>
      </c>
      <c r="F531" s="5">
        <v>311.89999999999998</v>
      </c>
      <c r="G531" t="s">
        <v>1082</v>
      </c>
      <c r="H531" s="3">
        <v>31</v>
      </c>
      <c r="I531" s="3">
        <v>40</v>
      </c>
      <c r="J531" s="3">
        <v>15</v>
      </c>
      <c r="K531" s="3">
        <v>12</v>
      </c>
      <c r="L531">
        <f t="shared" si="79"/>
        <v>1.8599999999999998E-2</v>
      </c>
      <c r="M531">
        <f t="shared" si="76"/>
        <v>4.6499999999999995</v>
      </c>
      <c r="N531" s="8">
        <v>250</v>
      </c>
      <c r="O531" s="14">
        <f t="shared" si="80"/>
        <v>77975</v>
      </c>
      <c r="P531" s="8">
        <v>22</v>
      </c>
      <c r="Q531" s="8">
        <f t="shared" si="81"/>
        <v>11.363636363636363</v>
      </c>
      <c r="R531" s="8">
        <f t="shared" si="82"/>
        <v>183.33333333333334</v>
      </c>
      <c r="S531" s="8">
        <f t="shared" si="83"/>
        <v>194.69696969696972</v>
      </c>
      <c r="T531" s="17">
        <f t="shared" si="77"/>
        <v>57.714797489341542</v>
      </c>
      <c r="U531" s="19">
        <f t="shared" si="78"/>
        <v>13358.469401350076</v>
      </c>
      <c r="V531" s="27" t="s">
        <v>2982</v>
      </c>
    </row>
    <row r="532" spans="1:22" ht="15" customHeight="1" x14ac:dyDescent="0.25">
      <c r="A532" t="s">
        <v>295</v>
      </c>
      <c r="B532" t="s">
        <v>1988</v>
      </c>
      <c r="C532" t="s">
        <v>1009</v>
      </c>
      <c r="D532" t="s">
        <v>1010</v>
      </c>
      <c r="E532" t="s">
        <v>1770</v>
      </c>
      <c r="F532" s="5">
        <v>219.9</v>
      </c>
      <c r="G532" t="s">
        <v>1011</v>
      </c>
      <c r="H532" s="3">
        <v>30</v>
      </c>
      <c r="I532" s="3">
        <v>45</v>
      </c>
      <c r="J532" s="3">
        <v>20</v>
      </c>
      <c r="K532" s="3">
        <v>6</v>
      </c>
      <c r="L532">
        <f t="shared" si="79"/>
        <v>2.7E-2</v>
      </c>
      <c r="M532">
        <f t="shared" si="76"/>
        <v>9.4499999999999993</v>
      </c>
      <c r="N532" s="8">
        <v>350</v>
      </c>
      <c r="O532" s="14">
        <f t="shared" si="80"/>
        <v>76965</v>
      </c>
      <c r="P532" s="8">
        <v>22</v>
      </c>
      <c r="Q532" s="8">
        <f t="shared" si="81"/>
        <v>15.909090909090908</v>
      </c>
      <c r="R532" s="8">
        <f t="shared" si="82"/>
        <v>256.66666666666663</v>
      </c>
      <c r="S532" s="8">
        <f t="shared" si="83"/>
        <v>272.57575757575756</v>
      </c>
      <c r="T532" s="17">
        <f t="shared" si="77"/>
        <v>56.967225248697304</v>
      </c>
      <c r="U532" s="19">
        <f t="shared" si="78"/>
        <v>13415.436626598774</v>
      </c>
      <c r="V532" s="27" t="s">
        <v>2982</v>
      </c>
    </row>
    <row r="533" spans="1:22" ht="15" customHeight="1" x14ac:dyDescent="0.25">
      <c r="A533" t="s">
        <v>295</v>
      </c>
      <c r="B533" t="s">
        <v>1988</v>
      </c>
      <c r="C533" t="s">
        <v>992</v>
      </c>
      <c r="D533" t="s">
        <v>998</v>
      </c>
      <c r="E533" t="s">
        <v>1770</v>
      </c>
      <c r="F533" s="5">
        <v>499.99</v>
      </c>
      <c r="G533" t="s">
        <v>512</v>
      </c>
      <c r="H533" s="3">
        <v>90</v>
      </c>
      <c r="I533" s="3">
        <v>40</v>
      </c>
      <c r="J533" s="3">
        <v>25</v>
      </c>
      <c r="K533" s="3">
        <v>10</v>
      </c>
      <c r="L533">
        <f t="shared" si="79"/>
        <v>0.09</v>
      </c>
      <c r="M533">
        <f t="shared" si="76"/>
        <v>13.5</v>
      </c>
      <c r="N533" s="8">
        <v>150</v>
      </c>
      <c r="O533" s="14">
        <f t="shared" si="80"/>
        <v>74998.5</v>
      </c>
      <c r="P533" s="8">
        <v>22</v>
      </c>
      <c r="Q533" s="8">
        <f t="shared" si="81"/>
        <v>6.8181818181818183</v>
      </c>
      <c r="R533" s="8">
        <f t="shared" si="82"/>
        <v>110</v>
      </c>
      <c r="S533" s="8">
        <f t="shared" si="83"/>
        <v>116.81818181818181</v>
      </c>
      <c r="T533" s="17">
        <f t="shared" si="77"/>
        <v>55.511679891046896</v>
      </c>
      <c r="U533" s="19">
        <f t="shared" si="78"/>
        <v>13470.948306489821</v>
      </c>
      <c r="V533" s="29" t="s">
        <v>2983</v>
      </c>
    </row>
    <row r="534" spans="1:22" ht="15" customHeight="1" x14ac:dyDescent="0.25">
      <c r="A534" t="s">
        <v>295</v>
      </c>
      <c r="B534" t="s">
        <v>1988</v>
      </c>
      <c r="C534" t="s">
        <v>1020</v>
      </c>
      <c r="D534" t="s">
        <v>1027</v>
      </c>
      <c r="E534" t="s">
        <v>1770</v>
      </c>
      <c r="F534" s="5">
        <v>289.89999999999998</v>
      </c>
      <c r="G534" t="s">
        <v>1015</v>
      </c>
      <c r="H534" s="3">
        <v>35</v>
      </c>
      <c r="I534" s="3">
        <v>35</v>
      </c>
      <c r="J534" s="3">
        <v>15</v>
      </c>
      <c r="K534" s="3">
        <v>8</v>
      </c>
      <c r="L534">
        <f t="shared" si="79"/>
        <v>1.8374999999999999E-2</v>
      </c>
      <c r="M534">
        <f t="shared" si="76"/>
        <v>4.59375</v>
      </c>
      <c r="N534" s="8">
        <v>250</v>
      </c>
      <c r="O534" s="14">
        <f t="shared" si="80"/>
        <v>72475</v>
      </c>
      <c r="P534" s="8">
        <v>22</v>
      </c>
      <c r="Q534" s="8">
        <f t="shared" si="81"/>
        <v>11.363636363636363</v>
      </c>
      <c r="R534" s="8">
        <f t="shared" si="82"/>
        <v>183.33333333333334</v>
      </c>
      <c r="S534" s="8">
        <f t="shared" si="83"/>
        <v>194.69696969696972</v>
      </c>
      <c r="T534" s="17">
        <f t="shared" si="77"/>
        <v>53.643859545239224</v>
      </c>
      <c r="U534" s="19">
        <f t="shared" si="78"/>
        <v>13524.592166035061</v>
      </c>
      <c r="V534" s="29" t="s">
        <v>2983</v>
      </c>
    </row>
    <row r="535" spans="1:22" ht="15" customHeight="1" x14ac:dyDescent="0.25">
      <c r="A535" t="s">
        <v>295</v>
      </c>
      <c r="B535" t="s">
        <v>936</v>
      </c>
      <c r="C535" t="s">
        <v>2054</v>
      </c>
      <c r="D535" t="s">
        <v>2055</v>
      </c>
      <c r="E535" t="s">
        <v>480</v>
      </c>
      <c r="F535" s="5">
        <v>1000</v>
      </c>
      <c r="G535" t="s">
        <v>939</v>
      </c>
      <c r="H535" s="3">
        <v>100</v>
      </c>
      <c r="I535" s="3">
        <v>70</v>
      </c>
      <c r="J535" s="3">
        <v>70</v>
      </c>
      <c r="K535" s="3">
        <v>35</v>
      </c>
      <c r="L535">
        <f t="shared" si="79"/>
        <v>0.49</v>
      </c>
      <c r="M535">
        <f t="shared" si="76"/>
        <v>34.299999999999997</v>
      </c>
      <c r="N535" s="8">
        <v>70</v>
      </c>
      <c r="O535" s="14">
        <f t="shared" si="80"/>
        <v>70000</v>
      </c>
      <c r="P535" s="8">
        <v>40</v>
      </c>
      <c r="Q535" s="8">
        <f t="shared" si="81"/>
        <v>1.75</v>
      </c>
      <c r="R535" s="8">
        <f t="shared" si="82"/>
        <v>93.333333333333343</v>
      </c>
      <c r="S535" s="8">
        <f t="shared" si="83"/>
        <v>95.083333333333343</v>
      </c>
      <c r="T535" s="17">
        <f t="shared" si="77"/>
        <v>51.811937470393183</v>
      </c>
      <c r="U535" s="19">
        <f t="shared" si="78"/>
        <v>13576.404103505454</v>
      </c>
      <c r="V535" s="29" t="s">
        <v>2983</v>
      </c>
    </row>
    <row r="536" spans="1:22" ht="15" customHeight="1" x14ac:dyDescent="0.25">
      <c r="A536" t="s">
        <v>295</v>
      </c>
      <c r="B536" t="s">
        <v>1988</v>
      </c>
      <c r="C536" t="s">
        <v>1020</v>
      </c>
      <c r="D536" t="s">
        <v>1030</v>
      </c>
      <c r="E536" t="s">
        <v>1770</v>
      </c>
      <c r="F536" s="5">
        <v>279.89999999999998</v>
      </c>
      <c r="G536" t="s">
        <v>921</v>
      </c>
      <c r="H536" s="3">
        <v>35</v>
      </c>
      <c r="I536" s="3">
        <v>35</v>
      </c>
      <c r="J536" s="3">
        <v>15</v>
      </c>
      <c r="K536" s="3">
        <v>8</v>
      </c>
      <c r="L536">
        <f t="shared" si="79"/>
        <v>1.8374999999999999E-2</v>
      </c>
      <c r="M536">
        <f t="shared" si="76"/>
        <v>4.59375</v>
      </c>
      <c r="N536" s="8">
        <v>250</v>
      </c>
      <c r="O536" s="14">
        <f t="shared" si="80"/>
        <v>69975</v>
      </c>
      <c r="P536" s="8">
        <v>22</v>
      </c>
      <c r="Q536" s="8">
        <f t="shared" si="81"/>
        <v>11.363636363636363</v>
      </c>
      <c r="R536" s="8">
        <f t="shared" si="82"/>
        <v>183.33333333333334</v>
      </c>
      <c r="S536" s="8">
        <f t="shared" si="83"/>
        <v>194.69696969696972</v>
      </c>
      <c r="T536" s="17">
        <f t="shared" si="77"/>
        <v>51.793433207010899</v>
      </c>
      <c r="U536" s="19">
        <f t="shared" si="78"/>
        <v>13628.197536712465</v>
      </c>
      <c r="V536" s="29" t="s">
        <v>2983</v>
      </c>
    </row>
    <row r="537" spans="1:22" ht="15" customHeight="1" x14ac:dyDescent="0.25">
      <c r="A537" t="s">
        <v>295</v>
      </c>
      <c r="B537" t="s">
        <v>1988</v>
      </c>
      <c r="C537" t="s">
        <v>1020</v>
      </c>
      <c r="D537" t="s">
        <v>1026</v>
      </c>
      <c r="E537" t="s">
        <v>1770</v>
      </c>
      <c r="F537" s="5">
        <v>259.89999999999998</v>
      </c>
      <c r="G537" t="s">
        <v>1015</v>
      </c>
      <c r="H537" s="3">
        <v>35</v>
      </c>
      <c r="I537" s="3">
        <v>35</v>
      </c>
      <c r="J537" s="3">
        <v>15</v>
      </c>
      <c r="K537" s="3">
        <v>8</v>
      </c>
      <c r="L537">
        <f t="shared" si="79"/>
        <v>1.8374999999999999E-2</v>
      </c>
      <c r="M537">
        <f t="shared" si="76"/>
        <v>4.59375</v>
      </c>
      <c r="N537" s="8">
        <v>250</v>
      </c>
      <c r="O537" s="14">
        <f t="shared" si="80"/>
        <v>64974.999999999993</v>
      </c>
      <c r="P537" s="8">
        <v>22</v>
      </c>
      <c r="Q537" s="8">
        <f t="shared" si="81"/>
        <v>11.363636363636363</v>
      </c>
      <c r="R537" s="8">
        <f t="shared" si="82"/>
        <v>183.33333333333334</v>
      </c>
      <c r="S537" s="8">
        <f t="shared" si="83"/>
        <v>194.69696969696972</v>
      </c>
      <c r="T537" s="17">
        <f t="shared" si="77"/>
        <v>48.092580530554237</v>
      </c>
      <c r="U537" s="19">
        <f t="shared" ref="U537:U568" si="84">U536+T537</f>
        <v>13676.290117243019</v>
      </c>
      <c r="V537" s="29" t="s">
        <v>2983</v>
      </c>
    </row>
    <row r="538" spans="1:22" ht="15" customHeight="1" x14ac:dyDescent="0.25">
      <c r="A538" t="s">
        <v>295</v>
      </c>
      <c r="B538" t="s">
        <v>1988</v>
      </c>
      <c r="C538" t="s">
        <v>992</v>
      </c>
      <c r="D538" t="s">
        <v>994</v>
      </c>
      <c r="E538" t="s">
        <v>1770</v>
      </c>
      <c r="F538" s="5">
        <v>399</v>
      </c>
      <c r="G538" t="s">
        <v>512</v>
      </c>
      <c r="H538" s="3">
        <v>90</v>
      </c>
      <c r="I538" s="3">
        <v>40</v>
      </c>
      <c r="J538" s="3">
        <v>25</v>
      </c>
      <c r="K538" s="3">
        <v>10</v>
      </c>
      <c r="L538">
        <f t="shared" si="79"/>
        <v>0.09</v>
      </c>
      <c r="M538">
        <f t="shared" si="76"/>
        <v>13.5</v>
      </c>
      <c r="N538" s="8">
        <v>150</v>
      </c>
      <c r="O538" s="14">
        <f t="shared" si="80"/>
        <v>59850</v>
      </c>
      <c r="P538" s="8">
        <v>22</v>
      </c>
      <c r="Q538" s="8">
        <f t="shared" si="81"/>
        <v>6.8181818181818183</v>
      </c>
      <c r="R538" s="8">
        <f t="shared" si="82"/>
        <v>110</v>
      </c>
      <c r="S538" s="8">
        <f t="shared" si="83"/>
        <v>116.81818181818181</v>
      </c>
      <c r="T538" s="17">
        <f t="shared" si="77"/>
        <v>44.299206537186166</v>
      </c>
      <c r="U538" s="19">
        <f t="shared" si="84"/>
        <v>13720.589323780205</v>
      </c>
      <c r="V538" s="29" t="s">
        <v>2983</v>
      </c>
    </row>
    <row r="539" spans="1:22" ht="15" customHeight="1" x14ac:dyDescent="0.25">
      <c r="A539" t="s">
        <v>295</v>
      </c>
      <c r="B539" t="s">
        <v>1988</v>
      </c>
      <c r="C539" t="s">
        <v>1078</v>
      </c>
      <c r="D539" t="s">
        <v>1080</v>
      </c>
      <c r="E539" t="s">
        <v>234</v>
      </c>
      <c r="F539" s="5">
        <v>188</v>
      </c>
      <c r="G539" t="s">
        <v>1022</v>
      </c>
      <c r="H539" s="3">
        <v>26</v>
      </c>
      <c r="I539" s="3">
        <v>10500000</v>
      </c>
      <c r="J539" s="3">
        <v>17</v>
      </c>
      <c r="K539" s="3">
        <v>19</v>
      </c>
      <c r="L539">
        <f t="shared" si="79"/>
        <v>4641</v>
      </c>
      <c r="M539">
        <f t="shared" si="76"/>
        <v>1392300</v>
      </c>
      <c r="N539" s="8">
        <v>300</v>
      </c>
      <c r="O539" s="14">
        <f t="shared" si="80"/>
        <v>56400</v>
      </c>
      <c r="P539" s="8">
        <v>22</v>
      </c>
      <c r="Q539" s="8">
        <f t="shared" si="81"/>
        <v>13.636363636363637</v>
      </c>
      <c r="R539" s="8">
        <f t="shared" si="82"/>
        <v>220</v>
      </c>
      <c r="S539" s="8">
        <f t="shared" si="83"/>
        <v>233.63636363636363</v>
      </c>
      <c r="T539" s="17">
        <f t="shared" si="77"/>
        <v>41.745618190431074</v>
      </c>
      <c r="U539" s="19">
        <f t="shared" si="84"/>
        <v>13762.334941970636</v>
      </c>
      <c r="V539" s="29" t="s">
        <v>2983</v>
      </c>
    </row>
    <row r="540" spans="1:22" ht="15" customHeight="1" x14ac:dyDescent="0.25">
      <c r="A540" t="s">
        <v>295</v>
      </c>
      <c r="B540" t="s">
        <v>1988</v>
      </c>
      <c r="C540" t="s">
        <v>1078</v>
      </c>
      <c r="D540" t="s">
        <v>1079</v>
      </c>
      <c r="E540" t="s">
        <v>234</v>
      </c>
      <c r="F540" s="5">
        <v>179</v>
      </c>
      <c r="G540" t="s">
        <v>512</v>
      </c>
      <c r="H540" s="3">
        <v>20</v>
      </c>
      <c r="I540" s="3">
        <v>12000</v>
      </c>
      <c r="J540" s="3">
        <v>12</v>
      </c>
      <c r="K540" s="3">
        <v>14</v>
      </c>
      <c r="L540">
        <f t="shared" si="79"/>
        <v>2.88</v>
      </c>
      <c r="M540">
        <f t="shared" si="76"/>
        <v>864</v>
      </c>
      <c r="N540" s="8">
        <v>300</v>
      </c>
      <c r="O540" s="14">
        <f t="shared" si="80"/>
        <v>53700</v>
      </c>
      <c r="P540" s="8">
        <v>22</v>
      </c>
      <c r="Q540" s="8">
        <f t="shared" si="81"/>
        <v>13.636363636363637</v>
      </c>
      <c r="R540" s="8">
        <f t="shared" si="82"/>
        <v>220</v>
      </c>
      <c r="S540" s="8">
        <f t="shared" si="83"/>
        <v>233.63636363636363</v>
      </c>
      <c r="T540" s="17">
        <f t="shared" si="77"/>
        <v>39.747157745144484</v>
      </c>
      <c r="U540" s="19">
        <f t="shared" si="84"/>
        <v>13802.082099715781</v>
      </c>
      <c r="V540" s="29" t="s">
        <v>2983</v>
      </c>
    </row>
    <row r="541" spans="1:22" ht="15" customHeight="1" x14ac:dyDescent="0.25">
      <c r="A541" t="s">
        <v>295</v>
      </c>
      <c r="B541" t="s">
        <v>1988</v>
      </c>
      <c r="C541" t="s">
        <v>978</v>
      </c>
      <c r="D541" t="s">
        <v>989</v>
      </c>
      <c r="E541" t="s">
        <v>980</v>
      </c>
      <c r="F541" s="5">
        <v>1049</v>
      </c>
      <c r="G541" t="s">
        <v>990</v>
      </c>
      <c r="H541" s="3">
        <v>40</v>
      </c>
      <c r="I541" s="3">
        <v>30</v>
      </c>
      <c r="J541" s="3">
        <v>10</v>
      </c>
      <c r="K541" s="3">
        <v>5</v>
      </c>
      <c r="L541">
        <f t="shared" si="79"/>
        <v>1.2E-2</v>
      </c>
      <c r="M541">
        <f t="shared" si="76"/>
        <v>0.6</v>
      </c>
      <c r="N541" s="8">
        <v>50</v>
      </c>
      <c r="O541" s="14">
        <f t="shared" si="80"/>
        <v>52450</v>
      </c>
      <c r="P541" s="8">
        <v>22</v>
      </c>
      <c r="Q541" s="8">
        <f t="shared" si="81"/>
        <v>2.2727272727272729</v>
      </c>
      <c r="R541" s="8">
        <f t="shared" si="82"/>
        <v>36.666666666666671</v>
      </c>
      <c r="S541" s="8">
        <f t="shared" si="83"/>
        <v>38.939393939393945</v>
      </c>
      <c r="T541" s="17">
        <f t="shared" si="77"/>
        <v>38.821944576030319</v>
      </c>
      <c r="U541" s="19">
        <f t="shared" si="84"/>
        <v>13840.90404429181</v>
      </c>
      <c r="V541" s="29" t="s">
        <v>2983</v>
      </c>
    </row>
    <row r="542" spans="1:22" ht="15" customHeight="1" x14ac:dyDescent="0.25">
      <c r="A542" t="s">
        <v>295</v>
      </c>
      <c r="B542" t="s">
        <v>1988</v>
      </c>
      <c r="C542" t="s">
        <v>1078</v>
      </c>
      <c r="D542" t="s">
        <v>1084</v>
      </c>
      <c r="E542" t="s">
        <v>234</v>
      </c>
      <c r="F542" s="5">
        <v>171.9</v>
      </c>
      <c r="G542" t="s">
        <v>1082</v>
      </c>
      <c r="H542" s="3">
        <v>22</v>
      </c>
      <c r="I542" s="3">
        <v>34</v>
      </c>
      <c r="J542" s="3">
        <v>12</v>
      </c>
      <c r="K542" s="3">
        <v>13</v>
      </c>
      <c r="L542">
        <f t="shared" si="79"/>
        <v>8.9759999999999996E-3</v>
      </c>
      <c r="M542">
        <f t="shared" si="76"/>
        <v>2.6928000000000001</v>
      </c>
      <c r="N542" s="8">
        <v>300</v>
      </c>
      <c r="O542" s="14">
        <f t="shared" si="80"/>
        <v>51570</v>
      </c>
      <c r="P542" s="8">
        <v>22</v>
      </c>
      <c r="Q542" s="8">
        <f t="shared" si="81"/>
        <v>13.636363636363637</v>
      </c>
      <c r="R542" s="8">
        <f t="shared" si="82"/>
        <v>220</v>
      </c>
      <c r="S542" s="8">
        <f t="shared" si="83"/>
        <v>233.63636363636363</v>
      </c>
      <c r="T542" s="17">
        <f t="shared" si="77"/>
        <v>38.170594504973948</v>
      </c>
      <c r="U542" s="19">
        <f t="shared" si="84"/>
        <v>13879.074638796785</v>
      </c>
      <c r="V542" s="29" t="s">
        <v>2983</v>
      </c>
    </row>
    <row r="543" spans="1:22" ht="15" customHeight="1" x14ac:dyDescent="0.25">
      <c r="A543" t="s">
        <v>295</v>
      </c>
      <c r="B543" t="s">
        <v>296</v>
      </c>
      <c r="C543" t="s">
        <v>2042</v>
      </c>
      <c r="D543" t="s">
        <v>2043</v>
      </c>
      <c r="E543" t="s">
        <v>480</v>
      </c>
      <c r="F543" s="5">
        <v>211</v>
      </c>
      <c r="G543" t="s">
        <v>2044</v>
      </c>
      <c r="H543" s="3">
        <v>41</v>
      </c>
      <c r="I543" s="3">
        <v>53</v>
      </c>
      <c r="J543" s="3">
        <v>43</v>
      </c>
      <c r="K543" s="3">
        <v>9.4</v>
      </c>
      <c r="L543">
        <f t="shared" si="79"/>
        <v>9.3438999999999994E-2</v>
      </c>
      <c r="M543">
        <f t="shared" si="76"/>
        <v>22.425359999999998</v>
      </c>
      <c r="N543" s="8">
        <v>240</v>
      </c>
      <c r="O543" s="14">
        <f t="shared" si="80"/>
        <v>50640</v>
      </c>
      <c r="P543" s="8">
        <v>40</v>
      </c>
      <c r="Q543" s="8">
        <f t="shared" si="81"/>
        <v>6</v>
      </c>
      <c r="R543" s="8">
        <f t="shared" si="82"/>
        <v>320</v>
      </c>
      <c r="S543" s="8">
        <f t="shared" si="83"/>
        <v>326</v>
      </c>
      <c r="T543" s="17">
        <f t="shared" si="77"/>
        <v>37.482235907153012</v>
      </c>
      <c r="U543" s="19">
        <f t="shared" si="84"/>
        <v>13916.556874703938</v>
      </c>
      <c r="V543" s="29" t="s">
        <v>2983</v>
      </c>
    </row>
    <row r="544" spans="1:22" ht="15" customHeight="1" x14ac:dyDescent="0.25">
      <c r="A544" t="s">
        <v>295</v>
      </c>
      <c r="B544" t="s">
        <v>1988</v>
      </c>
      <c r="C544" t="s">
        <v>1020</v>
      </c>
      <c r="D544" t="s">
        <v>1021</v>
      </c>
      <c r="E544" t="s">
        <v>1770</v>
      </c>
      <c r="F544" s="5">
        <v>190.9</v>
      </c>
      <c r="G544" t="s">
        <v>1022</v>
      </c>
      <c r="H544" s="3">
        <v>35</v>
      </c>
      <c r="I544" s="3">
        <v>35</v>
      </c>
      <c r="J544" s="3">
        <v>15</v>
      </c>
      <c r="K544" s="3">
        <v>8</v>
      </c>
      <c r="L544">
        <f t="shared" si="79"/>
        <v>1.8374999999999999E-2</v>
      </c>
      <c r="M544">
        <f t="shared" si="76"/>
        <v>4.59375</v>
      </c>
      <c r="N544" s="8">
        <v>250</v>
      </c>
      <c r="O544" s="14">
        <f t="shared" si="80"/>
        <v>47725</v>
      </c>
      <c r="P544" s="8">
        <v>22</v>
      </c>
      <c r="Q544" s="8">
        <f t="shared" si="81"/>
        <v>11.363636363636363</v>
      </c>
      <c r="R544" s="8">
        <f t="shared" si="82"/>
        <v>183.33333333333334</v>
      </c>
      <c r="S544" s="8">
        <f t="shared" si="83"/>
        <v>194.69696969696972</v>
      </c>
      <c r="T544" s="17">
        <f t="shared" si="77"/>
        <v>35.324638796778778</v>
      </c>
      <c r="U544" s="19">
        <f t="shared" si="84"/>
        <v>13951.881513500717</v>
      </c>
      <c r="V544" s="29" t="s">
        <v>2983</v>
      </c>
    </row>
    <row r="545" spans="1:22" ht="15" customHeight="1" x14ac:dyDescent="0.25">
      <c r="A545" t="s">
        <v>295</v>
      </c>
      <c r="B545" t="s">
        <v>1988</v>
      </c>
      <c r="C545" t="s">
        <v>978</v>
      </c>
      <c r="D545" t="s">
        <v>991</v>
      </c>
      <c r="E545" t="s">
        <v>980</v>
      </c>
      <c r="F545" s="5">
        <v>899</v>
      </c>
      <c r="G545" t="s">
        <v>934</v>
      </c>
      <c r="H545" s="3">
        <v>40</v>
      </c>
      <c r="I545" s="3">
        <v>30</v>
      </c>
      <c r="J545" s="3">
        <v>10</v>
      </c>
      <c r="K545" s="3">
        <v>5</v>
      </c>
      <c r="L545">
        <f t="shared" si="79"/>
        <v>1.2E-2</v>
      </c>
      <c r="M545">
        <f t="shared" si="76"/>
        <v>0.6</v>
      </c>
      <c r="N545" s="8">
        <v>50</v>
      </c>
      <c r="O545" s="14">
        <f t="shared" si="80"/>
        <v>44950</v>
      </c>
      <c r="P545" s="8">
        <v>22</v>
      </c>
      <c r="Q545" s="8">
        <f t="shared" si="81"/>
        <v>2.2727272727272729</v>
      </c>
      <c r="R545" s="8">
        <f t="shared" si="82"/>
        <v>36.666666666666671</v>
      </c>
      <c r="S545" s="8">
        <f t="shared" si="83"/>
        <v>38.939393939393945</v>
      </c>
      <c r="T545" s="17">
        <f t="shared" si="77"/>
        <v>33.270665561345332</v>
      </c>
      <c r="U545" s="19">
        <f t="shared" si="84"/>
        <v>13985.152179062063</v>
      </c>
      <c r="V545" s="29" t="s">
        <v>2983</v>
      </c>
    </row>
    <row r="546" spans="1:22" ht="15" customHeight="1" x14ac:dyDescent="0.25">
      <c r="A546" t="s">
        <v>295</v>
      </c>
      <c r="B546" t="s">
        <v>1988</v>
      </c>
      <c r="C546" t="s">
        <v>1001</v>
      </c>
      <c r="D546" t="s">
        <v>1005</v>
      </c>
      <c r="E546" t="s">
        <v>1770</v>
      </c>
      <c r="F546" s="5">
        <v>899</v>
      </c>
      <c r="G546" t="s">
        <v>934</v>
      </c>
      <c r="H546" s="3">
        <v>25</v>
      </c>
      <c r="I546" s="3">
        <v>40</v>
      </c>
      <c r="J546" s="3">
        <v>30</v>
      </c>
      <c r="K546" s="3">
        <v>5</v>
      </c>
      <c r="L546">
        <f t="shared" si="79"/>
        <v>0.03</v>
      </c>
      <c r="M546">
        <f t="shared" si="76"/>
        <v>1.5</v>
      </c>
      <c r="N546" s="8">
        <v>50</v>
      </c>
      <c r="O546" s="14">
        <f t="shared" si="80"/>
        <v>44950</v>
      </c>
      <c r="P546" s="8">
        <v>22</v>
      </c>
      <c r="Q546" s="8">
        <f t="shared" si="81"/>
        <v>2.2727272727272729</v>
      </c>
      <c r="R546" s="8">
        <f t="shared" si="82"/>
        <v>36.666666666666671</v>
      </c>
      <c r="S546" s="8">
        <f t="shared" si="83"/>
        <v>38.939393939393945</v>
      </c>
      <c r="T546" s="17">
        <f t="shared" si="77"/>
        <v>33.270665561345332</v>
      </c>
      <c r="U546" s="19">
        <f t="shared" si="84"/>
        <v>14018.422844623408</v>
      </c>
      <c r="V546" s="29" t="s">
        <v>2983</v>
      </c>
    </row>
    <row r="547" spans="1:22" ht="15" customHeight="1" x14ac:dyDescent="0.25">
      <c r="A547" t="s">
        <v>295</v>
      </c>
      <c r="B547" t="s">
        <v>904</v>
      </c>
      <c r="C547" t="s">
        <v>2001</v>
      </c>
      <c r="D547" t="s">
        <v>928</v>
      </c>
      <c r="E547" t="s">
        <v>480</v>
      </c>
      <c r="F547" s="5">
        <v>134</v>
      </c>
      <c r="G547" t="s">
        <v>512</v>
      </c>
      <c r="H547" s="3">
        <v>60</v>
      </c>
      <c r="I547" s="3">
        <v>15</v>
      </c>
      <c r="J547" s="3">
        <v>15</v>
      </c>
      <c r="K547">
        <v>2.5</v>
      </c>
      <c r="L547">
        <f t="shared" si="79"/>
        <v>1.35E-2</v>
      </c>
      <c r="M547">
        <f t="shared" si="76"/>
        <v>4.32</v>
      </c>
      <c r="N547" s="8">
        <v>320</v>
      </c>
      <c r="O547" s="14">
        <f t="shared" si="80"/>
        <v>42880</v>
      </c>
      <c r="P547" s="8">
        <v>15</v>
      </c>
      <c r="Q547" s="8">
        <f t="shared" si="81"/>
        <v>21.333333333333332</v>
      </c>
      <c r="R547" s="8">
        <f t="shared" si="82"/>
        <v>160</v>
      </c>
      <c r="S547" s="8">
        <f t="shared" si="83"/>
        <v>181.33333333333334</v>
      </c>
      <c r="T547" s="17">
        <f t="shared" si="77"/>
        <v>31.738512553292278</v>
      </c>
      <c r="U547" s="19">
        <f t="shared" si="84"/>
        <v>14050.161357176701</v>
      </c>
      <c r="V547" s="29" t="s">
        <v>2983</v>
      </c>
    </row>
    <row r="548" spans="1:22" ht="15" customHeight="1" x14ac:dyDescent="0.25">
      <c r="A548" t="s">
        <v>295</v>
      </c>
      <c r="B548" t="s">
        <v>296</v>
      </c>
      <c r="C548" t="s">
        <v>2050</v>
      </c>
      <c r="D548" t="s">
        <v>1615</v>
      </c>
      <c r="E548" t="s">
        <v>480</v>
      </c>
      <c r="F548" s="5">
        <v>404.7</v>
      </c>
      <c r="G548" t="s">
        <v>965</v>
      </c>
      <c r="H548" s="3">
        <v>20</v>
      </c>
      <c r="I548" s="3">
        <v>49</v>
      </c>
      <c r="J548" s="3">
        <v>27</v>
      </c>
      <c r="K548" s="3">
        <v>26.5</v>
      </c>
      <c r="L548">
        <f t="shared" si="79"/>
        <v>2.6460000000000001E-2</v>
      </c>
      <c r="M548">
        <f t="shared" si="76"/>
        <v>2.6459999999999999</v>
      </c>
      <c r="N548" s="8">
        <v>100</v>
      </c>
      <c r="O548" s="14">
        <f t="shared" si="80"/>
        <v>40470</v>
      </c>
      <c r="P548" s="8">
        <v>40</v>
      </c>
      <c r="Q548" s="8">
        <f t="shared" si="81"/>
        <v>2.5</v>
      </c>
      <c r="R548" s="8">
        <f t="shared" si="82"/>
        <v>133.33333333333334</v>
      </c>
      <c r="S548" s="8">
        <f t="shared" si="83"/>
        <v>135.83333333333334</v>
      </c>
      <c r="T548" s="17">
        <f t="shared" si="77"/>
        <v>29.954701563240171</v>
      </c>
      <c r="U548" s="19">
        <f t="shared" si="84"/>
        <v>14080.116058739941</v>
      </c>
      <c r="V548" s="29" t="s">
        <v>2983</v>
      </c>
    </row>
    <row r="549" spans="1:22" ht="15" customHeight="1" x14ac:dyDescent="0.25">
      <c r="A549" t="s">
        <v>295</v>
      </c>
      <c r="B549" t="s">
        <v>1988</v>
      </c>
      <c r="C549" t="s">
        <v>992</v>
      </c>
      <c r="D549" t="s">
        <v>993</v>
      </c>
      <c r="E549" t="s">
        <v>1770</v>
      </c>
      <c r="F549" s="5">
        <v>369</v>
      </c>
      <c r="G549" t="s">
        <v>921</v>
      </c>
      <c r="H549" s="3">
        <v>90</v>
      </c>
      <c r="I549" s="3">
        <v>40</v>
      </c>
      <c r="J549" s="3">
        <v>25</v>
      </c>
      <c r="K549" s="3">
        <v>10</v>
      </c>
      <c r="L549">
        <f t="shared" si="79"/>
        <v>0.09</v>
      </c>
      <c r="M549">
        <f t="shared" si="76"/>
        <v>9</v>
      </c>
      <c r="N549" s="8">
        <v>100</v>
      </c>
      <c r="O549" s="14">
        <f t="shared" si="80"/>
        <v>36900</v>
      </c>
      <c r="P549" s="8">
        <v>22</v>
      </c>
      <c r="Q549" s="8">
        <f t="shared" si="81"/>
        <v>4.5454545454545459</v>
      </c>
      <c r="R549" s="8">
        <f t="shared" si="82"/>
        <v>73.333333333333343</v>
      </c>
      <c r="S549" s="8">
        <f t="shared" si="83"/>
        <v>77.87878787878789</v>
      </c>
      <c r="T549" s="17">
        <f t="shared" si="77"/>
        <v>27.312292752250119</v>
      </c>
      <c r="U549" s="19">
        <f t="shared" si="84"/>
        <v>14107.428351492192</v>
      </c>
      <c r="V549" s="29" t="s">
        <v>2983</v>
      </c>
    </row>
    <row r="550" spans="1:22" ht="15" customHeight="1" x14ac:dyDescent="0.25">
      <c r="A550" t="s">
        <v>295</v>
      </c>
      <c r="B550" t="s">
        <v>904</v>
      </c>
      <c r="C550" t="s">
        <v>1992</v>
      </c>
      <c r="D550" t="s">
        <v>908</v>
      </c>
      <c r="E550" t="s">
        <v>480</v>
      </c>
      <c r="F550" s="5">
        <v>100</v>
      </c>
      <c r="G550" t="s">
        <v>909</v>
      </c>
      <c r="H550" s="3">
        <v>90</v>
      </c>
      <c r="I550" s="3">
        <v>30</v>
      </c>
      <c r="J550" s="3">
        <v>25</v>
      </c>
      <c r="K550" s="3">
        <v>4</v>
      </c>
      <c r="L550">
        <f t="shared" si="79"/>
        <v>6.7500000000000004E-2</v>
      </c>
      <c r="M550">
        <f t="shared" si="76"/>
        <v>21.6</v>
      </c>
      <c r="N550" s="8">
        <v>320</v>
      </c>
      <c r="O550" s="14">
        <f t="shared" si="80"/>
        <v>32000</v>
      </c>
      <c r="P550" s="8">
        <v>15</v>
      </c>
      <c r="Q550" s="8">
        <f t="shared" si="81"/>
        <v>21.333333333333332</v>
      </c>
      <c r="R550" s="8">
        <f t="shared" si="82"/>
        <v>160</v>
      </c>
      <c r="S550" s="8">
        <f t="shared" si="83"/>
        <v>181.33333333333334</v>
      </c>
      <c r="T550" s="17">
        <f t="shared" si="77"/>
        <v>23.685457129322597</v>
      </c>
      <c r="U550" s="19">
        <f t="shared" si="84"/>
        <v>14131.113808621514</v>
      </c>
      <c r="V550" s="29" t="s">
        <v>2983</v>
      </c>
    </row>
    <row r="551" spans="1:22" ht="15" customHeight="1" x14ac:dyDescent="0.25">
      <c r="A551" t="s">
        <v>295</v>
      </c>
      <c r="B551" t="s">
        <v>904</v>
      </c>
      <c r="C551" t="s">
        <v>1999</v>
      </c>
      <c r="D551" t="s">
        <v>924</v>
      </c>
      <c r="E551" t="s">
        <v>480</v>
      </c>
      <c r="F551" s="5">
        <v>100</v>
      </c>
      <c r="G551" t="s">
        <v>909</v>
      </c>
      <c r="H551" s="3">
        <v>20</v>
      </c>
      <c r="I551" s="3">
        <v>113</v>
      </c>
      <c r="J551" s="3">
        <v>10</v>
      </c>
      <c r="K551" s="3">
        <v>4</v>
      </c>
      <c r="L551">
        <f t="shared" si="79"/>
        <v>2.2599999999999999E-2</v>
      </c>
      <c r="M551">
        <f t="shared" si="76"/>
        <v>7.2319999999999993</v>
      </c>
      <c r="N551" s="8">
        <v>320</v>
      </c>
      <c r="O551" s="14">
        <f t="shared" si="80"/>
        <v>32000</v>
      </c>
      <c r="P551" s="8">
        <v>15</v>
      </c>
      <c r="Q551" s="8">
        <f t="shared" si="81"/>
        <v>21.333333333333332</v>
      </c>
      <c r="R551" s="8">
        <f t="shared" si="82"/>
        <v>160</v>
      </c>
      <c r="S551" s="8">
        <f t="shared" si="83"/>
        <v>181.33333333333334</v>
      </c>
      <c r="T551" s="17">
        <f t="shared" si="77"/>
        <v>23.685457129322597</v>
      </c>
      <c r="U551" s="19">
        <f t="shared" si="84"/>
        <v>14154.799265750837</v>
      </c>
      <c r="V551" s="29" t="s">
        <v>2983</v>
      </c>
    </row>
    <row r="552" spans="1:22" ht="15" customHeight="1" x14ac:dyDescent="0.25">
      <c r="A552" t="s">
        <v>295</v>
      </c>
      <c r="B552" t="s">
        <v>296</v>
      </c>
      <c r="C552" t="s">
        <v>2026</v>
      </c>
      <c r="D552" t="s">
        <v>2027</v>
      </c>
      <c r="E552" t="s">
        <v>480</v>
      </c>
      <c r="F552" s="5">
        <v>319.89999999999998</v>
      </c>
      <c r="G552" t="s">
        <v>1022</v>
      </c>
      <c r="H552" s="3">
        <v>22</v>
      </c>
      <c r="I552" s="3">
        <v>50</v>
      </c>
      <c r="J552" s="3">
        <v>27</v>
      </c>
      <c r="K552" s="3">
        <v>29.7</v>
      </c>
      <c r="L552">
        <f t="shared" si="79"/>
        <v>2.9700000000000001E-2</v>
      </c>
      <c r="M552">
        <f t="shared" si="76"/>
        <v>2.97</v>
      </c>
      <c r="N552" s="8">
        <v>100</v>
      </c>
      <c r="O552" s="14">
        <f t="shared" si="80"/>
        <v>31989.999999999996</v>
      </c>
      <c r="P552" s="8">
        <v>40</v>
      </c>
      <c r="Q552" s="8">
        <f t="shared" si="81"/>
        <v>2.5</v>
      </c>
      <c r="R552" s="8">
        <f t="shared" si="82"/>
        <v>133.33333333333334</v>
      </c>
      <c r="S552" s="8">
        <f t="shared" si="83"/>
        <v>135.83333333333334</v>
      </c>
      <c r="T552" s="17">
        <f t="shared" si="77"/>
        <v>23.678055423969681</v>
      </c>
      <c r="U552" s="19">
        <f t="shared" si="84"/>
        <v>14178.477321174807</v>
      </c>
      <c r="V552" s="29" t="s">
        <v>2983</v>
      </c>
    </row>
    <row r="553" spans="1:22" ht="15" customHeight="1" x14ac:dyDescent="0.25">
      <c r="A553" t="s">
        <v>295</v>
      </c>
      <c r="B553" t="s">
        <v>1988</v>
      </c>
      <c r="C553" t="s">
        <v>1009</v>
      </c>
      <c r="D553" t="s">
        <v>1014</v>
      </c>
      <c r="E553" t="s">
        <v>1770</v>
      </c>
      <c r="F553" s="5">
        <v>587.9</v>
      </c>
      <c r="G553" t="s">
        <v>1015</v>
      </c>
      <c r="H553" s="3">
        <v>30</v>
      </c>
      <c r="I553" s="3">
        <v>45</v>
      </c>
      <c r="J553" s="3">
        <v>20</v>
      </c>
      <c r="K553" s="3">
        <v>6</v>
      </c>
      <c r="L553">
        <f t="shared" si="79"/>
        <v>2.7E-2</v>
      </c>
      <c r="M553">
        <f t="shared" si="76"/>
        <v>1.35</v>
      </c>
      <c r="N553" s="8">
        <v>50</v>
      </c>
      <c r="O553" s="14">
        <f t="shared" si="80"/>
        <v>29395</v>
      </c>
      <c r="P553" s="8">
        <v>22</v>
      </c>
      <c r="Q553" s="8">
        <f t="shared" si="81"/>
        <v>2.2727272727272729</v>
      </c>
      <c r="R553" s="8">
        <f t="shared" si="82"/>
        <v>36.666666666666671</v>
      </c>
      <c r="S553" s="8">
        <f t="shared" si="83"/>
        <v>38.939393939393945</v>
      </c>
      <c r="T553" s="17">
        <f t="shared" si="77"/>
        <v>21.75731288488868</v>
      </c>
      <c r="U553" s="19">
        <f t="shared" si="84"/>
        <v>14200.234634059696</v>
      </c>
      <c r="V553" s="29" t="s">
        <v>2983</v>
      </c>
    </row>
    <row r="554" spans="1:22" ht="15" customHeight="1" x14ac:dyDescent="0.25">
      <c r="A554" t="s">
        <v>295</v>
      </c>
      <c r="B554" t="s">
        <v>1988</v>
      </c>
      <c r="C554" t="s">
        <v>978</v>
      </c>
      <c r="D554" t="s">
        <v>988</v>
      </c>
      <c r="E554" t="s">
        <v>980</v>
      </c>
      <c r="F554" s="5">
        <v>579</v>
      </c>
      <c r="G554" t="s">
        <v>934</v>
      </c>
      <c r="H554" s="3">
        <v>40</v>
      </c>
      <c r="I554" s="3">
        <v>30</v>
      </c>
      <c r="J554" s="3">
        <v>10</v>
      </c>
      <c r="K554" s="3">
        <v>5</v>
      </c>
      <c r="L554">
        <f t="shared" si="79"/>
        <v>1.2E-2</v>
      </c>
      <c r="M554">
        <f t="shared" si="76"/>
        <v>0.6</v>
      </c>
      <c r="N554" s="8">
        <v>50</v>
      </c>
      <c r="O554" s="14">
        <f t="shared" si="80"/>
        <v>28950</v>
      </c>
      <c r="P554" s="8">
        <v>22</v>
      </c>
      <c r="Q554" s="8">
        <f t="shared" si="81"/>
        <v>2.2727272727272729</v>
      </c>
      <c r="R554" s="8">
        <f t="shared" si="82"/>
        <v>36.666666666666671</v>
      </c>
      <c r="S554" s="8">
        <f t="shared" si="83"/>
        <v>38.939393939393945</v>
      </c>
      <c r="T554" s="17">
        <f t="shared" si="77"/>
        <v>21.427936996684036</v>
      </c>
      <c r="U554" s="19">
        <f t="shared" si="84"/>
        <v>14221.66257105638</v>
      </c>
      <c r="V554" s="29" t="s">
        <v>2983</v>
      </c>
    </row>
    <row r="555" spans="1:22" ht="15" customHeight="1" x14ac:dyDescent="0.25">
      <c r="A555" t="s">
        <v>295</v>
      </c>
      <c r="B555" t="s">
        <v>904</v>
      </c>
      <c r="C555" t="s">
        <v>1999</v>
      </c>
      <c r="D555" t="s">
        <v>2000</v>
      </c>
      <c r="E555" t="s">
        <v>480</v>
      </c>
      <c r="F555" s="5">
        <v>85</v>
      </c>
      <c r="G555" t="s">
        <v>512</v>
      </c>
      <c r="H555" s="3">
        <v>20</v>
      </c>
      <c r="I555" s="3">
        <v>80</v>
      </c>
      <c r="J555" s="3">
        <v>15</v>
      </c>
      <c r="K555" s="3">
        <v>4</v>
      </c>
      <c r="L555">
        <f t="shared" si="79"/>
        <v>2.4E-2</v>
      </c>
      <c r="M555">
        <f t="shared" si="76"/>
        <v>7.68</v>
      </c>
      <c r="N555" s="8">
        <v>320</v>
      </c>
      <c r="O555" s="14">
        <f t="shared" si="80"/>
        <v>27200</v>
      </c>
      <c r="P555" s="8">
        <v>15</v>
      </c>
      <c r="Q555" s="8">
        <f t="shared" si="81"/>
        <v>21.333333333333332</v>
      </c>
      <c r="R555" s="8">
        <f t="shared" si="82"/>
        <v>160</v>
      </c>
      <c r="S555" s="8">
        <f t="shared" si="83"/>
        <v>181.33333333333334</v>
      </c>
      <c r="T555" s="17">
        <f t="shared" si="77"/>
        <v>20.132638559924207</v>
      </c>
      <c r="U555" s="19">
        <f t="shared" si="84"/>
        <v>14241.795209616304</v>
      </c>
      <c r="V555" s="29" t="s">
        <v>2983</v>
      </c>
    </row>
    <row r="556" spans="1:22" ht="15" customHeight="1" x14ac:dyDescent="0.25">
      <c r="A556" t="s">
        <v>295</v>
      </c>
      <c r="B556" t="s">
        <v>904</v>
      </c>
      <c r="C556" t="s">
        <v>1992</v>
      </c>
      <c r="D556" t="s">
        <v>905</v>
      </c>
      <c r="E556" t="s">
        <v>480</v>
      </c>
      <c r="F556" s="5">
        <v>80</v>
      </c>
      <c r="G556" t="s">
        <v>906</v>
      </c>
      <c r="H556" s="3">
        <v>90</v>
      </c>
      <c r="I556" s="3">
        <v>30</v>
      </c>
      <c r="J556" s="3">
        <v>30</v>
      </c>
      <c r="K556">
        <v>4.5</v>
      </c>
      <c r="L556">
        <f t="shared" si="79"/>
        <v>8.1000000000000003E-2</v>
      </c>
      <c r="M556">
        <f t="shared" si="76"/>
        <v>25.92</v>
      </c>
      <c r="N556" s="8">
        <v>320</v>
      </c>
      <c r="O556" s="14">
        <f t="shared" si="80"/>
        <v>25600</v>
      </c>
      <c r="P556" s="8">
        <v>15</v>
      </c>
      <c r="Q556" s="8">
        <f t="shared" si="81"/>
        <v>21.333333333333332</v>
      </c>
      <c r="R556" s="8">
        <f t="shared" si="82"/>
        <v>160</v>
      </c>
      <c r="S556" s="8">
        <f t="shared" si="83"/>
        <v>181.33333333333334</v>
      </c>
      <c r="T556" s="17">
        <f t="shared" si="77"/>
        <v>18.948365703458077</v>
      </c>
      <c r="U556" s="19">
        <f t="shared" si="84"/>
        <v>14260.743575319762</v>
      </c>
      <c r="V556" s="29" t="s">
        <v>2983</v>
      </c>
    </row>
    <row r="557" spans="1:22" ht="15" customHeight="1" x14ac:dyDescent="0.25">
      <c r="A557" t="s">
        <v>295</v>
      </c>
      <c r="B557" t="s">
        <v>904</v>
      </c>
      <c r="C557" t="s">
        <v>1998</v>
      </c>
      <c r="D557" t="s">
        <v>917</v>
      </c>
      <c r="E557" t="s">
        <v>480</v>
      </c>
      <c r="F557" s="5">
        <v>530</v>
      </c>
      <c r="G557" t="s">
        <v>903</v>
      </c>
      <c r="H557" s="3">
        <v>70</v>
      </c>
      <c r="I557" s="3">
        <v>30</v>
      </c>
      <c r="J557" s="3">
        <v>20</v>
      </c>
      <c r="K557" s="3">
        <v>11</v>
      </c>
      <c r="L557">
        <f t="shared" si="79"/>
        <v>4.2000000000000003E-2</v>
      </c>
      <c r="M557">
        <f t="shared" si="76"/>
        <v>2.016</v>
      </c>
      <c r="N557" s="8">
        <v>48</v>
      </c>
      <c r="O557" s="14">
        <f t="shared" si="80"/>
        <v>25440</v>
      </c>
      <c r="P557" s="8">
        <v>15</v>
      </c>
      <c r="Q557" s="8">
        <f t="shared" si="81"/>
        <v>3.2</v>
      </c>
      <c r="R557" s="8">
        <f t="shared" si="82"/>
        <v>24</v>
      </c>
      <c r="S557" s="8">
        <f t="shared" si="83"/>
        <v>27.2</v>
      </c>
      <c r="T557" s="17">
        <f t="shared" si="77"/>
        <v>18.829938417811466</v>
      </c>
      <c r="U557" s="19">
        <f t="shared" si="84"/>
        <v>14279.573513737574</v>
      </c>
      <c r="V557" s="29" t="s">
        <v>2983</v>
      </c>
    </row>
    <row r="558" spans="1:22" ht="15" customHeight="1" x14ac:dyDescent="0.25">
      <c r="A558" t="s">
        <v>295</v>
      </c>
      <c r="B558" t="s">
        <v>1988</v>
      </c>
      <c r="C558" t="s">
        <v>1001</v>
      </c>
      <c r="D558" t="s">
        <v>1004</v>
      </c>
      <c r="E558" t="s">
        <v>1770</v>
      </c>
      <c r="F558" s="5">
        <v>493.99</v>
      </c>
      <c r="G558" t="s">
        <v>934</v>
      </c>
      <c r="H558" s="3">
        <v>25</v>
      </c>
      <c r="I558" s="3">
        <v>40</v>
      </c>
      <c r="J558" s="3">
        <v>30</v>
      </c>
      <c r="K558" s="3">
        <v>5</v>
      </c>
      <c r="L558">
        <f t="shared" si="79"/>
        <v>0.03</v>
      </c>
      <c r="M558">
        <f t="shared" ref="M558:M621" si="85">L558*N558</f>
        <v>1.5</v>
      </c>
      <c r="N558" s="8">
        <v>50</v>
      </c>
      <c r="O558" s="14">
        <f t="shared" si="80"/>
        <v>24699.5</v>
      </c>
      <c r="P558" s="8">
        <v>22</v>
      </c>
      <c r="Q558" s="8">
        <f t="shared" si="81"/>
        <v>2.2727272727272729</v>
      </c>
      <c r="R558" s="8">
        <f t="shared" si="82"/>
        <v>36.666666666666671</v>
      </c>
      <c r="S558" s="8">
        <f t="shared" si="83"/>
        <v>38.939393939393945</v>
      </c>
      <c r="T558" s="17">
        <f t="shared" si="77"/>
        <v>18.281842136428235</v>
      </c>
      <c r="U558" s="19">
        <f t="shared" si="84"/>
        <v>14297.855355874002</v>
      </c>
      <c r="V558" s="29" t="s">
        <v>2983</v>
      </c>
    </row>
    <row r="559" spans="1:22" ht="15" customHeight="1" x14ac:dyDescent="0.25">
      <c r="A559" t="s">
        <v>295</v>
      </c>
      <c r="B559" t="s">
        <v>1988</v>
      </c>
      <c r="C559" t="s">
        <v>978</v>
      </c>
      <c r="D559" t="s">
        <v>984</v>
      </c>
      <c r="E559" t="s">
        <v>980</v>
      </c>
      <c r="F559" s="5">
        <v>489</v>
      </c>
      <c r="G559" t="s">
        <v>985</v>
      </c>
      <c r="H559" s="3">
        <v>40</v>
      </c>
      <c r="I559" s="3">
        <v>30</v>
      </c>
      <c r="J559" s="3">
        <v>10</v>
      </c>
      <c r="K559" s="3">
        <v>5</v>
      </c>
      <c r="L559">
        <f t="shared" si="79"/>
        <v>1.2E-2</v>
      </c>
      <c r="M559">
        <f t="shared" si="85"/>
        <v>0.6</v>
      </c>
      <c r="N559" s="8">
        <v>50</v>
      </c>
      <c r="O559" s="14">
        <f t="shared" si="80"/>
        <v>24450</v>
      </c>
      <c r="P559" s="8">
        <v>22</v>
      </c>
      <c r="Q559" s="8">
        <f t="shared" si="81"/>
        <v>2.2727272727272729</v>
      </c>
      <c r="R559" s="8">
        <f t="shared" si="82"/>
        <v>36.666666666666671</v>
      </c>
      <c r="S559" s="8">
        <f t="shared" si="83"/>
        <v>38.939393939393945</v>
      </c>
      <c r="T559" s="17">
        <f t="shared" si="77"/>
        <v>18.097169587873047</v>
      </c>
      <c r="U559" s="19">
        <f t="shared" si="84"/>
        <v>14315.952525461875</v>
      </c>
      <c r="V559" s="29" t="s">
        <v>2983</v>
      </c>
    </row>
    <row r="560" spans="1:22" ht="15" customHeight="1" x14ac:dyDescent="0.25">
      <c r="A560" t="s">
        <v>295</v>
      </c>
      <c r="B560" t="s">
        <v>1988</v>
      </c>
      <c r="C560" t="s">
        <v>2010</v>
      </c>
      <c r="D560" t="s">
        <v>534</v>
      </c>
      <c r="E560" t="s">
        <v>13</v>
      </c>
      <c r="F560" s="5">
        <v>95</v>
      </c>
      <c r="G560" t="s">
        <v>1034</v>
      </c>
      <c r="H560" s="3">
        <v>80</v>
      </c>
      <c r="I560" s="3">
        <v>98</v>
      </c>
      <c r="J560" s="3">
        <v>68</v>
      </c>
      <c r="K560" s="3">
        <v>8.5</v>
      </c>
      <c r="L560">
        <f t="shared" si="79"/>
        <v>0.53312000000000004</v>
      </c>
      <c r="M560">
        <f t="shared" si="85"/>
        <v>133.28</v>
      </c>
      <c r="N560" s="8">
        <v>250</v>
      </c>
      <c r="O560" s="14">
        <f t="shared" si="80"/>
        <v>23750</v>
      </c>
      <c r="P560" s="8">
        <v>22</v>
      </c>
      <c r="Q560" s="8">
        <f t="shared" si="81"/>
        <v>11.363636363636363</v>
      </c>
      <c r="R560" s="8">
        <f t="shared" si="82"/>
        <v>183.33333333333334</v>
      </c>
      <c r="S560" s="8">
        <f t="shared" si="83"/>
        <v>194.69696969696972</v>
      </c>
      <c r="T560" s="17">
        <f t="shared" si="77"/>
        <v>17.579050213169115</v>
      </c>
      <c r="U560" s="19">
        <f t="shared" si="84"/>
        <v>14333.531575675044</v>
      </c>
      <c r="V560" s="29" t="s">
        <v>2983</v>
      </c>
    </row>
    <row r="561" spans="1:22" ht="15" customHeight="1" x14ac:dyDescent="0.25">
      <c r="A561" t="s">
        <v>295</v>
      </c>
      <c r="B561" t="s">
        <v>1988</v>
      </c>
      <c r="C561" t="s">
        <v>1063</v>
      </c>
      <c r="D561" t="s">
        <v>1066</v>
      </c>
      <c r="E561" t="s">
        <v>234</v>
      </c>
      <c r="F561" s="5">
        <v>469</v>
      </c>
      <c r="G561" t="s">
        <v>985</v>
      </c>
      <c r="H561" s="3">
        <v>12.8</v>
      </c>
      <c r="I561" s="3">
        <v>26.6</v>
      </c>
      <c r="J561" s="3">
        <v>10.3</v>
      </c>
      <c r="K561" s="3">
        <v>4.9000000000000004</v>
      </c>
      <c r="L561">
        <f t="shared" si="79"/>
        <v>3.5069440000000006E-3</v>
      </c>
      <c r="M561">
        <f t="shared" si="85"/>
        <v>0.17534720000000004</v>
      </c>
      <c r="N561" s="8">
        <v>50</v>
      </c>
      <c r="O561" s="14">
        <f t="shared" si="80"/>
        <v>23450</v>
      </c>
      <c r="P561" s="8">
        <v>22</v>
      </c>
      <c r="Q561" s="8">
        <f t="shared" si="81"/>
        <v>2.2727272727272729</v>
      </c>
      <c r="R561" s="8">
        <f t="shared" si="82"/>
        <v>36.666666666666671</v>
      </c>
      <c r="S561" s="8">
        <f t="shared" si="83"/>
        <v>38.939393939393945</v>
      </c>
      <c r="T561" s="17">
        <f t="shared" si="77"/>
        <v>17.356999052581717</v>
      </c>
      <c r="U561" s="19">
        <f t="shared" si="84"/>
        <v>14350.888574727625</v>
      </c>
      <c r="V561" s="29" t="s">
        <v>2983</v>
      </c>
    </row>
    <row r="562" spans="1:22" ht="15" customHeight="1" x14ac:dyDescent="0.25">
      <c r="A562" t="s">
        <v>295</v>
      </c>
      <c r="B562" t="s">
        <v>1988</v>
      </c>
      <c r="C562" t="s">
        <v>1063</v>
      </c>
      <c r="D562" t="s">
        <v>1068</v>
      </c>
      <c r="E562" t="s">
        <v>234</v>
      </c>
      <c r="F562" s="5">
        <v>439.9</v>
      </c>
      <c r="G562" t="s">
        <v>990</v>
      </c>
      <c r="H562" s="3">
        <v>30</v>
      </c>
      <c r="I562" s="3">
        <v>40</v>
      </c>
      <c r="J562" s="3">
        <v>15</v>
      </c>
      <c r="K562" s="3">
        <v>5.7</v>
      </c>
      <c r="L562">
        <f t="shared" si="79"/>
        <v>1.7999999999999999E-2</v>
      </c>
      <c r="M562">
        <f t="shared" si="85"/>
        <v>0.89999999999999991</v>
      </c>
      <c r="N562" s="8">
        <v>50</v>
      </c>
      <c r="O562" s="14">
        <f t="shared" si="80"/>
        <v>21995</v>
      </c>
      <c r="P562" s="8">
        <v>22</v>
      </c>
      <c r="Q562" s="8">
        <f t="shared" si="81"/>
        <v>2.2727272727272729</v>
      </c>
      <c r="R562" s="8">
        <f t="shared" si="82"/>
        <v>36.666666666666671</v>
      </c>
      <c r="S562" s="8">
        <f t="shared" si="83"/>
        <v>38.939393939393945</v>
      </c>
      <c r="T562" s="17">
        <f t="shared" si="77"/>
        <v>16.28005092373283</v>
      </c>
      <c r="U562" s="19">
        <f t="shared" si="84"/>
        <v>14367.168625651359</v>
      </c>
      <c r="V562" s="29" t="s">
        <v>2983</v>
      </c>
    </row>
    <row r="563" spans="1:22" ht="15" customHeight="1" x14ac:dyDescent="0.25">
      <c r="A563" t="s">
        <v>295</v>
      </c>
      <c r="B563" t="s">
        <v>1988</v>
      </c>
      <c r="C563" t="s">
        <v>1039</v>
      </c>
      <c r="D563" t="s">
        <v>1040</v>
      </c>
      <c r="E563" t="s">
        <v>13</v>
      </c>
      <c r="F563" s="5">
        <v>419</v>
      </c>
      <c r="G563" t="s">
        <v>1015</v>
      </c>
      <c r="H563" s="3">
        <v>20</v>
      </c>
      <c r="I563" s="3">
        <v>36</v>
      </c>
      <c r="J563" s="3">
        <v>38</v>
      </c>
      <c r="K563" s="3">
        <v>3.2</v>
      </c>
      <c r="L563">
        <f t="shared" si="79"/>
        <v>2.7359999999999999E-2</v>
      </c>
      <c r="M563">
        <f t="shared" si="85"/>
        <v>1.3679999999999999</v>
      </c>
      <c r="N563" s="8">
        <v>50</v>
      </c>
      <c r="O563" s="14">
        <f t="shared" si="80"/>
        <v>20950</v>
      </c>
      <c r="P563" s="8">
        <v>22</v>
      </c>
      <c r="Q563" s="8">
        <f t="shared" si="81"/>
        <v>2.2727272727272729</v>
      </c>
      <c r="R563" s="8">
        <f t="shared" si="82"/>
        <v>36.666666666666671</v>
      </c>
      <c r="S563" s="8">
        <f t="shared" si="83"/>
        <v>38.939393939393945</v>
      </c>
      <c r="T563" s="17">
        <f t="shared" si="77"/>
        <v>15.506572714353387</v>
      </c>
      <c r="U563" s="19">
        <f t="shared" si="84"/>
        <v>14382.675198365712</v>
      </c>
      <c r="V563" s="29" t="s">
        <v>2983</v>
      </c>
    </row>
    <row r="564" spans="1:22" ht="15" customHeight="1" x14ac:dyDescent="0.25">
      <c r="A564" t="s">
        <v>295</v>
      </c>
      <c r="B564" t="s">
        <v>1988</v>
      </c>
      <c r="C564" t="s">
        <v>978</v>
      </c>
      <c r="D564" t="s">
        <v>979</v>
      </c>
      <c r="E564" t="s">
        <v>980</v>
      </c>
      <c r="F564" s="5">
        <v>399</v>
      </c>
      <c r="G564" t="s">
        <v>934</v>
      </c>
      <c r="H564" s="3">
        <v>40</v>
      </c>
      <c r="I564" s="3">
        <v>30</v>
      </c>
      <c r="J564" s="3">
        <v>10</v>
      </c>
      <c r="K564" s="3">
        <v>5</v>
      </c>
      <c r="L564">
        <f t="shared" si="79"/>
        <v>1.2E-2</v>
      </c>
      <c r="M564">
        <f t="shared" si="85"/>
        <v>0.6</v>
      </c>
      <c r="N564" s="8">
        <v>50</v>
      </c>
      <c r="O564" s="14">
        <f t="shared" si="80"/>
        <v>19950</v>
      </c>
      <c r="P564" s="8">
        <v>22</v>
      </c>
      <c r="Q564" s="8">
        <f t="shared" si="81"/>
        <v>2.2727272727272729</v>
      </c>
      <c r="R564" s="8">
        <f t="shared" si="82"/>
        <v>36.666666666666671</v>
      </c>
      <c r="S564" s="8">
        <f t="shared" si="83"/>
        <v>38.939393939393945</v>
      </c>
      <c r="T564" s="17">
        <f t="shared" si="77"/>
        <v>14.766402179062057</v>
      </c>
      <c r="U564" s="19">
        <f t="shared" si="84"/>
        <v>14397.441600544775</v>
      </c>
      <c r="V564" s="29" t="s">
        <v>2983</v>
      </c>
    </row>
    <row r="565" spans="1:22" ht="15" customHeight="1" x14ac:dyDescent="0.25">
      <c r="A565" t="s">
        <v>295</v>
      </c>
      <c r="B565" t="s">
        <v>1988</v>
      </c>
      <c r="C565" t="s">
        <v>1001</v>
      </c>
      <c r="D565" t="s">
        <v>1006</v>
      </c>
      <c r="E565" t="s">
        <v>1770</v>
      </c>
      <c r="F565" s="5">
        <v>389</v>
      </c>
      <c r="G565" t="s">
        <v>1007</v>
      </c>
      <c r="H565" s="3">
        <v>25</v>
      </c>
      <c r="I565" s="3">
        <v>40</v>
      </c>
      <c r="J565" s="3">
        <v>30</v>
      </c>
      <c r="K565" s="3">
        <v>5</v>
      </c>
      <c r="L565">
        <f t="shared" si="79"/>
        <v>0.03</v>
      </c>
      <c r="M565">
        <f t="shared" si="85"/>
        <v>1.5</v>
      </c>
      <c r="N565" s="8">
        <v>50</v>
      </c>
      <c r="O565" s="14">
        <f t="shared" si="80"/>
        <v>19450</v>
      </c>
      <c r="P565" s="8">
        <v>22</v>
      </c>
      <c r="Q565" s="8">
        <f t="shared" si="81"/>
        <v>2.2727272727272729</v>
      </c>
      <c r="R565" s="8">
        <f t="shared" si="82"/>
        <v>36.666666666666671</v>
      </c>
      <c r="S565" s="8">
        <f t="shared" si="83"/>
        <v>38.939393939393945</v>
      </c>
      <c r="T565" s="17">
        <f t="shared" ref="T565:T628" si="86">O565/O$1749</f>
        <v>14.39631691141639</v>
      </c>
      <c r="U565" s="19">
        <f t="shared" si="84"/>
        <v>14411.837917456191</v>
      </c>
      <c r="V565" s="29" t="s">
        <v>2983</v>
      </c>
    </row>
    <row r="566" spans="1:22" ht="15" customHeight="1" x14ac:dyDescent="0.25">
      <c r="A566" t="s">
        <v>295</v>
      </c>
      <c r="B566" t="s">
        <v>1988</v>
      </c>
      <c r="C566" t="s">
        <v>1009</v>
      </c>
      <c r="D566" t="s">
        <v>1013</v>
      </c>
      <c r="E566" t="s">
        <v>1770</v>
      </c>
      <c r="F566" s="5">
        <v>379.9</v>
      </c>
      <c r="G566" t="s">
        <v>1011</v>
      </c>
      <c r="H566" s="3">
        <v>30</v>
      </c>
      <c r="I566" s="3">
        <v>45</v>
      </c>
      <c r="J566" s="3">
        <v>20</v>
      </c>
      <c r="K566" s="3">
        <v>6</v>
      </c>
      <c r="L566">
        <f t="shared" si="79"/>
        <v>2.7E-2</v>
      </c>
      <c r="M566">
        <f t="shared" si="85"/>
        <v>1.35</v>
      </c>
      <c r="N566" s="8">
        <v>50</v>
      </c>
      <c r="O566" s="14">
        <f t="shared" si="80"/>
        <v>18995</v>
      </c>
      <c r="P566" s="8">
        <v>22</v>
      </c>
      <c r="Q566" s="8">
        <f t="shared" si="81"/>
        <v>2.2727272727272729</v>
      </c>
      <c r="R566" s="8">
        <f t="shared" si="82"/>
        <v>36.666666666666671</v>
      </c>
      <c r="S566" s="8">
        <f t="shared" si="83"/>
        <v>38.939393939393945</v>
      </c>
      <c r="T566" s="17">
        <f t="shared" si="86"/>
        <v>14.059539317858835</v>
      </c>
      <c r="U566" s="19">
        <f t="shared" si="84"/>
        <v>14425.89745677405</v>
      </c>
      <c r="V566" s="29" t="s">
        <v>2983</v>
      </c>
    </row>
    <row r="567" spans="1:22" ht="15" customHeight="1" x14ac:dyDescent="0.25">
      <c r="A567" t="s">
        <v>295</v>
      </c>
      <c r="B567" t="s">
        <v>1988</v>
      </c>
      <c r="C567" t="s">
        <v>978</v>
      </c>
      <c r="D567" t="s">
        <v>981</v>
      </c>
      <c r="E567" t="s">
        <v>980</v>
      </c>
      <c r="F567" s="5">
        <v>368</v>
      </c>
      <c r="G567" t="s">
        <v>921</v>
      </c>
      <c r="H567" s="3">
        <v>40</v>
      </c>
      <c r="I567" s="3">
        <v>30</v>
      </c>
      <c r="J567" s="3">
        <v>10</v>
      </c>
      <c r="K567" s="3">
        <v>5</v>
      </c>
      <c r="L567">
        <f t="shared" si="79"/>
        <v>1.2E-2</v>
      </c>
      <c r="M567">
        <f t="shared" si="85"/>
        <v>0.6</v>
      </c>
      <c r="N567" s="8">
        <v>50</v>
      </c>
      <c r="O567" s="14">
        <f t="shared" si="80"/>
        <v>18400</v>
      </c>
      <c r="P567" s="8">
        <v>22</v>
      </c>
      <c r="Q567" s="8">
        <f t="shared" si="81"/>
        <v>2.2727272727272729</v>
      </c>
      <c r="R567" s="8">
        <f t="shared" si="82"/>
        <v>36.666666666666671</v>
      </c>
      <c r="S567" s="8">
        <f t="shared" si="83"/>
        <v>38.939393939393945</v>
      </c>
      <c r="T567" s="17">
        <f t="shared" si="86"/>
        <v>13.619137849360493</v>
      </c>
      <c r="U567" s="19">
        <f t="shared" si="84"/>
        <v>14439.51659462341</v>
      </c>
      <c r="V567" s="29" t="s">
        <v>2983</v>
      </c>
    </row>
    <row r="568" spans="1:22" ht="15" customHeight="1" x14ac:dyDescent="0.25">
      <c r="A568" t="s">
        <v>295</v>
      </c>
      <c r="B568" t="s">
        <v>1988</v>
      </c>
      <c r="C568" t="s">
        <v>1001</v>
      </c>
      <c r="D568" t="s">
        <v>1008</v>
      </c>
      <c r="E568" t="s">
        <v>1770</v>
      </c>
      <c r="F568" s="5">
        <v>350.9</v>
      </c>
      <c r="G568" t="s">
        <v>921</v>
      </c>
      <c r="H568" s="3">
        <v>25</v>
      </c>
      <c r="I568" s="3">
        <v>40</v>
      </c>
      <c r="J568" s="3">
        <v>30</v>
      </c>
      <c r="K568" s="3">
        <v>5</v>
      </c>
      <c r="L568">
        <f t="shared" si="79"/>
        <v>0.03</v>
      </c>
      <c r="M568">
        <f t="shared" si="85"/>
        <v>1.5</v>
      </c>
      <c r="N568" s="8">
        <v>50</v>
      </c>
      <c r="O568" s="14">
        <f t="shared" si="80"/>
        <v>17545</v>
      </c>
      <c r="P568" s="8">
        <v>22</v>
      </c>
      <c r="Q568" s="8">
        <f t="shared" si="81"/>
        <v>2.2727272727272729</v>
      </c>
      <c r="R568" s="8">
        <f t="shared" si="82"/>
        <v>36.666666666666671</v>
      </c>
      <c r="S568" s="8">
        <f t="shared" si="83"/>
        <v>38.939393939393945</v>
      </c>
      <c r="T568" s="17">
        <f t="shared" si="86"/>
        <v>12.986292041686404</v>
      </c>
      <c r="U568" s="19">
        <f t="shared" si="84"/>
        <v>14452.502886665097</v>
      </c>
      <c r="V568" s="29" t="s">
        <v>2983</v>
      </c>
    </row>
    <row r="569" spans="1:22" ht="15" customHeight="1" x14ac:dyDescent="0.25">
      <c r="A569" t="s">
        <v>295</v>
      </c>
      <c r="B569" t="s">
        <v>936</v>
      </c>
      <c r="C569" t="s">
        <v>2058</v>
      </c>
      <c r="D569" t="s">
        <v>2061</v>
      </c>
      <c r="E569" t="s">
        <v>480</v>
      </c>
      <c r="F569" s="5">
        <v>575</v>
      </c>
      <c r="G569" t="s">
        <v>943</v>
      </c>
      <c r="H569" s="3">
        <v>60</v>
      </c>
      <c r="I569" s="3">
        <v>40</v>
      </c>
      <c r="J569" s="3">
        <v>45</v>
      </c>
      <c r="K569" s="3">
        <v>11</v>
      </c>
      <c r="L569">
        <f t="shared" si="79"/>
        <v>0.108</v>
      </c>
      <c r="M569">
        <f t="shared" si="85"/>
        <v>3.1320000000000001</v>
      </c>
      <c r="N569" s="8">
        <v>29</v>
      </c>
      <c r="O569" s="14">
        <f t="shared" si="80"/>
        <v>16675</v>
      </c>
      <c r="P569" s="8">
        <v>40</v>
      </c>
      <c r="Q569" s="8">
        <f t="shared" si="81"/>
        <v>0.72499999999999998</v>
      </c>
      <c r="R569" s="8">
        <f t="shared" si="82"/>
        <v>38.666666666666664</v>
      </c>
      <c r="S569" s="8">
        <f t="shared" si="83"/>
        <v>39.391666666666666</v>
      </c>
      <c r="T569" s="17">
        <f t="shared" si="86"/>
        <v>12.342343675982947</v>
      </c>
      <c r="U569" s="19">
        <f t="shared" ref="U569:U600" si="87">U568+T569</f>
        <v>14464.84523034108</v>
      </c>
      <c r="V569" s="29" t="s">
        <v>2983</v>
      </c>
    </row>
    <row r="570" spans="1:22" ht="15" customHeight="1" x14ac:dyDescent="0.25">
      <c r="A570" t="s">
        <v>295</v>
      </c>
      <c r="B570" t="s">
        <v>1988</v>
      </c>
      <c r="C570" t="s">
        <v>978</v>
      </c>
      <c r="D570" t="s">
        <v>982</v>
      </c>
      <c r="E570" t="s">
        <v>980</v>
      </c>
      <c r="F570" s="5">
        <v>329</v>
      </c>
      <c r="G570" t="s">
        <v>983</v>
      </c>
      <c r="H570" s="3">
        <v>40</v>
      </c>
      <c r="I570" s="3">
        <v>30</v>
      </c>
      <c r="J570" s="3">
        <v>10</v>
      </c>
      <c r="K570" s="3">
        <v>5</v>
      </c>
      <c r="L570">
        <f t="shared" si="79"/>
        <v>1.2E-2</v>
      </c>
      <c r="M570">
        <f t="shared" si="85"/>
        <v>0.6</v>
      </c>
      <c r="N570" s="8">
        <v>50</v>
      </c>
      <c r="O570" s="14">
        <f t="shared" si="80"/>
        <v>16450</v>
      </c>
      <c r="P570" s="8">
        <v>22</v>
      </c>
      <c r="Q570" s="8">
        <f t="shared" si="81"/>
        <v>2.2727272727272729</v>
      </c>
      <c r="R570" s="8">
        <f t="shared" si="82"/>
        <v>36.666666666666671</v>
      </c>
      <c r="S570" s="8">
        <f t="shared" si="83"/>
        <v>38.939393939393945</v>
      </c>
      <c r="T570" s="17">
        <f t="shared" si="86"/>
        <v>12.175805305542397</v>
      </c>
      <c r="U570" s="19">
        <f t="shared" si="87"/>
        <v>14477.021035646621</v>
      </c>
      <c r="V570" s="29" t="s">
        <v>2983</v>
      </c>
    </row>
    <row r="571" spans="1:22" ht="15" customHeight="1" x14ac:dyDescent="0.25">
      <c r="A571" t="s">
        <v>295</v>
      </c>
      <c r="B571" t="s">
        <v>904</v>
      </c>
      <c r="C571" t="s">
        <v>1993</v>
      </c>
      <c r="D571" t="s">
        <v>1995</v>
      </c>
      <c r="E571" t="s">
        <v>234</v>
      </c>
      <c r="F571" s="5">
        <v>400</v>
      </c>
      <c r="G571" t="s">
        <v>909</v>
      </c>
      <c r="H571" s="3">
        <v>5</v>
      </c>
      <c r="I571" s="3">
        <v>15</v>
      </c>
      <c r="J571" s="3">
        <v>15</v>
      </c>
      <c r="K571" s="3">
        <v>1</v>
      </c>
      <c r="L571">
        <f t="shared" si="79"/>
        <v>1.1249999999999999E-3</v>
      </c>
      <c r="M571">
        <f t="shared" si="85"/>
        <v>4.4999999999999998E-2</v>
      </c>
      <c r="N571" s="8">
        <v>40</v>
      </c>
      <c r="O571" s="14">
        <f t="shared" si="80"/>
        <v>16000</v>
      </c>
      <c r="P571" s="8">
        <v>15</v>
      </c>
      <c r="Q571" s="8">
        <f t="shared" si="81"/>
        <v>2.6666666666666665</v>
      </c>
      <c r="R571" s="8">
        <f t="shared" si="82"/>
        <v>20</v>
      </c>
      <c r="S571" s="8">
        <f t="shared" si="83"/>
        <v>22.666666666666668</v>
      </c>
      <c r="T571" s="17">
        <f t="shared" si="86"/>
        <v>11.842728564661298</v>
      </c>
      <c r="U571" s="19">
        <f t="shared" si="87"/>
        <v>14488.863764211283</v>
      </c>
      <c r="V571" s="29" t="s">
        <v>2983</v>
      </c>
    </row>
    <row r="572" spans="1:22" ht="15" customHeight="1" x14ac:dyDescent="0.25">
      <c r="A572" t="s">
        <v>295</v>
      </c>
      <c r="B572" t="s">
        <v>1988</v>
      </c>
      <c r="C572" t="s">
        <v>1063</v>
      </c>
      <c r="D572" t="s">
        <v>1067</v>
      </c>
      <c r="E572" t="s">
        <v>234</v>
      </c>
      <c r="F572" s="5">
        <v>450</v>
      </c>
      <c r="G572" t="s">
        <v>985</v>
      </c>
      <c r="H572" s="3">
        <v>11.5</v>
      </c>
      <c r="I572" s="3">
        <v>30</v>
      </c>
      <c r="J572" s="3">
        <v>13</v>
      </c>
      <c r="K572" s="3">
        <v>2</v>
      </c>
      <c r="L572">
        <f t="shared" si="79"/>
        <v>4.4850000000000003E-3</v>
      </c>
      <c r="M572">
        <f t="shared" si="85"/>
        <v>0.156975</v>
      </c>
      <c r="N572" s="8">
        <v>35</v>
      </c>
      <c r="O572" s="14">
        <f t="shared" si="80"/>
        <v>15750</v>
      </c>
      <c r="P572" s="8">
        <v>22</v>
      </c>
      <c r="Q572" s="8">
        <f t="shared" si="81"/>
        <v>1.5909090909090908</v>
      </c>
      <c r="R572" s="8">
        <f t="shared" si="82"/>
        <v>25.666666666666668</v>
      </c>
      <c r="S572" s="8">
        <f t="shared" si="83"/>
        <v>27.257575757575758</v>
      </c>
      <c r="T572" s="17">
        <f t="shared" si="86"/>
        <v>11.657685930838465</v>
      </c>
      <c r="U572" s="19">
        <f t="shared" si="87"/>
        <v>14500.521450142121</v>
      </c>
      <c r="V572" s="29" t="s">
        <v>2983</v>
      </c>
    </row>
    <row r="573" spans="1:22" ht="15" customHeight="1" x14ac:dyDescent="0.25">
      <c r="A573" t="s">
        <v>295</v>
      </c>
      <c r="B573" t="s">
        <v>936</v>
      </c>
      <c r="C573" t="s">
        <v>2058</v>
      </c>
      <c r="D573" t="s">
        <v>2062</v>
      </c>
      <c r="E573" t="s">
        <v>480</v>
      </c>
      <c r="F573" s="5">
        <v>530</v>
      </c>
      <c r="G573" t="s">
        <v>944</v>
      </c>
      <c r="H573" s="3">
        <v>60</v>
      </c>
      <c r="I573" s="3">
        <v>40</v>
      </c>
      <c r="J573" s="3">
        <v>45</v>
      </c>
      <c r="K573" s="3">
        <v>12</v>
      </c>
      <c r="L573">
        <f t="shared" si="79"/>
        <v>0.108</v>
      </c>
      <c r="M573">
        <f t="shared" si="85"/>
        <v>3.1320000000000001</v>
      </c>
      <c r="N573" s="8">
        <v>29</v>
      </c>
      <c r="O573" s="14">
        <f t="shared" si="80"/>
        <v>15370</v>
      </c>
      <c r="P573" s="8">
        <v>40</v>
      </c>
      <c r="Q573" s="8">
        <f t="shared" si="81"/>
        <v>0.72499999999999998</v>
      </c>
      <c r="R573" s="8">
        <f t="shared" si="82"/>
        <v>38.666666666666664</v>
      </c>
      <c r="S573" s="8">
        <f t="shared" si="83"/>
        <v>39.391666666666666</v>
      </c>
      <c r="T573" s="17">
        <f t="shared" si="86"/>
        <v>11.37642112742776</v>
      </c>
      <c r="U573" s="19">
        <f t="shared" si="87"/>
        <v>14511.89787126955</v>
      </c>
      <c r="V573" s="29" t="s">
        <v>2983</v>
      </c>
    </row>
    <row r="574" spans="1:22" ht="15" customHeight="1" x14ac:dyDescent="0.25">
      <c r="A574" t="s">
        <v>295</v>
      </c>
      <c r="B574" t="s">
        <v>936</v>
      </c>
      <c r="C574" t="s">
        <v>2058</v>
      </c>
      <c r="D574" t="s">
        <v>2060</v>
      </c>
      <c r="E574" t="s">
        <v>480</v>
      </c>
      <c r="F574" s="5">
        <v>500</v>
      </c>
      <c r="G574" t="s">
        <v>942</v>
      </c>
      <c r="H574" s="3">
        <v>40</v>
      </c>
      <c r="I574" s="3">
        <v>20</v>
      </c>
      <c r="J574" s="3">
        <v>30</v>
      </c>
      <c r="K574" s="3">
        <v>9</v>
      </c>
      <c r="L574">
        <f t="shared" si="79"/>
        <v>2.4E-2</v>
      </c>
      <c r="M574">
        <f t="shared" si="85"/>
        <v>0.69600000000000006</v>
      </c>
      <c r="N574" s="8">
        <v>29</v>
      </c>
      <c r="O574" s="14">
        <f t="shared" si="80"/>
        <v>14500</v>
      </c>
      <c r="P574" s="8">
        <v>40</v>
      </c>
      <c r="Q574" s="8">
        <f t="shared" si="81"/>
        <v>0.72499999999999998</v>
      </c>
      <c r="R574" s="8">
        <f t="shared" si="82"/>
        <v>38.666666666666664</v>
      </c>
      <c r="S574" s="8">
        <f t="shared" si="83"/>
        <v>39.391666666666666</v>
      </c>
      <c r="T574" s="17">
        <f t="shared" si="86"/>
        <v>10.732472761724301</v>
      </c>
      <c r="U574" s="19">
        <f t="shared" si="87"/>
        <v>14522.630344031275</v>
      </c>
      <c r="V574" s="29" t="s">
        <v>2983</v>
      </c>
    </row>
    <row r="575" spans="1:22" ht="15" customHeight="1" x14ac:dyDescent="0.25">
      <c r="A575" t="s">
        <v>295</v>
      </c>
      <c r="B575" t="s">
        <v>904</v>
      </c>
      <c r="C575" t="s">
        <v>1993</v>
      </c>
      <c r="D575" t="s">
        <v>1997</v>
      </c>
      <c r="E575" t="s">
        <v>234</v>
      </c>
      <c r="F575" s="5">
        <v>350</v>
      </c>
      <c r="G575" t="s">
        <v>914</v>
      </c>
      <c r="H575" s="3">
        <v>5</v>
      </c>
      <c r="I575" s="3">
        <v>15</v>
      </c>
      <c r="J575" s="3">
        <v>15</v>
      </c>
      <c r="K575" s="3">
        <v>1</v>
      </c>
      <c r="L575">
        <f t="shared" si="79"/>
        <v>1.1249999999999999E-3</v>
      </c>
      <c r="M575">
        <f t="shared" si="85"/>
        <v>4.4999999999999998E-2</v>
      </c>
      <c r="N575" s="8">
        <v>40</v>
      </c>
      <c r="O575" s="14">
        <f t="shared" si="80"/>
        <v>14000</v>
      </c>
      <c r="P575" s="8">
        <v>15</v>
      </c>
      <c r="Q575" s="8">
        <f t="shared" si="81"/>
        <v>2.6666666666666665</v>
      </c>
      <c r="R575" s="8">
        <f t="shared" si="82"/>
        <v>20</v>
      </c>
      <c r="S575" s="8">
        <f t="shared" si="83"/>
        <v>22.666666666666668</v>
      </c>
      <c r="T575" s="17">
        <f t="shared" si="86"/>
        <v>10.362387494078636</v>
      </c>
      <c r="U575" s="19">
        <f t="shared" si="87"/>
        <v>14532.992731525354</v>
      </c>
      <c r="V575" s="29" t="s">
        <v>2983</v>
      </c>
    </row>
    <row r="576" spans="1:22" ht="15" customHeight="1" x14ac:dyDescent="0.25">
      <c r="A576" t="s">
        <v>295</v>
      </c>
      <c r="B576" t="s">
        <v>1988</v>
      </c>
      <c r="C576" t="s">
        <v>1039</v>
      </c>
      <c r="D576" t="s">
        <v>1044</v>
      </c>
      <c r="E576" t="s">
        <v>13</v>
      </c>
      <c r="F576" s="5">
        <v>398</v>
      </c>
      <c r="G576" t="s">
        <v>1038</v>
      </c>
      <c r="H576" s="3">
        <v>30</v>
      </c>
      <c r="I576" s="3">
        <v>32</v>
      </c>
      <c r="J576" s="3">
        <v>20</v>
      </c>
      <c r="K576" s="3">
        <v>2.4</v>
      </c>
      <c r="L576">
        <f t="shared" si="79"/>
        <v>1.9199999999999998E-2</v>
      </c>
      <c r="M576">
        <f t="shared" si="85"/>
        <v>0.67199999999999993</v>
      </c>
      <c r="N576" s="8">
        <v>35</v>
      </c>
      <c r="O576" s="14">
        <f t="shared" si="80"/>
        <v>13930</v>
      </c>
      <c r="P576" s="8">
        <v>22</v>
      </c>
      <c r="Q576" s="8">
        <f t="shared" si="81"/>
        <v>1.5909090909090908</v>
      </c>
      <c r="R576" s="8">
        <f t="shared" si="82"/>
        <v>25.666666666666668</v>
      </c>
      <c r="S576" s="8">
        <f t="shared" si="83"/>
        <v>27.257575757575758</v>
      </c>
      <c r="T576" s="17">
        <f t="shared" si="86"/>
        <v>10.310575556608242</v>
      </c>
      <c r="U576" s="19">
        <f t="shared" si="87"/>
        <v>14543.303307081962</v>
      </c>
      <c r="V576" s="29" t="s">
        <v>2983</v>
      </c>
    </row>
    <row r="577" spans="1:22" ht="15" customHeight="1" x14ac:dyDescent="0.25">
      <c r="A577" t="s">
        <v>295</v>
      </c>
      <c r="B577" t="s">
        <v>936</v>
      </c>
      <c r="C577" t="s">
        <v>2058</v>
      </c>
      <c r="D577" t="s">
        <v>2059</v>
      </c>
      <c r="E577" t="s">
        <v>480</v>
      </c>
      <c r="F577" s="5">
        <v>450</v>
      </c>
      <c r="G577" t="s">
        <v>942</v>
      </c>
      <c r="H577" s="3">
        <v>40</v>
      </c>
      <c r="I577" s="3">
        <v>20</v>
      </c>
      <c r="J577" s="3">
        <v>30</v>
      </c>
      <c r="K577" s="3">
        <v>10</v>
      </c>
      <c r="L577">
        <f t="shared" si="79"/>
        <v>2.4E-2</v>
      </c>
      <c r="M577">
        <f t="shared" si="85"/>
        <v>0.69600000000000006</v>
      </c>
      <c r="N577" s="8">
        <v>29</v>
      </c>
      <c r="O577" s="14">
        <f t="shared" si="80"/>
        <v>13050</v>
      </c>
      <c r="P577" s="8">
        <v>40</v>
      </c>
      <c r="Q577" s="8">
        <f t="shared" si="81"/>
        <v>0.72499999999999998</v>
      </c>
      <c r="R577" s="8">
        <f t="shared" si="82"/>
        <v>38.666666666666664</v>
      </c>
      <c r="S577" s="8">
        <f t="shared" si="83"/>
        <v>39.391666666666666</v>
      </c>
      <c r="T577" s="17">
        <f t="shared" si="86"/>
        <v>9.6592254855518718</v>
      </c>
      <c r="U577" s="19">
        <f t="shared" si="87"/>
        <v>14552.962532567513</v>
      </c>
      <c r="V577" s="29" t="s">
        <v>2983</v>
      </c>
    </row>
    <row r="578" spans="1:22" ht="15" customHeight="1" x14ac:dyDescent="0.25">
      <c r="A578" t="s">
        <v>295</v>
      </c>
      <c r="B578" t="s">
        <v>1988</v>
      </c>
      <c r="C578" t="s">
        <v>1063</v>
      </c>
      <c r="D578" t="s">
        <v>1064</v>
      </c>
      <c r="E578" t="s">
        <v>234</v>
      </c>
      <c r="F578" s="5">
        <v>255.4</v>
      </c>
      <c r="G578" t="s">
        <v>1015</v>
      </c>
      <c r="H578" s="3">
        <v>12.5</v>
      </c>
      <c r="I578" s="3">
        <v>35.5</v>
      </c>
      <c r="J578" s="3">
        <v>9.1999999999999993</v>
      </c>
      <c r="K578" s="3">
        <v>2.7</v>
      </c>
      <c r="L578">
        <f t="shared" ref="L578:L641" si="88">J578*I578*H578/1000000</f>
        <v>4.0824999999999993E-3</v>
      </c>
      <c r="M578">
        <f t="shared" si="85"/>
        <v>0.20412499999999997</v>
      </c>
      <c r="N578" s="8">
        <v>50</v>
      </c>
      <c r="O578" s="14">
        <f t="shared" ref="O578:O641" si="89">N578*F578</f>
        <v>12770</v>
      </c>
      <c r="P578" s="8">
        <v>22</v>
      </c>
      <c r="Q578" s="8">
        <f t="shared" ref="Q578:Q641" si="90">N578/P578</f>
        <v>2.2727272727272729</v>
      </c>
      <c r="R578" s="8">
        <f t="shared" ref="R578:R644" si="91">(N578/30)*P578</f>
        <v>36.666666666666671</v>
      </c>
      <c r="S578" s="8">
        <f t="shared" ref="S578:S641" si="92">Q578+R578</f>
        <v>38.939393939393945</v>
      </c>
      <c r="T578" s="17">
        <f t="shared" si="86"/>
        <v>9.4519777356702992</v>
      </c>
      <c r="U578" s="19">
        <f t="shared" si="87"/>
        <v>14562.414510303184</v>
      </c>
      <c r="V578" s="29" t="s">
        <v>2983</v>
      </c>
    </row>
    <row r="579" spans="1:22" ht="15" customHeight="1" x14ac:dyDescent="0.25">
      <c r="A579" t="s">
        <v>295</v>
      </c>
      <c r="B579" t="s">
        <v>1988</v>
      </c>
      <c r="C579" t="s">
        <v>1009</v>
      </c>
      <c r="D579" t="s">
        <v>1017</v>
      </c>
      <c r="E579" t="s">
        <v>1770</v>
      </c>
      <c r="F579" s="5">
        <v>249.9</v>
      </c>
      <c r="G579" t="s">
        <v>1011</v>
      </c>
      <c r="H579" s="3">
        <v>30</v>
      </c>
      <c r="I579" s="3">
        <v>45</v>
      </c>
      <c r="J579" s="3">
        <v>20</v>
      </c>
      <c r="K579" s="3">
        <v>6</v>
      </c>
      <c r="L579">
        <f t="shared" si="88"/>
        <v>2.7E-2</v>
      </c>
      <c r="M579">
        <f t="shared" si="85"/>
        <v>1.35</v>
      </c>
      <c r="N579" s="8">
        <v>50</v>
      </c>
      <c r="O579" s="14">
        <f t="shared" si="89"/>
        <v>12495</v>
      </c>
      <c r="P579" s="8">
        <v>22</v>
      </c>
      <c r="Q579" s="8">
        <f t="shared" si="90"/>
        <v>2.2727272727272729</v>
      </c>
      <c r="R579" s="8">
        <f t="shared" si="91"/>
        <v>36.666666666666671</v>
      </c>
      <c r="S579" s="8">
        <f t="shared" si="92"/>
        <v>38.939393939393945</v>
      </c>
      <c r="T579" s="17">
        <f t="shared" si="86"/>
        <v>9.2484308384651825</v>
      </c>
      <c r="U579" s="19">
        <f t="shared" si="87"/>
        <v>14571.662941141649</v>
      </c>
      <c r="V579" s="29" t="s">
        <v>2983</v>
      </c>
    </row>
    <row r="580" spans="1:22" ht="15" customHeight="1" x14ac:dyDescent="0.25">
      <c r="A580" t="s">
        <v>295</v>
      </c>
      <c r="B580" t="s">
        <v>904</v>
      </c>
      <c r="C580" t="s">
        <v>1993</v>
      </c>
      <c r="D580" t="s">
        <v>1994</v>
      </c>
      <c r="E580" t="s">
        <v>234</v>
      </c>
      <c r="F580" s="5">
        <v>300</v>
      </c>
      <c r="G580" t="s">
        <v>909</v>
      </c>
      <c r="H580" s="3">
        <v>5</v>
      </c>
      <c r="I580" s="3">
        <v>15</v>
      </c>
      <c r="J580" s="3">
        <v>15</v>
      </c>
      <c r="K580" s="3">
        <v>1</v>
      </c>
      <c r="L580">
        <f t="shared" si="88"/>
        <v>1.1249999999999999E-3</v>
      </c>
      <c r="M580">
        <f t="shared" si="85"/>
        <v>4.4999999999999998E-2</v>
      </c>
      <c r="N580" s="8">
        <v>40</v>
      </c>
      <c r="O580" s="14">
        <f t="shared" si="89"/>
        <v>12000</v>
      </c>
      <c r="P580" s="8">
        <v>15</v>
      </c>
      <c r="Q580" s="8">
        <f t="shared" si="90"/>
        <v>2.6666666666666665</v>
      </c>
      <c r="R580" s="8">
        <f t="shared" si="91"/>
        <v>20</v>
      </c>
      <c r="S580" s="8">
        <f t="shared" si="92"/>
        <v>22.666666666666668</v>
      </c>
      <c r="T580" s="17">
        <f t="shared" si="86"/>
        <v>8.8820464234959733</v>
      </c>
      <c r="U580" s="19">
        <f t="shared" si="87"/>
        <v>14580.544987565145</v>
      </c>
      <c r="V580" s="29" t="s">
        <v>2983</v>
      </c>
    </row>
    <row r="581" spans="1:22" ht="15" customHeight="1" x14ac:dyDescent="0.25">
      <c r="A581" t="s">
        <v>295</v>
      </c>
      <c r="B581" t="s">
        <v>936</v>
      </c>
      <c r="C581" t="s">
        <v>2051</v>
      </c>
      <c r="D581" t="s">
        <v>2052</v>
      </c>
      <c r="E581" t="s">
        <v>480</v>
      </c>
      <c r="F581" s="5">
        <v>400</v>
      </c>
      <c r="G581" t="s">
        <v>880</v>
      </c>
      <c r="H581" s="3">
        <v>30</v>
      </c>
      <c r="I581" s="3">
        <v>50</v>
      </c>
      <c r="J581" s="3">
        <v>40</v>
      </c>
      <c r="K581" s="3">
        <v>21</v>
      </c>
      <c r="L581">
        <f t="shared" si="88"/>
        <v>0.06</v>
      </c>
      <c r="M581">
        <f t="shared" si="85"/>
        <v>1.7999999999999998</v>
      </c>
      <c r="N581" s="8">
        <v>30</v>
      </c>
      <c r="O581" s="14">
        <f t="shared" si="89"/>
        <v>12000</v>
      </c>
      <c r="P581" s="8">
        <v>40</v>
      </c>
      <c r="Q581" s="8">
        <f t="shared" si="90"/>
        <v>0.75</v>
      </c>
      <c r="R581" s="8">
        <f t="shared" si="91"/>
        <v>40</v>
      </c>
      <c r="S581" s="8">
        <f t="shared" si="92"/>
        <v>40.75</v>
      </c>
      <c r="T581" s="17">
        <f t="shared" si="86"/>
        <v>8.8820464234959733</v>
      </c>
      <c r="U581" s="19">
        <f t="shared" si="87"/>
        <v>14589.427033988641</v>
      </c>
      <c r="V581" s="29" t="s">
        <v>2983</v>
      </c>
    </row>
    <row r="582" spans="1:22" ht="15" customHeight="1" x14ac:dyDescent="0.25">
      <c r="A582" t="s">
        <v>295</v>
      </c>
      <c r="B582" t="s">
        <v>936</v>
      </c>
      <c r="C582" t="s">
        <v>2051</v>
      </c>
      <c r="D582" t="s">
        <v>937</v>
      </c>
      <c r="E582" t="s">
        <v>480</v>
      </c>
      <c r="F582" s="5">
        <v>400</v>
      </c>
      <c r="G582" t="s">
        <v>938</v>
      </c>
      <c r="H582" s="3">
        <v>30</v>
      </c>
      <c r="I582" s="3">
        <v>50</v>
      </c>
      <c r="J582" s="3">
        <v>40</v>
      </c>
      <c r="K582" s="3">
        <v>19</v>
      </c>
      <c r="L582">
        <f t="shared" si="88"/>
        <v>0.06</v>
      </c>
      <c r="M582">
        <f t="shared" si="85"/>
        <v>1.7999999999999998</v>
      </c>
      <c r="N582" s="8">
        <v>30</v>
      </c>
      <c r="O582" s="14">
        <f t="shared" si="89"/>
        <v>12000</v>
      </c>
      <c r="P582" s="8">
        <v>40</v>
      </c>
      <c r="Q582" s="8">
        <f t="shared" si="90"/>
        <v>0.75</v>
      </c>
      <c r="R582" s="8">
        <f t="shared" si="91"/>
        <v>40</v>
      </c>
      <c r="S582" s="8">
        <f t="shared" si="92"/>
        <v>40.75</v>
      </c>
      <c r="T582" s="17">
        <f t="shared" si="86"/>
        <v>8.8820464234959733</v>
      </c>
      <c r="U582" s="19">
        <f t="shared" si="87"/>
        <v>14598.309080412137</v>
      </c>
      <c r="V582" s="29" t="s">
        <v>2983</v>
      </c>
    </row>
    <row r="583" spans="1:22" ht="15" customHeight="1" x14ac:dyDescent="0.25">
      <c r="A583" t="s">
        <v>295</v>
      </c>
      <c r="B583" t="s">
        <v>904</v>
      </c>
      <c r="C583" t="s">
        <v>1999</v>
      </c>
      <c r="D583" t="s">
        <v>925</v>
      </c>
      <c r="E583" t="s">
        <v>480</v>
      </c>
      <c r="F583" s="5">
        <v>90</v>
      </c>
      <c r="G583" t="s">
        <v>911</v>
      </c>
      <c r="H583" s="3">
        <v>20</v>
      </c>
      <c r="I583" s="3">
        <v>80</v>
      </c>
      <c r="J583" s="3">
        <v>15</v>
      </c>
      <c r="K583">
        <v>6.4</v>
      </c>
      <c r="L583">
        <f t="shared" si="88"/>
        <v>2.4E-2</v>
      </c>
      <c r="M583">
        <f t="shared" si="85"/>
        <v>3.12</v>
      </c>
      <c r="N583" s="8">
        <v>130</v>
      </c>
      <c r="O583" s="14">
        <f t="shared" si="89"/>
        <v>11700</v>
      </c>
      <c r="P583" s="8">
        <v>15</v>
      </c>
      <c r="Q583" s="8">
        <f t="shared" si="90"/>
        <v>8.6666666666666661</v>
      </c>
      <c r="R583" s="8">
        <f t="shared" si="91"/>
        <v>65</v>
      </c>
      <c r="S583" s="8">
        <f t="shared" si="92"/>
        <v>73.666666666666671</v>
      </c>
      <c r="T583" s="17">
        <f t="shared" si="86"/>
        <v>8.6599952629085752</v>
      </c>
      <c r="U583" s="19">
        <f t="shared" si="87"/>
        <v>14606.969075675046</v>
      </c>
      <c r="V583" s="29" t="s">
        <v>2983</v>
      </c>
    </row>
    <row r="584" spans="1:22" ht="15" customHeight="1" x14ac:dyDescent="0.25">
      <c r="A584" t="s">
        <v>295</v>
      </c>
      <c r="B584" t="s">
        <v>1988</v>
      </c>
      <c r="C584" t="s">
        <v>2011</v>
      </c>
      <c r="D584" t="s">
        <v>555</v>
      </c>
      <c r="E584" t="s">
        <v>234</v>
      </c>
      <c r="F584" s="5">
        <v>317.89999999999998</v>
      </c>
      <c r="G584" t="s">
        <v>1015</v>
      </c>
      <c r="H584" s="3">
        <v>26</v>
      </c>
      <c r="I584" s="3">
        <v>27</v>
      </c>
      <c r="J584" s="3">
        <v>9</v>
      </c>
      <c r="K584" s="3">
        <v>1.6</v>
      </c>
      <c r="L584">
        <f t="shared" si="88"/>
        <v>6.3179999999999998E-3</v>
      </c>
      <c r="M584">
        <f t="shared" si="85"/>
        <v>0.22112999999999999</v>
      </c>
      <c r="N584" s="8">
        <v>35</v>
      </c>
      <c r="O584" s="14">
        <f t="shared" si="89"/>
        <v>11126.5</v>
      </c>
      <c r="P584" s="8">
        <v>22</v>
      </c>
      <c r="Q584" s="8">
        <f t="shared" si="90"/>
        <v>1.5909090909090908</v>
      </c>
      <c r="R584" s="8">
        <f t="shared" si="91"/>
        <v>25.666666666666668</v>
      </c>
      <c r="S584" s="8">
        <f t="shared" si="92"/>
        <v>27.257575757575758</v>
      </c>
      <c r="T584" s="17">
        <f t="shared" si="86"/>
        <v>8.2355074609189955</v>
      </c>
      <c r="U584" s="19">
        <f t="shared" si="87"/>
        <v>14615.204583135965</v>
      </c>
      <c r="V584" s="29" t="s">
        <v>2983</v>
      </c>
    </row>
    <row r="585" spans="1:22" ht="15" customHeight="1" x14ac:dyDescent="0.25">
      <c r="A585" t="s">
        <v>295</v>
      </c>
      <c r="B585" t="s">
        <v>1988</v>
      </c>
      <c r="C585" t="s">
        <v>1039</v>
      </c>
      <c r="D585" t="s">
        <v>1043</v>
      </c>
      <c r="E585" t="s">
        <v>13</v>
      </c>
      <c r="F585" s="5">
        <v>309.89999999999998</v>
      </c>
      <c r="G585" t="s">
        <v>934</v>
      </c>
      <c r="H585" s="3">
        <v>29</v>
      </c>
      <c r="I585" s="3">
        <v>30</v>
      </c>
      <c r="J585" s="3">
        <v>18</v>
      </c>
      <c r="K585" s="3">
        <v>1.5</v>
      </c>
      <c r="L585">
        <f t="shared" si="88"/>
        <v>1.566E-2</v>
      </c>
      <c r="M585">
        <f t="shared" si="85"/>
        <v>0.54810000000000003</v>
      </c>
      <c r="N585" s="8">
        <v>35</v>
      </c>
      <c r="O585" s="14">
        <f t="shared" si="89"/>
        <v>10846.5</v>
      </c>
      <c r="P585" s="8">
        <v>22</v>
      </c>
      <c r="Q585" s="8">
        <f t="shared" si="90"/>
        <v>1.5909090909090908</v>
      </c>
      <c r="R585" s="8">
        <f t="shared" si="91"/>
        <v>25.666666666666668</v>
      </c>
      <c r="S585" s="8">
        <f t="shared" si="92"/>
        <v>27.257575757575758</v>
      </c>
      <c r="T585" s="17">
        <f t="shared" si="86"/>
        <v>8.028259711037423</v>
      </c>
      <c r="U585" s="19">
        <f t="shared" si="87"/>
        <v>14623.232842847003</v>
      </c>
      <c r="V585" s="29" t="s">
        <v>2983</v>
      </c>
    </row>
    <row r="586" spans="1:22" ht="15" customHeight="1" x14ac:dyDescent="0.25">
      <c r="A586" t="s">
        <v>295</v>
      </c>
      <c r="B586" t="s">
        <v>936</v>
      </c>
      <c r="C586" t="s">
        <v>2051</v>
      </c>
      <c r="D586" t="s">
        <v>2053</v>
      </c>
      <c r="E586" t="s">
        <v>480</v>
      </c>
      <c r="F586" s="5">
        <v>350</v>
      </c>
      <c r="G586" t="s">
        <v>938</v>
      </c>
      <c r="H586" s="3">
        <v>30</v>
      </c>
      <c r="I586" s="3">
        <v>50</v>
      </c>
      <c r="J586" s="3">
        <v>40</v>
      </c>
      <c r="K586" s="3">
        <v>20</v>
      </c>
      <c r="L586">
        <f t="shared" si="88"/>
        <v>0.06</v>
      </c>
      <c r="M586">
        <f t="shared" si="85"/>
        <v>1.7999999999999998</v>
      </c>
      <c r="N586" s="8">
        <v>30</v>
      </c>
      <c r="O586" s="14">
        <f t="shared" si="89"/>
        <v>10500</v>
      </c>
      <c r="P586" s="8">
        <v>40</v>
      </c>
      <c r="Q586" s="8">
        <f t="shared" si="90"/>
        <v>0.75</v>
      </c>
      <c r="R586" s="8">
        <f t="shared" si="91"/>
        <v>40</v>
      </c>
      <c r="S586" s="8">
        <f t="shared" si="92"/>
        <v>40.75</v>
      </c>
      <c r="T586" s="17">
        <f t="shared" si="86"/>
        <v>7.7717906205589768</v>
      </c>
      <c r="U586" s="19">
        <f t="shared" si="87"/>
        <v>14631.004633467563</v>
      </c>
      <c r="V586" s="29" t="s">
        <v>2983</v>
      </c>
    </row>
    <row r="587" spans="1:22" ht="15" customHeight="1" x14ac:dyDescent="0.25">
      <c r="A587" t="s">
        <v>295</v>
      </c>
      <c r="B587" t="s">
        <v>1988</v>
      </c>
      <c r="C587" t="s">
        <v>2011</v>
      </c>
      <c r="D587" t="s">
        <v>551</v>
      </c>
      <c r="E587" t="s">
        <v>234</v>
      </c>
      <c r="F587" s="5">
        <v>289.89999999999998</v>
      </c>
      <c r="G587" t="s">
        <v>934</v>
      </c>
      <c r="H587" s="3">
        <v>183</v>
      </c>
      <c r="I587" s="3">
        <v>157</v>
      </c>
      <c r="J587" s="3">
        <v>53</v>
      </c>
      <c r="K587" s="3">
        <v>1.8</v>
      </c>
      <c r="L587">
        <f t="shared" si="88"/>
        <v>1.522743</v>
      </c>
      <c r="M587">
        <f t="shared" si="85"/>
        <v>53.296005000000001</v>
      </c>
      <c r="N587" s="8">
        <v>35</v>
      </c>
      <c r="O587" s="14">
        <f t="shared" si="89"/>
        <v>10146.5</v>
      </c>
      <c r="P587" s="8">
        <v>22</v>
      </c>
      <c r="Q587" s="8">
        <f t="shared" si="90"/>
        <v>1.5909090909090908</v>
      </c>
      <c r="R587" s="8">
        <f t="shared" si="91"/>
        <v>25.666666666666668</v>
      </c>
      <c r="S587" s="8">
        <f t="shared" si="92"/>
        <v>27.257575757575758</v>
      </c>
      <c r="T587" s="17">
        <f t="shared" si="86"/>
        <v>7.5101403363334915</v>
      </c>
      <c r="U587" s="19">
        <f t="shared" si="87"/>
        <v>14638.514773803896</v>
      </c>
      <c r="V587" s="29" t="s">
        <v>2983</v>
      </c>
    </row>
    <row r="588" spans="1:22" ht="15" customHeight="1" x14ac:dyDescent="0.25">
      <c r="A588" t="s">
        <v>295</v>
      </c>
      <c r="B588" t="s">
        <v>904</v>
      </c>
      <c r="C588" t="s">
        <v>1998</v>
      </c>
      <c r="D588" t="s">
        <v>915</v>
      </c>
      <c r="E588" t="s">
        <v>480</v>
      </c>
      <c r="F588" s="5">
        <v>250</v>
      </c>
      <c r="G588" t="s">
        <v>916</v>
      </c>
      <c r="H588" s="3">
        <v>65</v>
      </c>
      <c r="I588" s="3">
        <v>35</v>
      </c>
      <c r="J588" s="3">
        <v>20</v>
      </c>
      <c r="K588" s="3">
        <v>13</v>
      </c>
      <c r="L588">
        <f t="shared" si="88"/>
        <v>4.5499999999999999E-2</v>
      </c>
      <c r="M588">
        <f t="shared" si="85"/>
        <v>1.8199999999999998</v>
      </c>
      <c r="N588" s="8">
        <v>40</v>
      </c>
      <c r="O588" s="14">
        <f t="shared" si="89"/>
        <v>10000</v>
      </c>
      <c r="P588" s="8">
        <v>15</v>
      </c>
      <c r="Q588" s="8">
        <f t="shared" si="90"/>
        <v>2.6666666666666665</v>
      </c>
      <c r="R588" s="8">
        <f t="shared" si="91"/>
        <v>20</v>
      </c>
      <c r="S588" s="8">
        <f t="shared" si="92"/>
        <v>22.666666666666668</v>
      </c>
      <c r="T588" s="17">
        <f t="shared" si="86"/>
        <v>7.4017053529133117</v>
      </c>
      <c r="U588" s="19">
        <f t="shared" si="87"/>
        <v>14645.916479156809</v>
      </c>
      <c r="V588" s="29" t="s">
        <v>2983</v>
      </c>
    </row>
    <row r="589" spans="1:22" ht="15" customHeight="1" x14ac:dyDescent="0.25">
      <c r="A589" t="s">
        <v>295</v>
      </c>
      <c r="B589" t="s">
        <v>904</v>
      </c>
      <c r="C589" t="s">
        <v>2001</v>
      </c>
      <c r="D589" t="s">
        <v>2002</v>
      </c>
      <c r="E589" t="s">
        <v>480</v>
      </c>
      <c r="F589" s="5">
        <v>250</v>
      </c>
      <c r="G589" t="s">
        <v>919</v>
      </c>
      <c r="H589" s="3">
        <v>60</v>
      </c>
      <c r="I589" s="3">
        <v>15</v>
      </c>
      <c r="J589" s="3">
        <v>15</v>
      </c>
      <c r="K589">
        <v>2.14</v>
      </c>
      <c r="L589">
        <f t="shared" si="88"/>
        <v>1.35E-2</v>
      </c>
      <c r="M589">
        <f t="shared" si="85"/>
        <v>0.54</v>
      </c>
      <c r="N589" s="8">
        <v>40</v>
      </c>
      <c r="O589" s="14">
        <f t="shared" si="89"/>
        <v>10000</v>
      </c>
      <c r="P589" s="8">
        <v>15</v>
      </c>
      <c r="Q589" s="8">
        <f t="shared" si="90"/>
        <v>2.6666666666666665</v>
      </c>
      <c r="R589" s="8">
        <f t="shared" si="91"/>
        <v>20</v>
      </c>
      <c r="S589" s="8">
        <f t="shared" si="92"/>
        <v>22.666666666666668</v>
      </c>
      <c r="T589" s="17">
        <f t="shared" si="86"/>
        <v>7.4017053529133117</v>
      </c>
      <c r="U589" s="19">
        <f t="shared" si="87"/>
        <v>14653.318184509722</v>
      </c>
      <c r="V589" s="29" t="s">
        <v>2983</v>
      </c>
    </row>
    <row r="590" spans="1:22" ht="15" customHeight="1" x14ac:dyDescent="0.25">
      <c r="A590" t="s">
        <v>295</v>
      </c>
      <c r="B590" t="s">
        <v>904</v>
      </c>
      <c r="C590" t="s">
        <v>1993</v>
      </c>
      <c r="D590" t="s">
        <v>1996</v>
      </c>
      <c r="E590" t="s">
        <v>234</v>
      </c>
      <c r="F590" s="5">
        <v>250</v>
      </c>
      <c r="G590" t="s">
        <v>913</v>
      </c>
      <c r="H590" s="3">
        <v>5</v>
      </c>
      <c r="I590" s="3">
        <v>15</v>
      </c>
      <c r="J590" s="3">
        <v>15</v>
      </c>
      <c r="K590" s="3">
        <v>1</v>
      </c>
      <c r="L590">
        <f t="shared" si="88"/>
        <v>1.1249999999999999E-3</v>
      </c>
      <c r="M590">
        <f t="shared" si="85"/>
        <v>4.4999999999999998E-2</v>
      </c>
      <c r="N590" s="8">
        <v>40</v>
      </c>
      <c r="O590" s="14">
        <f t="shared" si="89"/>
        <v>10000</v>
      </c>
      <c r="P590" s="8">
        <v>15</v>
      </c>
      <c r="Q590" s="8">
        <f t="shared" si="90"/>
        <v>2.6666666666666665</v>
      </c>
      <c r="R590" s="8">
        <f t="shared" si="91"/>
        <v>20</v>
      </c>
      <c r="S590" s="8">
        <f t="shared" si="92"/>
        <v>22.666666666666668</v>
      </c>
      <c r="T590" s="17">
        <f t="shared" si="86"/>
        <v>7.4017053529133117</v>
      </c>
      <c r="U590" s="19">
        <f t="shared" si="87"/>
        <v>14660.719889862636</v>
      </c>
      <c r="V590" s="29" t="s">
        <v>2983</v>
      </c>
    </row>
    <row r="591" spans="1:22" ht="15" customHeight="1" x14ac:dyDescent="0.25">
      <c r="A591" t="s">
        <v>295</v>
      </c>
      <c r="B591" t="s">
        <v>1988</v>
      </c>
      <c r="C591" t="s">
        <v>2011</v>
      </c>
      <c r="D591" t="s">
        <v>769</v>
      </c>
      <c r="E591" t="s">
        <v>234</v>
      </c>
      <c r="F591" s="5">
        <v>271.89999999999998</v>
      </c>
      <c r="G591" t="s">
        <v>985</v>
      </c>
      <c r="H591" s="3">
        <v>26</v>
      </c>
      <c r="I591" s="3">
        <v>40</v>
      </c>
      <c r="J591" s="3">
        <v>21</v>
      </c>
      <c r="K591" s="3">
        <v>1.6</v>
      </c>
      <c r="L591">
        <f t="shared" si="88"/>
        <v>2.1839999999999998E-2</v>
      </c>
      <c r="M591">
        <f t="shared" si="85"/>
        <v>0.76439999999999997</v>
      </c>
      <c r="N591" s="8">
        <v>35</v>
      </c>
      <c r="O591" s="14">
        <f t="shared" si="89"/>
        <v>9516.5</v>
      </c>
      <c r="P591" s="8">
        <v>22</v>
      </c>
      <c r="Q591" s="8">
        <f t="shared" si="90"/>
        <v>1.5909090909090908</v>
      </c>
      <c r="R591" s="8">
        <f t="shared" si="91"/>
        <v>25.666666666666668</v>
      </c>
      <c r="S591" s="8">
        <f t="shared" si="92"/>
        <v>27.257575757575758</v>
      </c>
      <c r="T591" s="17">
        <f t="shared" si="86"/>
        <v>7.0438328990999528</v>
      </c>
      <c r="U591" s="19">
        <f t="shared" si="87"/>
        <v>14667.763722761736</v>
      </c>
      <c r="V591" s="29" t="s">
        <v>2983</v>
      </c>
    </row>
    <row r="592" spans="1:22" ht="15" customHeight="1" x14ac:dyDescent="0.25">
      <c r="A592" t="s">
        <v>295</v>
      </c>
      <c r="B592" t="s">
        <v>1988</v>
      </c>
      <c r="C592" t="s">
        <v>2010</v>
      </c>
      <c r="D592" t="s">
        <v>554</v>
      </c>
      <c r="E592" t="s">
        <v>13</v>
      </c>
      <c r="F592" s="5">
        <v>117.9</v>
      </c>
      <c r="G592" t="s">
        <v>512</v>
      </c>
      <c r="H592" s="3">
        <v>78</v>
      </c>
      <c r="I592" s="3">
        <v>100</v>
      </c>
      <c r="J592" s="3">
        <v>70</v>
      </c>
      <c r="K592" s="3">
        <v>10</v>
      </c>
      <c r="L592">
        <f t="shared" si="88"/>
        <v>0.54600000000000004</v>
      </c>
      <c r="M592">
        <f t="shared" si="85"/>
        <v>43.680000000000007</v>
      </c>
      <c r="N592" s="8">
        <v>80</v>
      </c>
      <c r="O592" s="14">
        <f t="shared" si="89"/>
        <v>9432</v>
      </c>
      <c r="P592" s="8">
        <v>22</v>
      </c>
      <c r="Q592" s="8">
        <f t="shared" si="90"/>
        <v>3.6363636363636362</v>
      </c>
      <c r="R592" s="8">
        <f t="shared" si="91"/>
        <v>58.666666666666664</v>
      </c>
      <c r="S592" s="8">
        <f t="shared" si="92"/>
        <v>62.303030303030297</v>
      </c>
      <c r="T592" s="17">
        <f t="shared" si="86"/>
        <v>6.9812884888678353</v>
      </c>
      <c r="U592" s="19">
        <f t="shared" si="87"/>
        <v>14674.745011250603</v>
      </c>
      <c r="V592" s="29" t="s">
        <v>2983</v>
      </c>
    </row>
    <row r="593" spans="1:22" ht="15" customHeight="1" x14ac:dyDescent="0.25">
      <c r="A593" t="s">
        <v>295</v>
      </c>
      <c r="B593" t="s">
        <v>1988</v>
      </c>
      <c r="C593" t="s">
        <v>2011</v>
      </c>
      <c r="D593" t="s">
        <v>1037</v>
      </c>
      <c r="E593" t="s">
        <v>234</v>
      </c>
      <c r="F593" s="5">
        <v>168.9</v>
      </c>
      <c r="G593" t="s">
        <v>1038</v>
      </c>
      <c r="H593" s="3">
        <v>27</v>
      </c>
      <c r="I593" s="3">
        <v>26</v>
      </c>
      <c r="J593" s="3">
        <v>8</v>
      </c>
      <c r="K593" s="3">
        <v>2.5</v>
      </c>
      <c r="L593">
        <f t="shared" si="88"/>
        <v>5.6160000000000003E-3</v>
      </c>
      <c r="M593">
        <f t="shared" si="85"/>
        <v>0.28079999999999999</v>
      </c>
      <c r="N593" s="8">
        <v>50</v>
      </c>
      <c r="O593" s="14">
        <f t="shared" si="89"/>
        <v>8445</v>
      </c>
      <c r="P593" s="8">
        <v>22</v>
      </c>
      <c r="Q593" s="8">
        <f t="shared" si="90"/>
        <v>2.2727272727272729</v>
      </c>
      <c r="R593" s="8">
        <f t="shared" si="91"/>
        <v>36.666666666666671</v>
      </c>
      <c r="S593" s="8">
        <f t="shared" si="92"/>
        <v>38.939393939393945</v>
      </c>
      <c r="T593" s="17">
        <f t="shared" si="86"/>
        <v>6.2507401705352912</v>
      </c>
      <c r="U593" s="19">
        <f t="shared" si="87"/>
        <v>14680.995751421138</v>
      </c>
      <c r="V593" s="29" t="s">
        <v>2983</v>
      </c>
    </row>
    <row r="594" spans="1:22" ht="15" customHeight="1" x14ac:dyDescent="0.25">
      <c r="A594" t="s">
        <v>295</v>
      </c>
      <c r="B594" t="s">
        <v>1988</v>
      </c>
      <c r="C594" t="s">
        <v>1063</v>
      </c>
      <c r="D594" t="s">
        <v>2014</v>
      </c>
      <c r="E594" t="s">
        <v>234</v>
      </c>
      <c r="F594" s="5">
        <v>229</v>
      </c>
      <c r="G594" t="s">
        <v>985</v>
      </c>
      <c r="H594" s="3">
        <v>13</v>
      </c>
      <c r="I594" s="3">
        <v>27</v>
      </c>
      <c r="J594" s="3">
        <v>9</v>
      </c>
      <c r="K594" s="3">
        <v>1.5</v>
      </c>
      <c r="L594">
        <f t="shared" si="88"/>
        <v>3.1589999999999999E-3</v>
      </c>
      <c r="M594">
        <f t="shared" si="85"/>
        <v>0.110565</v>
      </c>
      <c r="N594" s="8">
        <v>35</v>
      </c>
      <c r="O594" s="14">
        <f t="shared" si="89"/>
        <v>8015</v>
      </c>
      <c r="P594" s="8">
        <v>22</v>
      </c>
      <c r="Q594" s="8">
        <f t="shared" si="90"/>
        <v>1.5909090909090908</v>
      </c>
      <c r="R594" s="8">
        <f t="shared" si="91"/>
        <v>25.666666666666668</v>
      </c>
      <c r="S594" s="8">
        <f t="shared" si="92"/>
        <v>27.257575757575758</v>
      </c>
      <c r="T594" s="17">
        <f t="shared" si="86"/>
        <v>5.9324668403600187</v>
      </c>
      <c r="U594" s="19">
        <f t="shared" si="87"/>
        <v>14686.928218261499</v>
      </c>
      <c r="V594" s="29" t="s">
        <v>2983</v>
      </c>
    </row>
    <row r="595" spans="1:22" ht="15" customHeight="1" x14ac:dyDescent="0.25">
      <c r="A595" t="s">
        <v>295</v>
      </c>
      <c r="B595" t="s">
        <v>904</v>
      </c>
      <c r="C595" t="s">
        <v>1998</v>
      </c>
      <c r="D595" t="s">
        <v>918</v>
      </c>
      <c r="E595" t="s">
        <v>480</v>
      </c>
      <c r="F595" s="5">
        <v>200</v>
      </c>
      <c r="G595" t="s">
        <v>919</v>
      </c>
      <c r="H595" s="3">
        <v>60</v>
      </c>
      <c r="I595" s="3">
        <v>30</v>
      </c>
      <c r="J595" s="3">
        <v>20</v>
      </c>
      <c r="K595" s="3">
        <v>13</v>
      </c>
      <c r="L595">
        <f t="shared" si="88"/>
        <v>3.5999999999999997E-2</v>
      </c>
      <c r="M595">
        <f t="shared" si="85"/>
        <v>1.44</v>
      </c>
      <c r="N595" s="8">
        <v>40</v>
      </c>
      <c r="O595" s="14">
        <f t="shared" si="89"/>
        <v>8000</v>
      </c>
      <c r="P595" s="8">
        <v>15</v>
      </c>
      <c r="Q595" s="8">
        <f t="shared" si="90"/>
        <v>2.6666666666666665</v>
      </c>
      <c r="R595" s="8">
        <f t="shared" si="91"/>
        <v>20</v>
      </c>
      <c r="S595" s="8">
        <f t="shared" si="92"/>
        <v>22.666666666666668</v>
      </c>
      <c r="T595" s="17">
        <f t="shared" si="86"/>
        <v>5.9213642823306492</v>
      </c>
      <c r="U595" s="19">
        <f t="shared" si="87"/>
        <v>14692.849582543829</v>
      </c>
      <c r="V595" s="29" t="s">
        <v>2983</v>
      </c>
    </row>
    <row r="596" spans="1:22" ht="15" customHeight="1" x14ac:dyDescent="0.25">
      <c r="A596" t="s">
        <v>295</v>
      </c>
      <c r="B596" t="s">
        <v>1988</v>
      </c>
      <c r="C596" t="s">
        <v>1009</v>
      </c>
      <c r="D596" t="s">
        <v>1016</v>
      </c>
      <c r="E596" t="s">
        <v>1770</v>
      </c>
      <c r="F596" s="5">
        <v>151.91</v>
      </c>
      <c r="G596" t="s">
        <v>1011</v>
      </c>
      <c r="H596" s="3">
        <v>30</v>
      </c>
      <c r="I596" s="3">
        <v>45</v>
      </c>
      <c r="J596" s="3">
        <v>20</v>
      </c>
      <c r="K596" s="3">
        <v>6</v>
      </c>
      <c r="L596">
        <f t="shared" si="88"/>
        <v>2.7E-2</v>
      </c>
      <c r="M596">
        <f t="shared" si="85"/>
        <v>1.35</v>
      </c>
      <c r="N596" s="8">
        <v>50</v>
      </c>
      <c r="O596" s="14">
        <f t="shared" si="89"/>
        <v>7595.5</v>
      </c>
      <c r="P596" s="8">
        <v>22</v>
      </c>
      <c r="Q596" s="8">
        <f t="shared" si="90"/>
        <v>2.2727272727272729</v>
      </c>
      <c r="R596" s="8">
        <f t="shared" si="91"/>
        <v>36.666666666666671</v>
      </c>
      <c r="S596" s="8">
        <f t="shared" si="92"/>
        <v>38.939393939393945</v>
      </c>
      <c r="T596" s="17">
        <f t="shared" si="86"/>
        <v>5.6219653008053054</v>
      </c>
      <c r="U596" s="19">
        <f t="shared" si="87"/>
        <v>14698.471547844634</v>
      </c>
      <c r="V596" s="29" t="s">
        <v>2983</v>
      </c>
    </row>
    <row r="597" spans="1:22" ht="15" customHeight="1" x14ac:dyDescent="0.25">
      <c r="A597" t="s">
        <v>295</v>
      </c>
      <c r="B597" t="s">
        <v>1988</v>
      </c>
      <c r="C597" t="s">
        <v>1009</v>
      </c>
      <c r="D597" t="s">
        <v>1012</v>
      </c>
      <c r="E597" t="s">
        <v>1770</v>
      </c>
      <c r="F597" s="5">
        <v>137.91</v>
      </c>
      <c r="G597" t="s">
        <v>1011</v>
      </c>
      <c r="H597" s="3">
        <v>30</v>
      </c>
      <c r="I597" s="3">
        <v>45</v>
      </c>
      <c r="J597" s="3">
        <v>20</v>
      </c>
      <c r="K597" s="3">
        <v>6</v>
      </c>
      <c r="L597">
        <f t="shared" si="88"/>
        <v>2.7E-2</v>
      </c>
      <c r="M597">
        <f t="shared" si="85"/>
        <v>1.35</v>
      </c>
      <c r="N597" s="8">
        <v>50</v>
      </c>
      <c r="O597" s="14">
        <f t="shared" si="89"/>
        <v>6895.5</v>
      </c>
      <c r="P597" s="8">
        <v>22</v>
      </c>
      <c r="Q597" s="8">
        <f t="shared" si="90"/>
        <v>2.2727272727272729</v>
      </c>
      <c r="R597" s="8">
        <f t="shared" si="91"/>
        <v>36.666666666666671</v>
      </c>
      <c r="S597" s="8">
        <f t="shared" si="92"/>
        <v>38.939393939393945</v>
      </c>
      <c r="T597" s="17">
        <f t="shared" si="86"/>
        <v>5.103845926101374</v>
      </c>
      <c r="U597" s="19">
        <f t="shared" si="87"/>
        <v>14703.575393770736</v>
      </c>
      <c r="V597" s="29" t="s">
        <v>2983</v>
      </c>
    </row>
    <row r="598" spans="1:22" ht="15" customHeight="1" x14ac:dyDescent="0.25">
      <c r="A598" t="s">
        <v>295</v>
      </c>
      <c r="B598" t="s">
        <v>1988</v>
      </c>
      <c r="C598" t="s">
        <v>2010</v>
      </c>
      <c r="D598" t="s">
        <v>583</v>
      </c>
      <c r="E598" t="s">
        <v>13</v>
      </c>
      <c r="F598" s="5">
        <v>85.4</v>
      </c>
      <c r="G598" t="s">
        <v>916</v>
      </c>
      <c r="H598" s="3">
        <v>143</v>
      </c>
      <c r="I598" s="3">
        <v>63</v>
      </c>
      <c r="J598" s="3">
        <v>63</v>
      </c>
      <c r="K598" s="3">
        <v>9</v>
      </c>
      <c r="L598">
        <f t="shared" si="88"/>
        <v>0.56756700000000004</v>
      </c>
      <c r="M598">
        <f t="shared" si="85"/>
        <v>45.405360000000002</v>
      </c>
      <c r="N598" s="8">
        <v>80</v>
      </c>
      <c r="O598" s="14">
        <f t="shared" si="89"/>
        <v>6832</v>
      </c>
      <c r="P598" s="8">
        <v>22</v>
      </c>
      <c r="Q598" s="8">
        <f t="shared" si="90"/>
        <v>3.6363636363636362</v>
      </c>
      <c r="R598" s="8">
        <f t="shared" si="91"/>
        <v>58.666666666666664</v>
      </c>
      <c r="S598" s="8">
        <f t="shared" si="92"/>
        <v>62.303030303030297</v>
      </c>
      <c r="T598" s="17">
        <f t="shared" si="86"/>
        <v>5.056845097110374</v>
      </c>
      <c r="U598" s="19">
        <f t="shared" si="87"/>
        <v>14708.632238867845</v>
      </c>
      <c r="V598" s="29" t="s">
        <v>2983</v>
      </c>
    </row>
    <row r="599" spans="1:22" ht="15" customHeight="1" x14ac:dyDescent="0.25">
      <c r="A599" t="s">
        <v>295</v>
      </c>
      <c r="B599" t="s">
        <v>1988</v>
      </c>
      <c r="C599" t="s">
        <v>2011</v>
      </c>
      <c r="D599" t="s">
        <v>524</v>
      </c>
      <c r="E599" t="s">
        <v>234</v>
      </c>
      <c r="F599" s="5">
        <v>174.9</v>
      </c>
      <c r="G599" t="s">
        <v>990</v>
      </c>
      <c r="H599" s="3">
        <v>25</v>
      </c>
      <c r="I599" s="3">
        <v>30</v>
      </c>
      <c r="J599" s="3">
        <v>8</v>
      </c>
      <c r="K599" s="3">
        <v>2.5</v>
      </c>
      <c r="L599">
        <f t="shared" si="88"/>
        <v>6.0000000000000001E-3</v>
      </c>
      <c r="M599">
        <f t="shared" si="85"/>
        <v>0.21</v>
      </c>
      <c r="N599" s="8">
        <v>35</v>
      </c>
      <c r="O599" s="14">
        <f t="shared" si="89"/>
        <v>6121.5</v>
      </c>
      <c r="P599" s="8">
        <v>22</v>
      </c>
      <c r="Q599" s="8">
        <f t="shared" si="90"/>
        <v>1.5909090909090908</v>
      </c>
      <c r="R599" s="8">
        <f t="shared" si="91"/>
        <v>25.666666666666668</v>
      </c>
      <c r="S599" s="8">
        <f t="shared" si="92"/>
        <v>27.257575757575758</v>
      </c>
      <c r="T599" s="17">
        <f t="shared" si="86"/>
        <v>4.5309539317858833</v>
      </c>
      <c r="U599" s="19">
        <f t="shared" si="87"/>
        <v>14713.163192799631</v>
      </c>
      <c r="V599" s="29" t="s">
        <v>2983</v>
      </c>
    </row>
    <row r="600" spans="1:22" ht="15" customHeight="1" x14ac:dyDescent="0.25">
      <c r="A600" t="s">
        <v>295</v>
      </c>
      <c r="B600" t="s">
        <v>904</v>
      </c>
      <c r="C600" t="s">
        <v>2001</v>
      </c>
      <c r="D600" t="s">
        <v>2003</v>
      </c>
      <c r="E600" t="s">
        <v>480</v>
      </c>
      <c r="F600" s="5">
        <v>150</v>
      </c>
      <c r="G600" t="s">
        <v>919</v>
      </c>
      <c r="H600" s="3">
        <v>55</v>
      </c>
      <c r="I600" s="3">
        <v>15</v>
      </c>
      <c r="J600" s="3">
        <v>15</v>
      </c>
      <c r="K600">
        <v>1.67</v>
      </c>
      <c r="L600">
        <f t="shared" si="88"/>
        <v>1.2375000000000001E-2</v>
      </c>
      <c r="M600">
        <f t="shared" si="85"/>
        <v>0.495</v>
      </c>
      <c r="N600" s="8">
        <v>40</v>
      </c>
      <c r="O600" s="14">
        <f t="shared" si="89"/>
        <v>6000</v>
      </c>
      <c r="P600" s="8">
        <v>15</v>
      </c>
      <c r="Q600" s="8">
        <f t="shared" si="90"/>
        <v>2.6666666666666665</v>
      </c>
      <c r="R600" s="8">
        <f t="shared" si="91"/>
        <v>20</v>
      </c>
      <c r="S600" s="8">
        <f t="shared" si="92"/>
        <v>22.666666666666668</v>
      </c>
      <c r="T600" s="17">
        <f t="shared" si="86"/>
        <v>4.4410232117479866</v>
      </c>
      <c r="U600" s="19">
        <f t="shared" si="87"/>
        <v>14717.604216011379</v>
      </c>
      <c r="V600" s="29" t="s">
        <v>2983</v>
      </c>
    </row>
    <row r="601" spans="1:22" ht="15" customHeight="1" x14ac:dyDescent="0.25">
      <c r="A601" t="s">
        <v>295</v>
      </c>
      <c r="B601" t="s">
        <v>296</v>
      </c>
      <c r="C601" t="s">
        <v>2045</v>
      </c>
      <c r="D601" t="s">
        <v>2046</v>
      </c>
      <c r="E601" t="s">
        <v>480</v>
      </c>
      <c r="F601" s="5">
        <v>483.9</v>
      </c>
      <c r="G601" t="s">
        <v>2025</v>
      </c>
      <c r="H601" s="3">
        <v>22.5</v>
      </c>
      <c r="I601" s="3">
        <v>50</v>
      </c>
      <c r="J601" s="3">
        <v>32</v>
      </c>
      <c r="K601" s="3">
        <v>36</v>
      </c>
      <c r="L601">
        <f t="shared" si="88"/>
        <v>3.5999999999999997E-2</v>
      </c>
      <c r="M601">
        <f t="shared" si="85"/>
        <v>0.43199999999999994</v>
      </c>
      <c r="N601" s="8">
        <v>12</v>
      </c>
      <c r="O601" s="14">
        <f t="shared" si="89"/>
        <v>5806.7999999999993</v>
      </c>
      <c r="P601" s="8">
        <v>40</v>
      </c>
      <c r="Q601" s="8">
        <f t="shared" si="90"/>
        <v>0.3</v>
      </c>
      <c r="R601" s="8">
        <f t="shared" si="91"/>
        <v>16</v>
      </c>
      <c r="S601" s="8">
        <f t="shared" si="92"/>
        <v>16.3</v>
      </c>
      <c r="T601" s="17">
        <f t="shared" si="86"/>
        <v>4.2980222643297008</v>
      </c>
      <c r="U601" s="19">
        <f t="shared" ref="U601:U627" si="93">U600+T601</f>
        <v>14721.902238275708</v>
      </c>
      <c r="V601" s="29" t="s">
        <v>2983</v>
      </c>
    </row>
    <row r="602" spans="1:22" ht="15" customHeight="1" x14ac:dyDescent="0.25">
      <c r="A602" t="s">
        <v>295</v>
      </c>
      <c r="B602" t="s">
        <v>904</v>
      </c>
      <c r="C602" t="s">
        <v>1998</v>
      </c>
      <c r="D602" t="s">
        <v>920</v>
      </c>
      <c r="E602" t="s">
        <v>480</v>
      </c>
      <c r="F602" s="5">
        <v>139</v>
      </c>
      <c r="G602" t="s">
        <v>921</v>
      </c>
      <c r="H602" s="3">
        <v>65</v>
      </c>
      <c r="I602" s="3">
        <v>40</v>
      </c>
      <c r="J602" s="3">
        <v>20</v>
      </c>
      <c r="K602" s="3">
        <v>10</v>
      </c>
      <c r="L602">
        <f t="shared" si="88"/>
        <v>5.1999999999999998E-2</v>
      </c>
      <c r="M602">
        <f t="shared" si="85"/>
        <v>2.08</v>
      </c>
      <c r="N602" s="8">
        <v>40</v>
      </c>
      <c r="O602" s="14">
        <f t="shared" si="89"/>
        <v>5560</v>
      </c>
      <c r="P602" s="8">
        <v>15</v>
      </c>
      <c r="Q602" s="8">
        <f t="shared" si="90"/>
        <v>2.6666666666666665</v>
      </c>
      <c r="R602" s="8">
        <f t="shared" si="91"/>
        <v>20</v>
      </c>
      <c r="S602" s="8">
        <f t="shared" si="92"/>
        <v>22.666666666666668</v>
      </c>
      <c r="T602" s="17">
        <f t="shared" si="86"/>
        <v>4.1153481762198014</v>
      </c>
      <c r="U602" s="19">
        <f t="shared" si="93"/>
        <v>14726.017586451928</v>
      </c>
      <c r="V602" s="29" t="s">
        <v>2983</v>
      </c>
    </row>
    <row r="603" spans="1:22" ht="15" customHeight="1" x14ac:dyDescent="0.25">
      <c r="A603" t="s">
        <v>295</v>
      </c>
      <c r="B603" t="s">
        <v>1988</v>
      </c>
      <c r="C603" t="s">
        <v>1054</v>
      </c>
      <c r="D603" t="s">
        <v>1057</v>
      </c>
      <c r="E603" t="s">
        <v>234</v>
      </c>
      <c r="F603" s="5">
        <v>137.9</v>
      </c>
      <c r="G603" t="s">
        <v>985</v>
      </c>
      <c r="H603">
        <v>10</v>
      </c>
      <c r="I603">
        <v>20</v>
      </c>
      <c r="J603">
        <v>20</v>
      </c>
      <c r="K603" s="3">
        <v>0.09</v>
      </c>
      <c r="L603">
        <f t="shared" si="88"/>
        <v>4.0000000000000001E-3</v>
      </c>
      <c r="M603">
        <f t="shared" si="85"/>
        <v>0.16</v>
      </c>
      <c r="N603" s="8">
        <v>40</v>
      </c>
      <c r="O603" s="14">
        <f t="shared" si="89"/>
        <v>5516</v>
      </c>
      <c r="P603" s="8">
        <v>22</v>
      </c>
      <c r="Q603" s="8">
        <f t="shared" si="90"/>
        <v>1.8181818181818181</v>
      </c>
      <c r="R603" s="8">
        <f t="shared" si="91"/>
        <v>29.333333333333332</v>
      </c>
      <c r="S603" s="8">
        <f t="shared" si="92"/>
        <v>31.151515151515149</v>
      </c>
      <c r="T603" s="17">
        <f t="shared" si="86"/>
        <v>4.0827806726669822</v>
      </c>
      <c r="U603" s="19">
        <f t="shared" si="93"/>
        <v>14730.100367124594</v>
      </c>
      <c r="V603" s="29" t="s">
        <v>2983</v>
      </c>
    </row>
    <row r="604" spans="1:22" ht="15" customHeight="1" x14ac:dyDescent="0.25">
      <c r="A604" t="s">
        <v>295</v>
      </c>
      <c r="B604" t="s">
        <v>904</v>
      </c>
      <c r="C604" t="s">
        <v>1998</v>
      </c>
      <c r="D604" t="s">
        <v>922</v>
      </c>
      <c r="E604" t="s">
        <v>480</v>
      </c>
      <c r="F604" s="5">
        <v>100</v>
      </c>
      <c r="G604" t="s">
        <v>512</v>
      </c>
      <c r="H604" s="3">
        <v>70</v>
      </c>
      <c r="I604" s="3">
        <v>30</v>
      </c>
      <c r="J604" s="3">
        <v>20</v>
      </c>
      <c r="K604" s="3">
        <v>11</v>
      </c>
      <c r="L604">
        <f t="shared" si="88"/>
        <v>4.2000000000000003E-2</v>
      </c>
      <c r="M604">
        <f t="shared" si="85"/>
        <v>2.31</v>
      </c>
      <c r="N604" s="8">
        <v>55</v>
      </c>
      <c r="O604" s="14">
        <f t="shared" si="89"/>
        <v>5500</v>
      </c>
      <c r="P604" s="8">
        <v>15</v>
      </c>
      <c r="Q604" s="8">
        <f t="shared" si="90"/>
        <v>3.6666666666666665</v>
      </c>
      <c r="R604" s="8">
        <f t="shared" si="91"/>
        <v>27.5</v>
      </c>
      <c r="S604" s="8">
        <f t="shared" si="92"/>
        <v>31.166666666666668</v>
      </c>
      <c r="T604" s="17">
        <f t="shared" si="86"/>
        <v>4.0709379441023215</v>
      </c>
      <c r="U604" s="19">
        <f t="shared" si="93"/>
        <v>14734.171305068698</v>
      </c>
      <c r="V604" s="29" t="s">
        <v>2983</v>
      </c>
    </row>
    <row r="605" spans="1:22" ht="15" customHeight="1" x14ac:dyDescent="0.25">
      <c r="A605" t="s">
        <v>295</v>
      </c>
      <c r="B605" t="s">
        <v>904</v>
      </c>
      <c r="C605" t="s">
        <v>2009</v>
      </c>
      <c r="D605" t="s">
        <v>932</v>
      </c>
      <c r="E605" t="s">
        <v>480</v>
      </c>
      <c r="F605" s="5">
        <v>124</v>
      </c>
      <c r="G605" t="s">
        <v>921</v>
      </c>
      <c r="H605" s="3">
        <v>10</v>
      </c>
      <c r="I605" s="3">
        <v>40</v>
      </c>
      <c r="J605" s="3">
        <v>25</v>
      </c>
      <c r="K605">
        <v>2.5</v>
      </c>
      <c r="L605">
        <f t="shared" si="88"/>
        <v>0.01</v>
      </c>
      <c r="M605">
        <f t="shared" si="85"/>
        <v>0.4</v>
      </c>
      <c r="N605" s="8">
        <v>40</v>
      </c>
      <c r="O605" s="14">
        <f t="shared" si="89"/>
        <v>4960</v>
      </c>
      <c r="P605" s="8">
        <v>15</v>
      </c>
      <c r="Q605" s="8">
        <f t="shared" si="90"/>
        <v>2.6666666666666665</v>
      </c>
      <c r="R605" s="8">
        <f t="shared" si="91"/>
        <v>20</v>
      </c>
      <c r="S605" s="8">
        <f t="shared" si="92"/>
        <v>22.666666666666668</v>
      </c>
      <c r="T605" s="17">
        <f t="shared" si="86"/>
        <v>3.6712458550450027</v>
      </c>
      <c r="U605" s="19">
        <f t="shared" si="93"/>
        <v>14737.842550923742</v>
      </c>
      <c r="V605" s="29" t="s">
        <v>2983</v>
      </c>
    </row>
    <row r="606" spans="1:22" ht="15" customHeight="1" x14ac:dyDescent="0.25">
      <c r="A606" t="s">
        <v>295</v>
      </c>
      <c r="B606" t="s">
        <v>1988</v>
      </c>
      <c r="C606" t="s">
        <v>978</v>
      </c>
      <c r="D606" t="s">
        <v>986</v>
      </c>
      <c r="E606" t="s">
        <v>980</v>
      </c>
      <c r="F606" s="5">
        <v>99</v>
      </c>
      <c r="G606" t="s">
        <v>987</v>
      </c>
      <c r="H606" s="3">
        <v>40</v>
      </c>
      <c r="I606" s="3">
        <v>30</v>
      </c>
      <c r="J606" s="3">
        <v>10</v>
      </c>
      <c r="K606" s="3">
        <v>5</v>
      </c>
      <c r="L606">
        <f t="shared" si="88"/>
        <v>1.2E-2</v>
      </c>
      <c r="M606">
        <f t="shared" si="85"/>
        <v>0.6</v>
      </c>
      <c r="N606" s="8">
        <v>50</v>
      </c>
      <c r="O606" s="14">
        <f t="shared" si="89"/>
        <v>4950</v>
      </c>
      <c r="P606" s="8">
        <v>22</v>
      </c>
      <c r="Q606" s="8">
        <f t="shared" si="90"/>
        <v>2.2727272727272729</v>
      </c>
      <c r="R606" s="8">
        <f t="shared" si="91"/>
        <v>36.666666666666671</v>
      </c>
      <c r="S606" s="8">
        <f t="shared" si="92"/>
        <v>38.939393939393945</v>
      </c>
      <c r="T606" s="17">
        <f t="shared" si="86"/>
        <v>3.663844149692089</v>
      </c>
      <c r="U606" s="19">
        <f t="shared" si="93"/>
        <v>14741.506395073435</v>
      </c>
      <c r="V606" s="29" t="s">
        <v>2983</v>
      </c>
    </row>
    <row r="607" spans="1:22" ht="15" customHeight="1" x14ac:dyDescent="0.25">
      <c r="A607" t="s">
        <v>295</v>
      </c>
      <c r="B607" t="s">
        <v>296</v>
      </c>
      <c r="C607" t="s">
        <v>2021</v>
      </c>
      <c r="D607" t="s">
        <v>2022</v>
      </c>
      <c r="E607" t="s">
        <v>480</v>
      </c>
      <c r="F607" s="5">
        <v>399.9</v>
      </c>
      <c r="G607" t="s">
        <v>965</v>
      </c>
      <c r="H607" s="3">
        <v>29</v>
      </c>
      <c r="I607" s="3">
        <v>46</v>
      </c>
      <c r="J607" s="3">
        <v>27</v>
      </c>
      <c r="K607" s="3">
        <v>36</v>
      </c>
      <c r="L607">
        <f t="shared" si="88"/>
        <v>3.6018000000000001E-2</v>
      </c>
      <c r="M607">
        <f t="shared" si="85"/>
        <v>0.43221600000000004</v>
      </c>
      <c r="N607" s="8">
        <v>12</v>
      </c>
      <c r="O607" s="14">
        <f t="shared" si="89"/>
        <v>4798.7999999999993</v>
      </c>
      <c r="P607" s="8">
        <v>40</v>
      </c>
      <c r="Q607" s="8">
        <f t="shared" si="90"/>
        <v>0.3</v>
      </c>
      <c r="R607" s="8">
        <f t="shared" si="91"/>
        <v>16</v>
      </c>
      <c r="S607" s="8">
        <f t="shared" si="92"/>
        <v>16.3</v>
      </c>
      <c r="T607" s="17">
        <f t="shared" si="86"/>
        <v>3.5519303647560392</v>
      </c>
      <c r="U607" s="19">
        <f t="shared" si="93"/>
        <v>14745.058325438191</v>
      </c>
      <c r="V607" s="29" t="s">
        <v>2983</v>
      </c>
    </row>
    <row r="608" spans="1:22" ht="15" customHeight="1" x14ac:dyDescent="0.25">
      <c r="A608" t="s">
        <v>295</v>
      </c>
      <c r="B608" t="s">
        <v>1988</v>
      </c>
      <c r="C608" t="s">
        <v>1063</v>
      </c>
      <c r="D608" t="s">
        <v>1065</v>
      </c>
      <c r="E608" t="s">
        <v>234</v>
      </c>
      <c r="F608" s="5">
        <v>132.22</v>
      </c>
      <c r="G608" t="s">
        <v>1015</v>
      </c>
      <c r="H608" s="3">
        <v>14</v>
      </c>
      <c r="I608" s="3">
        <v>33</v>
      </c>
      <c r="J608" s="3">
        <v>8</v>
      </c>
      <c r="K608" s="3">
        <v>1.5</v>
      </c>
      <c r="L608">
        <f t="shared" si="88"/>
        <v>3.6960000000000001E-3</v>
      </c>
      <c r="M608">
        <f t="shared" si="85"/>
        <v>0.12936</v>
      </c>
      <c r="N608" s="8">
        <v>35</v>
      </c>
      <c r="O608" s="14">
        <f t="shared" si="89"/>
        <v>4627.7</v>
      </c>
      <c r="P608" s="8">
        <v>22</v>
      </c>
      <c r="Q608" s="8">
        <f t="shared" si="90"/>
        <v>1.5909090909090908</v>
      </c>
      <c r="R608" s="8">
        <f t="shared" si="91"/>
        <v>25.666666666666668</v>
      </c>
      <c r="S608" s="8">
        <f t="shared" si="92"/>
        <v>27.257575757575758</v>
      </c>
      <c r="T608" s="17">
        <f t="shared" si="86"/>
        <v>3.4252871861676928</v>
      </c>
      <c r="U608" s="19">
        <f t="shared" si="93"/>
        <v>14748.483612624359</v>
      </c>
      <c r="V608" s="29" t="s">
        <v>2983</v>
      </c>
    </row>
    <row r="609" spans="1:22" ht="15" customHeight="1" x14ac:dyDescent="0.25">
      <c r="A609" t="s">
        <v>295</v>
      </c>
      <c r="B609" t="s">
        <v>904</v>
      </c>
      <c r="C609" t="s">
        <v>2009</v>
      </c>
      <c r="D609" t="s">
        <v>933</v>
      </c>
      <c r="E609" t="s">
        <v>480</v>
      </c>
      <c r="F609" s="5">
        <v>100</v>
      </c>
      <c r="G609" t="s">
        <v>934</v>
      </c>
      <c r="H609" s="3">
        <v>10</v>
      </c>
      <c r="I609" s="3">
        <v>40</v>
      </c>
      <c r="J609" s="3">
        <v>25</v>
      </c>
      <c r="K609">
        <v>1.9</v>
      </c>
      <c r="L609">
        <f t="shared" si="88"/>
        <v>0.01</v>
      </c>
      <c r="M609">
        <f t="shared" si="85"/>
        <v>0.4</v>
      </c>
      <c r="N609" s="8">
        <v>40</v>
      </c>
      <c r="O609" s="14">
        <f t="shared" si="89"/>
        <v>4000</v>
      </c>
      <c r="P609" s="8">
        <v>15</v>
      </c>
      <c r="Q609" s="8">
        <f t="shared" si="90"/>
        <v>2.6666666666666665</v>
      </c>
      <c r="R609" s="8">
        <f t="shared" si="91"/>
        <v>20</v>
      </c>
      <c r="S609" s="8">
        <f t="shared" si="92"/>
        <v>22.666666666666668</v>
      </c>
      <c r="T609" s="17">
        <f t="shared" si="86"/>
        <v>2.9606821411653246</v>
      </c>
      <c r="U609" s="19">
        <f t="shared" si="93"/>
        <v>14751.444294765524</v>
      </c>
      <c r="V609" s="29" t="s">
        <v>2983</v>
      </c>
    </row>
    <row r="610" spans="1:22" ht="15" customHeight="1" x14ac:dyDescent="0.25">
      <c r="A610" t="s">
        <v>295</v>
      </c>
      <c r="B610" t="s">
        <v>1988</v>
      </c>
      <c r="C610" t="s">
        <v>1001</v>
      </c>
      <c r="D610" t="s">
        <v>1002</v>
      </c>
      <c r="E610" t="s">
        <v>1770</v>
      </c>
      <c r="F610" s="5">
        <v>79.989999999999995</v>
      </c>
      <c r="G610" t="s">
        <v>1003</v>
      </c>
      <c r="H610" s="3">
        <v>25</v>
      </c>
      <c r="I610" s="3">
        <v>40</v>
      </c>
      <c r="J610" s="3">
        <v>30</v>
      </c>
      <c r="K610" s="3">
        <v>5</v>
      </c>
      <c r="L610">
        <f t="shared" si="88"/>
        <v>0.03</v>
      </c>
      <c r="M610">
        <f t="shared" si="85"/>
        <v>1.5</v>
      </c>
      <c r="N610" s="8">
        <v>50</v>
      </c>
      <c r="O610" s="14">
        <f t="shared" si="89"/>
        <v>3999.4999999999995</v>
      </c>
      <c r="P610" s="8">
        <v>22</v>
      </c>
      <c r="Q610" s="8">
        <f t="shared" si="90"/>
        <v>2.2727272727272729</v>
      </c>
      <c r="R610" s="8">
        <f t="shared" si="91"/>
        <v>36.666666666666671</v>
      </c>
      <c r="S610" s="8">
        <f t="shared" si="92"/>
        <v>38.939393939393945</v>
      </c>
      <c r="T610" s="17">
        <f t="shared" si="86"/>
        <v>2.9603120558976785</v>
      </c>
      <c r="U610" s="19">
        <f t="shared" si="93"/>
        <v>14754.404606821421</v>
      </c>
      <c r="V610" s="29" t="s">
        <v>2983</v>
      </c>
    </row>
    <row r="611" spans="1:22" ht="15" customHeight="1" x14ac:dyDescent="0.25">
      <c r="A611" t="s">
        <v>295</v>
      </c>
      <c r="B611" t="s">
        <v>904</v>
      </c>
      <c r="C611" t="s">
        <v>2004</v>
      </c>
      <c r="D611" t="s">
        <v>2007</v>
      </c>
      <c r="E611" t="s">
        <v>234</v>
      </c>
      <c r="F611" s="5">
        <v>90</v>
      </c>
      <c r="G611" t="s">
        <v>931</v>
      </c>
      <c r="H611" s="3">
        <v>35</v>
      </c>
      <c r="I611" s="3">
        <v>40</v>
      </c>
      <c r="J611" s="3">
        <v>35</v>
      </c>
      <c r="K611" s="3">
        <v>2</v>
      </c>
      <c r="L611">
        <f t="shared" si="88"/>
        <v>4.9000000000000002E-2</v>
      </c>
      <c r="M611">
        <f t="shared" si="85"/>
        <v>1.96</v>
      </c>
      <c r="N611" s="8">
        <v>40</v>
      </c>
      <c r="O611" s="14">
        <f t="shared" si="89"/>
        <v>3600</v>
      </c>
      <c r="P611" s="8">
        <v>15</v>
      </c>
      <c r="Q611" s="8">
        <f t="shared" si="90"/>
        <v>2.6666666666666665</v>
      </c>
      <c r="R611" s="8">
        <f t="shared" si="91"/>
        <v>20</v>
      </c>
      <c r="S611" s="8">
        <f t="shared" si="92"/>
        <v>22.666666666666668</v>
      </c>
      <c r="T611" s="17">
        <f t="shared" si="86"/>
        <v>2.6646139270487921</v>
      </c>
      <c r="U611" s="19">
        <f t="shared" si="93"/>
        <v>14757.06922074847</v>
      </c>
      <c r="V611" s="29" t="s">
        <v>2983</v>
      </c>
    </row>
    <row r="612" spans="1:22" ht="15" customHeight="1" x14ac:dyDescent="0.25">
      <c r="A612" t="s">
        <v>295</v>
      </c>
      <c r="B612" t="s">
        <v>904</v>
      </c>
      <c r="C612" t="s">
        <v>2009</v>
      </c>
      <c r="D612" t="s">
        <v>935</v>
      </c>
      <c r="E612" t="s">
        <v>480</v>
      </c>
      <c r="F612" s="5">
        <v>89</v>
      </c>
      <c r="G612" t="s">
        <v>909</v>
      </c>
      <c r="H612" s="3">
        <v>10</v>
      </c>
      <c r="I612" s="3">
        <v>40</v>
      </c>
      <c r="J612" s="3">
        <v>25</v>
      </c>
      <c r="K612" s="3">
        <v>2</v>
      </c>
      <c r="L612">
        <f t="shared" si="88"/>
        <v>0.01</v>
      </c>
      <c r="M612">
        <f t="shared" si="85"/>
        <v>0.4</v>
      </c>
      <c r="N612" s="8">
        <v>40</v>
      </c>
      <c r="O612" s="14">
        <f t="shared" si="89"/>
        <v>3560</v>
      </c>
      <c r="P612" s="8">
        <v>15</v>
      </c>
      <c r="Q612" s="8">
        <f t="shared" si="90"/>
        <v>2.6666666666666665</v>
      </c>
      <c r="R612" s="8">
        <f t="shared" si="91"/>
        <v>20</v>
      </c>
      <c r="S612" s="8">
        <f t="shared" si="92"/>
        <v>22.666666666666668</v>
      </c>
      <c r="T612" s="17">
        <f t="shared" si="86"/>
        <v>2.6350071056371389</v>
      </c>
      <c r="U612" s="19">
        <f t="shared" si="93"/>
        <v>14759.704227854107</v>
      </c>
      <c r="V612" s="29" t="s">
        <v>2983</v>
      </c>
    </row>
    <row r="613" spans="1:22" ht="15" customHeight="1" x14ac:dyDescent="0.25">
      <c r="A613" t="s">
        <v>295</v>
      </c>
      <c r="B613" t="s">
        <v>904</v>
      </c>
      <c r="C613" t="s">
        <v>2004</v>
      </c>
      <c r="D613" t="s">
        <v>2005</v>
      </c>
      <c r="E613" t="s">
        <v>234</v>
      </c>
      <c r="F613" s="5">
        <v>85</v>
      </c>
      <c r="G613" t="s">
        <v>931</v>
      </c>
      <c r="H613" s="3">
        <v>35</v>
      </c>
      <c r="I613" s="3">
        <v>40</v>
      </c>
      <c r="J613" s="3">
        <v>35</v>
      </c>
      <c r="K613" s="3">
        <v>2</v>
      </c>
      <c r="L613">
        <f t="shared" si="88"/>
        <v>4.9000000000000002E-2</v>
      </c>
      <c r="M613">
        <f t="shared" si="85"/>
        <v>1.96</v>
      </c>
      <c r="N613" s="8">
        <v>40</v>
      </c>
      <c r="O613" s="14">
        <f t="shared" si="89"/>
        <v>3400</v>
      </c>
      <c r="P613" s="8">
        <v>15</v>
      </c>
      <c r="Q613" s="8">
        <f t="shared" si="90"/>
        <v>2.6666666666666665</v>
      </c>
      <c r="R613" s="8">
        <f t="shared" si="91"/>
        <v>20</v>
      </c>
      <c r="S613" s="8">
        <f t="shared" si="92"/>
        <v>22.666666666666668</v>
      </c>
      <c r="T613" s="17">
        <f t="shared" si="86"/>
        <v>2.5165798199905258</v>
      </c>
      <c r="U613" s="19">
        <f t="shared" si="93"/>
        <v>14762.220807674097</v>
      </c>
      <c r="V613" s="29" t="s">
        <v>2983</v>
      </c>
    </row>
    <row r="614" spans="1:22" ht="15" customHeight="1" x14ac:dyDescent="0.25">
      <c r="A614" t="s">
        <v>295</v>
      </c>
      <c r="B614" t="s">
        <v>1988</v>
      </c>
      <c r="C614" t="s">
        <v>1046</v>
      </c>
      <c r="D614" t="s">
        <v>1049</v>
      </c>
      <c r="E614" t="s">
        <v>13</v>
      </c>
      <c r="F614" s="5">
        <v>83.4</v>
      </c>
      <c r="G614" t="s">
        <v>943</v>
      </c>
      <c r="H614" s="3">
        <v>15</v>
      </c>
      <c r="I614" s="3">
        <v>17.3</v>
      </c>
      <c r="J614" s="3">
        <v>8.5</v>
      </c>
      <c r="K614" s="3">
        <v>1</v>
      </c>
      <c r="L614">
        <f t="shared" si="88"/>
        <v>2.2057499999999998E-3</v>
      </c>
      <c r="M614">
        <f t="shared" si="85"/>
        <v>8.8229999999999989E-2</v>
      </c>
      <c r="N614" s="8">
        <v>40</v>
      </c>
      <c r="O614" s="14">
        <f t="shared" si="89"/>
        <v>3336</v>
      </c>
      <c r="P614" s="8">
        <v>22</v>
      </c>
      <c r="Q614" s="8">
        <f t="shared" si="90"/>
        <v>1.8181818181818181</v>
      </c>
      <c r="R614" s="8">
        <f t="shared" si="91"/>
        <v>29.333333333333332</v>
      </c>
      <c r="S614" s="8">
        <f t="shared" si="92"/>
        <v>31.151515151515149</v>
      </c>
      <c r="T614" s="17">
        <f t="shared" si="86"/>
        <v>2.4692089057318807</v>
      </c>
      <c r="U614" s="19">
        <f t="shared" si="93"/>
        <v>14764.690016579829</v>
      </c>
      <c r="V614" s="29" t="s">
        <v>2983</v>
      </c>
    </row>
    <row r="615" spans="1:22" ht="15" customHeight="1" x14ac:dyDescent="0.25">
      <c r="A615" t="s">
        <v>295</v>
      </c>
      <c r="B615" t="s">
        <v>1988</v>
      </c>
      <c r="C615" t="s">
        <v>2011</v>
      </c>
      <c r="D615" t="s">
        <v>600</v>
      </c>
      <c r="E615" t="s">
        <v>234</v>
      </c>
      <c r="F615" s="5">
        <v>69.900000000000006</v>
      </c>
      <c r="G615" t="s">
        <v>990</v>
      </c>
      <c r="H615" s="3">
        <v>23</v>
      </c>
      <c r="I615" s="3">
        <v>7</v>
      </c>
      <c r="J615">
        <v>26</v>
      </c>
      <c r="K615" s="3">
        <v>1.5</v>
      </c>
      <c r="L615">
        <f t="shared" si="88"/>
        <v>4.1859999999999996E-3</v>
      </c>
      <c r="M615">
        <f t="shared" si="85"/>
        <v>0.14650999999999997</v>
      </c>
      <c r="N615" s="8">
        <v>35</v>
      </c>
      <c r="O615" s="14">
        <f t="shared" si="89"/>
        <v>2446.5</v>
      </c>
      <c r="P615" s="8">
        <v>22</v>
      </c>
      <c r="Q615" s="8">
        <f t="shared" si="90"/>
        <v>1.5909090909090908</v>
      </c>
      <c r="R615" s="8">
        <f t="shared" si="91"/>
        <v>25.666666666666668</v>
      </c>
      <c r="S615" s="8">
        <f t="shared" si="92"/>
        <v>27.257575757575758</v>
      </c>
      <c r="T615" s="17">
        <f t="shared" si="86"/>
        <v>1.8108272145902415</v>
      </c>
      <c r="U615" s="19">
        <f t="shared" si="93"/>
        <v>14766.50084379442</v>
      </c>
      <c r="V615" s="29" t="s">
        <v>2983</v>
      </c>
    </row>
    <row r="616" spans="1:22" ht="15" customHeight="1" x14ac:dyDescent="0.25">
      <c r="A616" t="s">
        <v>295</v>
      </c>
      <c r="B616" t="s">
        <v>1988</v>
      </c>
      <c r="C616" t="s">
        <v>1054</v>
      </c>
      <c r="D616" t="s">
        <v>1062</v>
      </c>
      <c r="E616" t="s">
        <v>234</v>
      </c>
      <c r="F616" s="5">
        <v>52.4</v>
      </c>
      <c r="G616" t="s">
        <v>985</v>
      </c>
      <c r="H616">
        <v>10</v>
      </c>
      <c r="I616">
        <v>20</v>
      </c>
      <c r="J616">
        <v>20</v>
      </c>
      <c r="K616" s="3">
        <v>0.15</v>
      </c>
      <c r="L616">
        <f t="shared" si="88"/>
        <v>4.0000000000000001E-3</v>
      </c>
      <c r="M616">
        <f t="shared" si="85"/>
        <v>0.16</v>
      </c>
      <c r="N616" s="8">
        <v>40</v>
      </c>
      <c r="O616" s="14">
        <f t="shared" si="89"/>
        <v>2096</v>
      </c>
      <c r="P616" s="8">
        <v>22</v>
      </c>
      <c r="Q616" s="8">
        <f t="shared" si="90"/>
        <v>1.8181818181818181</v>
      </c>
      <c r="R616" s="8">
        <f t="shared" si="91"/>
        <v>29.333333333333332</v>
      </c>
      <c r="S616" s="8">
        <f t="shared" si="92"/>
        <v>31.151515151515149</v>
      </c>
      <c r="T616" s="17">
        <f t="shared" si="86"/>
        <v>1.55139744197063</v>
      </c>
      <c r="U616" s="19">
        <f t="shared" si="93"/>
        <v>14768.05224123639</v>
      </c>
      <c r="V616" s="29" t="s">
        <v>2983</v>
      </c>
    </row>
    <row r="617" spans="1:22" ht="15" customHeight="1" x14ac:dyDescent="0.25">
      <c r="A617" t="s">
        <v>295</v>
      </c>
      <c r="B617" t="s">
        <v>904</v>
      </c>
      <c r="C617" t="s">
        <v>2004</v>
      </c>
      <c r="D617" t="s">
        <v>2006</v>
      </c>
      <c r="E617" t="s">
        <v>234</v>
      </c>
      <c r="F617" s="5">
        <v>50</v>
      </c>
      <c r="G617" t="s">
        <v>931</v>
      </c>
      <c r="H617" s="3">
        <v>35</v>
      </c>
      <c r="I617" s="3">
        <v>40</v>
      </c>
      <c r="J617" s="3">
        <v>35</v>
      </c>
      <c r="K617" s="3">
        <v>2</v>
      </c>
      <c r="L617">
        <f t="shared" si="88"/>
        <v>4.9000000000000002E-2</v>
      </c>
      <c r="M617">
        <f t="shared" si="85"/>
        <v>1.96</v>
      </c>
      <c r="N617" s="8">
        <v>40</v>
      </c>
      <c r="O617" s="14">
        <f t="shared" si="89"/>
        <v>2000</v>
      </c>
      <c r="P617" s="8">
        <v>15</v>
      </c>
      <c r="Q617" s="8">
        <f t="shared" si="90"/>
        <v>2.6666666666666665</v>
      </c>
      <c r="R617" s="8">
        <f t="shared" si="91"/>
        <v>20</v>
      </c>
      <c r="S617" s="8">
        <f t="shared" si="92"/>
        <v>22.666666666666668</v>
      </c>
      <c r="T617" s="17">
        <f t="shared" si="86"/>
        <v>1.4803410705826623</v>
      </c>
      <c r="U617" s="19">
        <f t="shared" si="93"/>
        <v>14769.532582306972</v>
      </c>
      <c r="V617" s="29" t="s">
        <v>2983</v>
      </c>
    </row>
    <row r="618" spans="1:22" ht="15" customHeight="1" x14ac:dyDescent="0.25">
      <c r="A618" t="s">
        <v>295</v>
      </c>
      <c r="B618" t="s">
        <v>904</v>
      </c>
      <c r="C618" t="s">
        <v>2004</v>
      </c>
      <c r="D618" t="s">
        <v>2008</v>
      </c>
      <c r="E618" t="s">
        <v>234</v>
      </c>
      <c r="F618" s="5">
        <v>40</v>
      </c>
      <c r="G618" t="s">
        <v>931</v>
      </c>
      <c r="H618" s="3">
        <v>35</v>
      </c>
      <c r="I618" s="3">
        <v>40</v>
      </c>
      <c r="J618" s="3">
        <v>35</v>
      </c>
      <c r="K618" s="3">
        <v>2</v>
      </c>
      <c r="L618">
        <f t="shared" si="88"/>
        <v>4.9000000000000002E-2</v>
      </c>
      <c r="M618">
        <f t="shared" si="85"/>
        <v>1.96</v>
      </c>
      <c r="N618" s="8">
        <v>40</v>
      </c>
      <c r="O618" s="14">
        <f t="shared" si="89"/>
        <v>1600</v>
      </c>
      <c r="P618" s="8">
        <v>15</v>
      </c>
      <c r="Q618" s="8">
        <f t="shared" si="90"/>
        <v>2.6666666666666665</v>
      </c>
      <c r="R618" s="8">
        <f t="shared" si="91"/>
        <v>20</v>
      </c>
      <c r="S618" s="8">
        <f t="shared" si="92"/>
        <v>22.666666666666668</v>
      </c>
      <c r="T618" s="17">
        <f t="shared" si="86"/>
        <v>1.1842728564661298</v>
      </c>
      <c r="U618" s="19">
        <f t="shared" si="93"/>
        <v>14770.716855163439</v>
      </c>
      <c r="V618" s="29" t="s">
        <v>2983</v>
      </c>
    </row>
    <row r="619" spans="1:22" ht="15" customHeight="1" x14ac:dyDescent="0.25">
      <c r="A619" t="s">
        <v>295</v>
      </c>
      <c r="B619" t="s">
        <v>1988</v>
      </c>
      <c r="C619" t="s">
        <v>1054</v>
      </c>
      <c r="D619" t="s">
        <v>1058</v>
      </c>
      <c r="E619" t="s">
        <v>234</v>
      </c>
      <c r="F619" s="5">
        <v>33.4</v>
      </c>
      <c r="G619" t="s">
        <v>985</v>
      </c>
      <c r="H619">
        <v>10</v>
      </c>
      <c r="I619">
        <v>20</v>
      </c>
      <c r="J619">
        <v>20</v>
      </c>
      <c r="K619" s="3">
        <v>0.12</v>
      </c>
      <c r="L619">
        <f t="shared" si="88"/>
        <v>4.0000000000000001E-3</v>
      </c>
      <c r="M619">
        <f t="shared" si="85"/>
        <v>0.16</v>
      </c>
      <c r="N619" s="8">
        <v>40</v>
      </c>
      <c r="O619" s="14">
        <f t="shared" si="89"/>
        <v>1336</v>
      </c>
      <c r="P619" s="8">
        <v>22</v>
      </c>
      <c r="Q619" s="8">
        <f t="shared" si="90"/>
        <v>1.8181818181818181</v>
      </c>
      <c r="R619" s="8">
        <f t="shared" si="91"/>
        <v>29.333333333333332</v>
      </c>
      <c r="S619" s="8">
        <f t="shared" si="92"/>
        <v>31.151515151515149</v>
      </c>
      <c r="T619" s="17">
        <f t="shared" si="86"/>
        <v>0.98886783514921839</v>
      </c>
      <c r="U619" s="19">
        <f t="shared" si="93"/>
        <v>14771.705722998588</v>
      </c>
      <c r="V619" s="29" t="s">
        <v>2983</v>
      </c>
    </row>
    <row r="620" spans="1:22" ht="15" customHeight="1" x14ac:dyDescent="0.25">
      <c r="A620" t="s">
        <v>295</v>
      </c>
      <c r="B620" t="s">
        <v>296</v>
      </c>
      <c r="C620" t="s">
        <v>2028</v>
      </c>
      <c r="D620" t="s">
        <v>2029</v>
      </c>
      <c r="E620" t="s">
        <v>234</v>
      </c>
      <c r="F620" s="5">
        <v>85.9</v>
      </c>
      <c r="G620" t="s">
        <v>2030</v>
      </c>
      <c r="H620" s="3">
        <v>15</v>
      </c>
      <c r="I620" s="3">
        <v>50</v>
      </c>
      <c r="J620" s="3">
        <v>20</v>
      </c>
      <c r="K620" s="3">
        <v>15</v>
      </c>
      <c r="L620">
        <f t="shared" si="88"/>
        <v>1.4999999999999999E-2</v>
      </c>
      <c r="M620">
        <f t="shared" si="85"/>
        <v>0.18</v>
      </c>
      <c r="N620" s="8">
        <v>12</v>
      </c>
      <c r="O620" s="14">
        <f t="shared" si="89"/>
        <v>1030.8000000000002</v>
      </c>
      <c r="P620" s="8">
        <v>40</v>
      </c>
      <c r="Q620" s="8">
        <f t="shared" si="90"/>
        <v>0.3</v>
      </c>
      <c r="R620" s="8">
        <f t="shared" si="91"/>
        <v>16</v>
      </c>
      <c r="S620" s="8">
        <f t="shared" si="92"/>
        <v>16.3</v>
      </c>
      <c r="T620" s="17">
        <f t="shared" si="86"/>
        <v>0.76296778777830432</v>
      </c>
      <c r="U620" s="19">
        <f t="shared" si="93"/>
        <v>14772.468690786365</v>
      </c>
      <c r="V620" s="29" t="s">
        <v>2983</v>
      </c>
    </row>
    <row r="621" spans="1:22" ht="15" customHeight="1" x14ac:dyDescent="0.25">
      <c r="A621" t="s">
        <v>295</v>
      </c>
      <c r="B621" t="s">
        <v>1988</v>
      </c>
      <c r="C621" t="s">
        <v>1054</v>
      </c>
      <c r="D621" t="s">
        <v>1059</v>
      </c>
      <c r="E621" t="s">
        <v>234</v>
      </c>
      <c r="F621" s="5">
        <v>18.68</v>
      </c>
      <c r="G621" t="s">
        <v>1060</v>
      </c>
      <c r="H621">
        <v>10</v>
      </c>
      <c r="I621">
        <v>20</v>
      </c>
      <c r="J621">
        <v>20</v>
      </c>
      <c r="K621" s="3">
        <v>0.1</v>
      </c>
      <c r="L621">
        <f t="shared" si="88"/>
        <v>4.0000000000000001E-3</v>
      </c>
      <c r="M621">
        <f t="shared" si="85"/>
        <v>0.16</v>
      </c>
      <c r="N621" s="8">
        <v>40</v>
      </c>
      <c r="O621" s="14">
        <f t="shared" si="89"/>
        <v>747.2</v>
      </c>
      <c r="P621" s="8">
        <v>22</v>
      </c>
      <c r="Q621" s="8">
        <f t="shared" si="90"/>
        <v>1.8181818181818181</v>
      </c>
      <c r="R621" s="8">
        <f t="shared" si="91"/>
        <v>29.333333333333332</v>
      </c>
      <c r="S621" s="8">
        <f t="shared" si="92"/>
        <v>31.151515151515149</v>
      </c>
      <c r="T621" s="17">
        <f t="shared" si="86"/>
        <v>0.55305542396968266</v>
      </c>
      <c r="U621" s="19">
        <f t="shared" si="93"/>
        <v>14773.021746210336</v>
      </c>
      <c r="V621" s="29" t="s">
        <v>2983</v>
      </c>
    </row>
    <row r="622" spans="1:22" ht="15" customHeight="1" x14ac:dyDescent="0.25">
      <c r="A622" t="s">
        <v>295</v>
      </c>
      <c r="B622" t="s">
        <v>296</v>
      </c>
      <c r="C622" t="s">
        <v>2031</v>
      </c>
      <c r="D622" t="s">
        <v>2032</v>
      </c>
      <c r="E622" t="s">
        <v>234</v>
      </c>
      <c r="F622" s="5">
        <v>56.6</v>
      </c>
      <c r="G622" t="s">
        <v>2033</v>
      </c>
      <c r="H622" s="3">
        <v>0.8</v>
      </c>
      <c r="I622" s="3">
        <v>1000</v>
      </c>
      <c r="J622" s="3">
        <v>3</v>
      </c>
      <c r="K622" s="3">
        <v>24</v>
      </c>
      <c r="L622">
        <f t="shared" si="88"/>
        <v>2.3999999999999998E-3</v>
      </c>
      <c r="M622">
        <f t="shared" ref="M622:M685" si="94">L622*N622</f>
        <v>2.8799999999999999E-2</v>
      </c>
      <c r="N622" s="8">
        <v>12</v>
      </c>
      <c r="O622" s="14">
        <f t="shared" si="89"/>
        <v>679.2</v>
      </c>
      <c r="P622" s="8">
        <v>40</v>
      </c>
      <c r="Q622" s="8">
        <f t="shared" si="90"/>
        <v>0.3</v>
      </c>
      <c r="R622" s="8">
        <f t="shared" si="91"/>
        <v>16</v>
      </c>
      <c r="S622" s="8">
        <f t="shared" si="92"/>
        <v>16.3</v>
      </c>
      <c r="T622" s="17">
        <f t="shared" si="86"/>
        <v>0.50272382756987211</v>
      </c>
      <c r="U622" s="19">
        <f t="shared" si="93"/>
        <v>14773.524470037906</v>
      </c>
      <c r="V622" s="29" t="s">
        <v>2983</v>
      </c>
    </row>
    <row r="623" spans="1:22" ht="15" customHeight="1" x14ac:dyDescent="0.25">
      <c r="A623" t="s">
        <v>295</v>
      </c>
      <c r="B623" t="s">
        <v>296</v>
      </c>
      <c r="C623" t="s">
        <v>2040</v>
      </c>
      <c r="D623" t="s">
        <v>2041</v>
      </c>
      <c r="E623" t="s">
        <v>234</v>
      </c>
      <c r="F623" s="5">
        <v>54.9</v>
      </c>
      <c r="G623" t="s">
        <v>911</v>
      </c>
      <c r="H623" s="3">
        <v>5</v>
      </c>
      <c r="I623" s="3">
        <v>50</v>
      </c>
      <c r="J623" s="3">
        <v>15</v>
      </c>
      <c r="K623" s="3">
        <v>3.75</v>
      </c>
      <c r="L623">
        <f t="shared" si="88"/>
        <v>3.7499999999999999E-3</v>
      </c>
      <c r="M623">
        <f t="shared" si="94"/>
        <v>4.4999999999999998E-2</v>
      </c>
      <c r="N623" s="8">
        <v>12</v>
      </c>
      <c r="O623" s="14">
        <f t="shared" si="89"/>
        <v>658.8</v>
      </c>
      <c r="P623" s="8">
        <v>40</v>
      </c>
      <c r="Q623" s="8">
        <f t="shared" si="90"/>
        <v>0.3</v>
      </c>
      <c r="R623" s="8">
        <f t="shared" si="91"/>
        <v>16</v>
      </c>
      <c r="S623" s="8">
        <f t="shared" si="92"/>
        <v>16.3</v>
      </c>
      <c r="T623" s="17">
        <f t="shared" si="86"/>
        <v>0.48762434864992893</v>
      </c>
      <c r="U623" s="19">
        <f t="shared" si="93"/>
        <v>14774.012094386557</v>
      </c>
      <c r="V623" s="29" t="s">
        <v>2983</v>
      </c>
    </row>
    <row r="624" spans="1:22" ht="15" customHeight="1" x14ac:dyDescent="0.25">
      <c r="A624" t="s">
        <v>295</v>
      </c>
      <c r="B624" t="s">
        <v>1988</v>
      </c>
      <c r="C624" t="s">
        <v>1054</v>
      </c>
      <c r="D624" t="s">
        <v>1055</v>
      </c>
      <c r="E624" t="s">
        <v>234</v>
      </c>
      <c r="F624" s="5">
        <v>16.399999999999999</v>
      </c>
      <c r="G624" t="s">
        <v>1056</v>
      </c>
      <c r="H624">
        <v>30</v>
      </c>
      <c r="I624">
        <v>24</v>
      </c>
      <c r="J624">
        <v>40</v>
      </c>
      <c r="K624" s="3">
        <v>0.02</v>
      </c>
      <c r="L624">
        <f t="shared" si="88"/>
        <v>2.8799999999999999E-2</v>
      </c>
      <c r="M624">
        <f t="shared" si="94"/>
        <v>1.1519999999999999</v>
      </c>
      <c r="N624" s="8">
        <v>40</v>
      </c>
      <c r="O624" s="14">
        <f t="shared" si="89"/>
        <v>656</v>
      </c>
      <c r="P624" s="8">
        <v>22</v>
      </c>
      <c r="Q624" s="8">
        <f t="shared" si="90"/>
        <v>1.8181818181818181</v>
      </c>
      <c r="R624" s="8">
        <f t="shared" si="91"/>
        <v>29.333333333333332</v>
      </c>
      <c r="S624" s="8">
        <f t="shared" si="92"/>
        <v>31.151515151515149</v>
      </c>
      <c r="T624" s="17">
        <f t="shared" si="86"/>
        <v>0.48555187115111326</v>
      </c>
      <c r="U624" s="19">
        <f t="shared" si="93"/>
        <v>14774.497646257709</v>
      </c>
      <c r="V624" s="29" t="s">
        <v>2983</v>
      </c>
    </row>
    <row r="625" spans="1:22" ht="15" customHeight="1" x14ac:dyDescent="0.25">
      <c r="A625" t="s">
        <v>295</v>
      </c>
      <c r="B625" t="s">
        <v>1988</v>
      </c>
      <c r="C625" t="s">
        <v>1054</v>
      </c>
      <c r="D625" t="s">
        <v>1061</v>
      </c>
      <c r="E625" t="s">
        <v>234</v>
      </c>
      <c r="F625" s="5">
        <v>11.4</v>
      </c>
      <c r="G625" t="s">
        <v>1056</v>
      </c>
      <c r="H625">
        <v>10</v>
      </c>
      <c r="I625">
        <v>20</v>
      </c>
      <c r="J625">
        <v>20</v>
      </c>
      <c r="K625" s="3">
        <v>0.11</v>
      </c>
      <c r="L625">
        <f t="shared" si="88"/>
        <v>4.0000000000000001E-3</v>
      </c>
      <c r="M625">
        <f t="shared" si="94"/>
        <v>0.16</v>
      </c>
      <c r="N625" s="8">
        <v>40</v>
      </c>
      <c r="O625" s="14">
        <f t="shared" si="89"/>
        <v>456</v>
      </c>
      <c r="P625" s="8">
        <v>22</v>
      </c>
      <c r="Q625" s="8">
        <f t="shared" si="90"/>
        <v>1.8181818181818181</v>
      </c>
      <c r="R625" s="8">
        <f t="shared" si="91"/>
        <v>29.333333333333332</v>
      </c>
      <c r="S625" s="8">
        <f t="shared" si="92"/>
        <v>31.151515151515149</v>
      </c>
      <c r="T625" s="17">
        <f t="shared" si="86"/>
        <v>0.33751776409284701</v>
      </c>
      <c r="U625" s="19">
        <f t="shared" si="93"/>
        <v>14774.835164021802</v>
      </c>
      <c r="V625" s="29" t="s">
        <v>2983</v>
      </c>
    </row>
    <row r="626" spans="1:22" ht="15" customHeight="1" x14ac:dyDescent="0.25">
      <c r="A626" t="s">
        <v>295</v>
      </c>
      <c r="B626" t="s">
        <v>296</v>
      </c>
      <c r="C626" t="s">
        <v>2037</v>
      </c>
      <c r="D626" t="s">
        <v>2038</v>
      </c>
      <c r="E626" t="s">
        <v>234</v>
      </c>
      <c r="F626" s="5">
        <v>11.25</v>
      </c>
      <c r="G626" t="s">
        <v>2039</v>
      </c>
      <c r="H626" s="3">
        <v>3</v>
      </c>
      <c r="I626" s="3">
        <v>15</v>
      </c>
      <c r="J626" s="3">
        <v>8</v>
      </c>
      <c r="K626" s="3">
        <v>360</v>
      </c>
      <c r="L626">
        <f t="shared" si="88"/>
        <v>3.6000000000000002E-4</v>
      </c>
      <c r="M626">
        <f t="shared" si="94"/>
        <v>4.3200000000000001E-3</v>
      </c>
      <c r="N626" s="8">
        <v>12</v>
      </c>
      <c r="O626" s="14">
        <f t="shared" si="89"/>
        <v>135</v>
      </c>
      <c r="P626" s="8">
        <v>40</v>
      </c>
      <c r="Q626" s="8">
        <f t="shared" si="90"/>
        <v>0.3</v>
      </c>
      <c r="R626" s="8">
        <f t="shared" si="91"/>
        <v>16</v>
      </c>
      <c r="S626" s="8">
        <f t="shared" si="92"/>
        <v>16.3</v>
      </c>
      <c r="T626" s="17">
        <f t="shared" si="86"/>
        <v>9.9923022264329711E-2</v>
      </c>
      <c r="U626" s="19">
        <f t="shared" si="93"/>
        <v>14774.935087044067</v>
      </c>
      <c r="V626" s="29" t="s">
        <v>2983</v>
      </c>
    </row>
    <row r="627" spans="1:22" ht="15" customHeight="1" x14ac:dyDescent="0.25">
      <c r="A627" t="s">
        <v>295</v>
      </c>
      <c r="B627" t="s">
        <v>296</v>
      </c>
      <c r="C627" t="s">
        <v>2034</v>
      </c>
      <c r="D627" t="s">
        <v>2035</v>
      </c>
      <c r="E627" t="s">
        <v>234</v>
      </c>
      <c r="F627" s="5">
        <v>3.1</v>
      </c>
      <c r="G627" t="s">
        <v>2036</v>
      </c>
      <c r="H627" s="3">
        <v>2</v>
      </c>
      <c r="I627" s="3">
        <v>10</v>
      </c>
      <c r="J627" s="3">
        <v>5</v>
      </c>
      <c r="K627" s="3">
        <v>100</v>
      </c>
      <c r="L627">
        <f t="shared" si="88"/>
        <v>1E-4</v>
      </c>
      <c r="M627">
        <f t="shared" si="94"/>
        <v>1.2000000000000001E-3</v>
      </c>
      <c r="N627" s="8">
        <v>12</v>
      </c>
      <c r="O627" s="14">
        <f t="shared" si="89"/>
        <v>37.200000000000003</v>
      </c>
      <c r="P627" s="8">
        <v>40</v>
      </c>
      <c r="Q627" s="8">
        <f t="shared" si="90"/>
        <v>0.3</v>
      </c>
      <c r="R627" s="8">
        <f t="shared" si="91"/>
        <v>16</v>
      </c>
      <c r="S627" s="8">
        <f t="shared" si="92"/>
        <v>16.3</v>
      </c>
      <c r="T627" s="17">
        <f t="shared" si="86"/>
        <v>2.753434391283752E-2</v>
      </c>
      <c r="U627" s="19">
        <f t="shared" si="93"/>
        <v>14774.96262138798</v>
      </c>
      <c r="V627" s="29" t="s">
        <v>2983</v>
      </c>
    </row>
    <row r="628" spans="1:22" ht="15" customHeight="1" x14ac:dyDescent="0.25">
      <c r="A628" t="s">
        <v>518</v>
      </c>
      <c r="B628" t="s">
        <v>637</v>
      </c>
      <c r="C628" t="s">
        <v>2212</v>
      </c>
      <c r="D628" t="s">
        <v>1241</v>
      </c>
      <c r="E628" t="s">
        <v>2213</v>
      </c>
      <c r="F628" s="5">
        <v>3000</v>
      </c>
      <c r="G628" t="s">
        <v>2215</v>
      </c>
      <c r="H628" s="3">
        <v>60</v>
      </c>
      <c r="I628" s="3">
        <v>500</v>
      </c>
      <c r="J628" s="3">
        <v>0.55000000000000004</v>
      </c>
      <c r="K628" s="3">
        <v>1.6500000000000001E-2</v>
      </c>
      <c r="L628">
        <f t="shared" si="88"/>
        <v>1.6500000000000001E-2</v>
      </c>
      <c r="M628">
        <f t="shared" si="94"/>
        <v>1.5675000000000001</v>
      </c>
      <c r="N628" s="8">
        <v>95</v>
      </c>
      <c r="O628" s="14">
        <f t="shared" si="89"/>
        <v>285000</v>
      </c>
      <c r="P628" s="8">
        <v>20</v>
      </c>
      <c r="Q628" s="8">
        <f t="shared" si="90"/>
        <v>4.75</v>
      </c>
      <c r="R628" s="8">
        <f t="shared" si="91"/>
        <v>63.333333333333329</v>
      </c>
      <c r="S628" s="8">
        <f t="shared" si="92"/>
        <v>68.083333333333329</v>
      </c>
      <c r="T628" s="22">
        <f t="shared" si="86"/>
        <v>210.94860255802936</v>
      </c>
      <c r="U628" s="19">
        <f>T628</f>
        <v>210.94860255802936</v>
      </c>
      <c r="V628" s="25" t="s">
        <v>2987</v>
      </c>
    </row>
    <row r="629" spans="1:22" ht="15" customHeight="1" x14ac:dyDescent="0.25">
      <c r="A629" t="s">
        <v>518</v>
      </c>
      <c r="B629" t="s">
        <v>876</v>
      </c>
      <c r="C629" t="s">
        <v>2488</v>
      </c>
      <c r="D629" t="s">
        <v>888</v>
      </c>
      <c r="E629" t="s">
        <v>234</v>
      </c>
      <c r="F629" s="5">
        <v>2000</v>
      </c>
      <c r="G629" t="s">
        <v>889</v>
      </c>
      <c r="H629" s="3">
        <v>25</v>
      </c>
      <c r="I629" s="3">
        <v>45</v>
      </c>
      <c r="J629" s="3">
        <v>30</v>
      </c>
      <c r="K629">
        <v>2.7</v>
      </c>
      <c r="L629">
        <f t="shared" si="88"/>
        <v>3.3750000000000002E-2</v>
      </c>
      <c r="M629">
        <f t="shared" si="94"/>
        <v>3.7125000000000004</v>
      </c>
      <c r="N629" s="8">
        <v>110</v>
      </c>
      <c r="O629" s="14">
        <f t="shared" si="89"/>
        <v>220000</v>
      </c>
      <c r="P629" s="8">
        <v>25</v>
      </c>
      <c r="Q629" s="8">
        <f t="shared" si="90"/>
        <v>4.4000000000000004</v>
      </c>
      <c r="R629" s="8">
        <f t="shared" si="91"/>
        <v>91.666666666666657</v>
      </c>
      <c r="S629" s="8">
        <f t="shared" si="92"/>
        <v>96.066666666666663</v>
      </c>
      <c r="T629" s="22">
        <f t="shared" ref="T629:T692" si="95">O629/O$1749</f>
        <v>162.83751776409287</v>
      </c>
      <c r="U629" s="19">
        <f t="shared" ref="U629:U692" si="96">U628+T629</f>
        <v>373.7861203221222</v>
      </c>
      <c r="V629" s="25" t="s">
        <v>2987</v>
      </c>
    </row>
    <row r="630" spans="1:22" ht="15" customHeight="1" x14ac:dyDescent="0.25">
      <c r="A630" t="s">
        <v>518</v>
      </c>
      <c r="B630" t="s">
        <v>876</v>
      </c>
      <c r="C630" t="s">
        <v>2488</v>
      </c>
      <c r="D630" t="s">
        <v>886</v>
      </c>
      <c r="E630" t="s">
        <v>234</v>
      </c>
      <c r="F630" s="5">
        <v>2000</v>
      </c>
      <c r="G630" t="s">
        <v>887</v>
      </c>
      <c r="H630" s="3">
        <v>25</v>
      </c>
      <c r="I630" s="3">
        <v>45</v>
      </c>
      <c r="J630" s="3">
        <v>30</v>
      </c>
      <c r="K630">
        <v>2.6</v>
      </c>
      <c r="L630">
        <f t="shared" si="88"/>
        <v>3.3750000000000002E-2</v>
      </c>
      <c r="M630">
        <f t="shared" si="94"/>
        <v>3.7125000000000004</v>
      </c>
      <c r="N630" s="8">
        <v>110</v>
      </c>
      <c r="O630" s="14">
        <f t="shared" si="89"/>
        <v>220000</v>
      </c>
      <c r="P630" s="8">
        <v>25</v>
      </c>
      <c r="Q630" s="8">
        <f t="shared" si="90"/>
        <v>4.4000000000000004</v>
      </c>
      <c r="R630" s="8">
        <f t="shared" si="91"/>
        <v>91.666666666666657</v>
      </c>
      <c r="S630" s="8">
        <f t="shared" si="92"/>
        <v>96.066666666666663</v>
      </c>
      <c r="T630" s="22">
        <f t="shared" si="95"/>
        <v>162.83751776409287</v>
      </c>
      <c r="U630" s="19">
        <f t="shared" si="96"/>
        <v>536.62363808621512</v>
      </c>
      <c r="V630" s="25" t="s">
        <v>2987</v>
      </c>
    </row>
    <row r="631" spans="1:22" ht="15" customHeight="1" x14ac:dyDescent="0.25">
      <c r="A631" t="s">
        <v>518</v>
      </c>
      <c r="B631" t="s">
        <v>876</v>
      </c>
      <c r="C631" t="s">
        <v>2487</v>
      </c>
      <c r="D631" t="s">
        <v>881</v>
      </c>
      <c r="E631" t="s">
        <v>234</v>
      </c>
      <c r="F631" s="5">
        <v>1900</v>
      </c>
      <c r="G631" t="s">
        <v>882</v>
      </c>
      <c r="H631" s="3">
        <v>20</v>
      </c>
      <c r="I631" s="3">
        <v>30</v>
      </c>
      <c r="J631" s="3">
        <v>30</v>
      </c>
      <c r="K631" s="3">
        <v>2</v>
      </c>
      <c r="L631">
        <f t="shared" si="88"/>
        <v>1.7999999999999999E-2</v>
      </c>
      <c r="M631">
        <f t="shared" si="94"/>
        <v>1.9799999999999998</v>
      </c>
      <c r="N631" s="8">
        <v>110</v>
      </c>
      <c r="O631" s="14">
        <f t="shared" si="89"/>
        <v>209000</v>
      </c>
      <c r="P631" s="8">
        <v>25</v>
      </c>
      <c r="Q631" s="8">
        <f t="shared" si="90"/>
        <v>4.4000000000000004</v>
      </c>
      <c r="R631" s="8">
        <f t="shared" si="91"/>
        <v>91.666666666666657</v>
      </c>
      <c r="S631" s="8">
        <f t="shared" si="92"/>
        <v>96.066666666666663</v>
      </c>
      <c r="T631" s="22">
        <f t="shared" si="95"/>
        <v>154.69564187588821</v>
      </c>
      <c r="U631" s="19">
        <f t="shared" si="96"/>
        <v>691.31927996210334</v>
      </c>
      <c r="V631" s="25" t="s">
        <v>2987</v>
      </c>
    </row>
    <row r="632" spans="1:22" ht="15" customHeight="1" x14ac:dyDescent="0.25">
      <c r="A632" t="s">
        <v>518</v>
      </c>
      <c r="B632" t="s">
        <v>1090</v>
      </c>
      <c r="C632" t="s">
        <v>2452</v>
      </c>
      <c r="D632" t="s">
        <v>2414</v>
      </c>
      <c r="E632" t="s">
        <v>234</v>
      </c>
      <c r="F632" s="5">
        <v>35000</v>
      </c>
      <c r="G632" t="s">
        <v>140</v>
      </c>
      <c r="H632" s="3">
        <v>170</v>
      </c>
      <c r="I632" s="3">
        <v>50</v>
      </c>
      <c r="J632" s="3">
        <v>170</v>
      </c>
      <c r="K632" s="3">
        <v>83</v>
      </c>
      <c r="L632">
        <f t="shared" si="88"/>
        <v>1.4450000000000001</v>
      </c>
      <c r="M632">
        <f t="shared" si="94"/>
        <v>7.2250000000000005</v>
      </c>
      <c r="N632" s="8">
        <v>5</v>
      </c>
      <c r="O632" s="14">
        <f t="shared" si="89"/>
        <v>175000</v>
      </c>
      <c r="P632" s="8">
        <v>20</v>
      </c>
      <c r="Q632" s="8">
        <f t="shared" si="90"/>
        <v>0.25</v>
      </c>
      <c r="R632" s="8">
        <f t="shared" si="91"/>
        <v>3.333333333333333</v>
      </c>
      <c r="S632" s="8">
        <f t="shared" si="92"/>
        <v>3.583333333333333</v>
      </c>
      <c r="T632" s="22">
        <f t="shared" si="95"/>
        <v>129.52984367598296</v>
      </c>
      <c r="U632" s="19">
        <f t="shared" si="96"/>
        <v>820.84912363808633</v>
      </c>
      <c r="V632" s="25" t="s">
        <v>2987</v>
      </c>
    </row>
    <row r="633" spans="1:22" ht="15" customHeight="1" x14ac:dyDescent="0.25">
      <c r="A633" t="s">
        <v>518</v>
      </c>
      <c r="B633" t="s">
        <v>637</v>
      </c>
      <c r="C633" t="s">
        <v>2218</v>
      </c>
      <c r="D633" t="s">
        <v>1241</v>
      </c>
      <c r="E633" t="s">
        <v>2213</v>
      </c>
      <c r="F633" s="5">
        <v>4800</v>
      </c>
      <c r="G633" t="s">
        <v>2215</v>
      </c>
      <c r="H633" s="3">
        <v>8</v>
      </c>
      <c r="I633" s="3">
        <v>1000</v>
      </c>
      <c r="J633" s="3">
        <v>0.8</v>
      </c>
      <c r="K633" s="3">
        <v>6.4000000000000003E-3</v>
      </c>
      <c r="L633">
        <f t="shared" si="88"/>
        <v>6.4000000000000003E-3</v>
      </c>
      <c r="M633">
        <f t="shared" si="94"/>
        <v>0.23040000000000002</v>
      </c>
      <c r="N633" s="8">
        <v>36</v>
      </c>
      <c r="O633" s="14">
        <f t="shared" si="89"/>
        <v>172800</v>
      </c>
      <c r="P633" s="8">
        <v>20</v>
      </c>
      <c r="Q633" s="8">
        <f t="shared" si="90"/>
        <v>1.8</v>
      </c>
      <c r="R633" s="8">
        <f t="shared" si="91"/>
        <v>24</v>
      </c>
      <c r="S633" s="8">
        <f t="shared" si="92"/>
        <v>25.8</v>
      </c>
      <c r="T633" s="22">
        <f t="shared" si="95"/>
        <v>127.90146849834203</v>
      </c>
      <c r="U633" s="19">
        <f t="shared" si="96"/>
        <v>948.75059213642839</v>
      </c>
      <c r="V633" s="25" t="s">
        <v>2987</v>
      </c>
    </row>
    <row r="634" spans="1:22" ht="15" customHeight="1" x14ac:dyDescent="0.25">
      <c r="A634" t="s">
        <v>518</v>
      </c>
      <c r="B634" t="s">
        <v>876</v>
      </c>
      <c r="C634" t="s">
        <v>2488</v>
      </c>
      <c r="D634" t="s">
        <v>890</v>
      </c>
      <c r="E634" t="s">
        <v>234</v>
      </c>
      <c r="F634" s="5">
        <v>1500</v>
      </c>
      <c r="G634" t="s">
        <v>891</v>
      </c>
      <c r="H634" s="3">
        <v>25</v>
      </c>
      <c r="I634" s="3">
        <v>45</v>
      </c>
      <c r="J634" s="3">
        <v>30</v>
      </c>
      <c r="K634">
        <v>2.8</v>
      </c>
      <c r="L634">
        <f t="shared" si="88"/>
        <v>3.3750000000000002E-2</v>
      </c>
      <c r="M634">
        <f t="shared" si="94"/>
        <v>3.7125000000000004</v>
      </c>
      <c r="N634" s="8">
        <v>110</v>
      </c>
      <c r="O634" s="14">
        <f t="shared" si="89"/>
        <v>165000</v>
      </c>
      <c r="P634" s="8">
        <v>25</v>
      </c>
      <c r="Q634" s="8">
        <f t="shared" si="90"/>
        <v>4.4000000000000004</v>
      </c>
      <c r="R634" s="8">
        <f t="shared" si="91"/>
        <v>91.666666666666657</v>
      </c>
      <c r="S634" s="8">
        <f t="shared" si="92"/>
        <v>96.066666666666663</v>
      </c>
      <c r="T634" s="22">
        <f t="shared" si="95"/>
        <v>122.12813832306963</v>
      </c>
      <c r="U634" s="19">
        <f t="shared" si="96"/>
        <v>1070.878730459498</v>
      </c>
      <c r="V634" s="25" t="s">
        <v>2987</v>
      </c>
    </row>
    <row r="635" spans="1:22" ht="15" customHeight="1" x14ac:dyDescent="0.25">
      <c r="A635" t="s">
        <v>518</v>
      </c>
      <c r="B635" t="s">
        <v>876</v>
      </c>
      <c r="C635" t="s">
        <v>2488</v>
      </c>
      <c r="D635" t="s">
        <v>2489</v>
      </c>
      <c r="E635" t="s">
        <v>234</v>
      </c>
      <c r="F635" s="5">
        <v>1500</v>
      </c>
      <c r="G635" t="s">
        <v>885</v>
      </c>
      <c r="H635" s="3">
        <v>25</v>
      </c>
      <c r="I635" s="3">
        <v>45</v>
      </c>
      <c r="J635" s="3">
        <v>30</v>
      </c>
      <c r="K635">
        <v>2.5</v>
      </c>
      <c r="L635">
        <f t="shared" si="88"/>
        <v>3.3750000000000002E-2</v>
      </c>
      <c r="M635">
        <f t="shared" si="94"/>
        <v>3.7125000000000004</v>
      </c>
      <c r="N635" s="8">
        <v>110</v>
      </c>
      <c r="O635" s="14">
        <f t="shared" si="89"/>
        <v>165000</v>
      </c>
      <c r="P635" s="8">
        <v>25</v>
      </c>
      <c r="Q635" s="8">
        <f t="shared" si="90"/>
        <v>4.4000000000000004</v>
      </c>
      <c r="R635" s="8">
        <f t="shared" si="91"/>
        <v>91.666666666666657</v>
      </c>
      <c r="S635" s="8">
        <f t="shared" si="92"/>
        <v>96.066666666666663</v>
      </c>
      <c r="T635" s="22">
        <f t="shared" si="95"/>
        <v>122.12813832306963</v>
      </c>
      <c r="U635" s="19">
        <f t="shared" si="96"/>
        <v>1193.0068687825676</v>
      </c>
      <c r="V635" s="25" t="s">
        <v>2987</v>
      </c>
    </row>
    <row r="636" spans="1:22" ht="15" customHeight="1" x14ac:dyDescent="0.25">
      <c r="A636" t="s">
        <v>518</v>
      </c>
      <c r="B636" t="s">
        <v>876</v>
      </c>
      <c r="C636" t="s">
        <v>2487</v>
      </c>
      <c r="D636" t="s">
        <v>884</v>
      </c>
      <c r="E636" t="s">
        <v>234</v>
      </c>
      <c r="F636" s="5">
        <v>1500</v>
      </c>
      <c r="G636" t="s">
        <v>882</v>
      </c>
      <c r="H636" s="3">
        <v>20</v>
      </c>
      <c r="I636" s="3">
        <v>30</v>
      </c>
      <c r="J636" s="3">
        <v>30</v>
      </c>
      <c r="K636" s="3">
        <v>2</v>
      </c>
      <c r="L636">
        <f t="shared" si="88"/>
        <v>1.7999999999999999E-2</v>
      </c>
      <c r="M636">
        <f t="shared" si="94"/>
        <v>1.9799999999999998</v>
      </c>
      <c r="N636" s="8">
        <v>110</v>
      </c>
      <c r="O636" s="14">
        <f t="shared" si="89"/>
        <v>165000</v>
      </c>
      <c r="P636" s="8">
        <v>25</v>
      </c>
      <c r="Q636" s="8">
        <f t="shared" si="90"/>
        <v>4.4000000000000004</v>
      </c>
      <c r="R636" s="8">
        <f t="shared" si="91"/>
        <v>91.666666666666657</v>
      </c>
      <c r="S636" s="8">
        <f t="shared" si="92"/>
        <v>96.066666666666663</v>
      </c>
      <c r="T636" s="22">
        <f t="shared" si="95"/>
        <v>122.12813832306963</v>
      </c>
      <c r="U636" s="19">
        <f t="shared" si="96"/>
        <v>1315.1350071056372</v>
      </c>
      <c r="V636" s="25" t="s">
        <v>2987</v>
      </c>
    </row>
    <row r="637" spans="1:22" ht="15" customHeight="1" x14ac:dyDescent="0.25">
      <c r="A637" t="s">
        <v>518</v>
      </c>
      <c r="B637" t="s">
        <v>876</v>
      </c>
      <c r="C637" t="s">
        <v>2487</v>
      </c>
      <c r="D637" t="s">
        <v>879</v>
      </c>
      <c r="E637" t="s">
        <v>234</v>
      </c>
      <c r="F637" s="5">
        <v>1500</v>
      </c>
      <c r="G637" t="s">
        <v>880</v>
      </c>
      <c r="H637" s="3">
        <v>20</v>
      </c>
      <c r="I637" s="3">
        <v>30</v>
      </c>
      <c r="J637" s="3">
        <v>30</v>
      </c>
      <c r="K637">
        <v>1.5</v>
      </c>
      <c r="L637">
        <f t="shared" si="88"/>
        <v>1.7999999999999999E-2</v>
      </c>
      <c r="M637">
        <f t="shared" si="94"/>
        <v>1.9799999999999998</v>
      </c>
      <c r="N637" s="8">
        <v>110</v>
      </c>
      <c r="O637" s="14">
        <f t="shared" si="89"/>
        <v>165000</v>
      </c>
      <c r="P637" s="8">
        <v>25</v>
      </c>
      <c r="Q637" s="8">
        <f t="shared" si="90"/>
        <v>4.4000000000000004</v>
      </c>
      <c r="R637" s="8">
        <f t="shared" si="91"/>
        <v>91.666666666666657</v>
      </c>
      <c r="S637" s="8">
        <f t="shared" si="92"/>
        <v>96.066666666666663</v>
      </c>
      <c r="T637" s="22">
        <f t="shared" si="95"/>
        <v>122.12813832306963</v>
      </c>
      <c r="U637" s="19">
        <f t="shared" si="96"/>
        <v>1437.2631454287068</v>
      </c>
      <c r="V637" s="25" t="s">
        <v>2987</v>
      </c>
    </row>
    <row r="638" spans="1:22" ht="15" customHeight="1" x14ac:dyDescent="0.25">
      <c r="A638" t="s">
        <v>518</v>
      </c>
      <c r="B638" t="s">
        <v>637</v>
      </c>
      <c r="C638" t="s">
        <v>2212</v>
      </c>
      <c r="D638" t="s">
        <v>1238</v>
      </c>
      <c r="E638" t="s">
        <v>2213</v>
      </c>
      <c r="F638" s="5">
        <v>1350</v>
      </c>
      <c r="G638" t="s">
        <v>2215</v>
      </c>
      <c r="H638" s="3">
        <v>40</v>
      </c>
      <c r="I638" s="3">
        <v>1000</v>
      </c>
      <c r="J638" s="3">
        <v>0.55000000000000004</v>
      </c>
      <c r="K638" s="3">
        <v>2.1999999999999999E-2</v>
      </c>
      <c r="L638">
        <f t="shared" si="88"/>
        <v>2.1999999999999999E-2</v>
      </c>
      <c r="M638">
        <f t="shared" si="94"/>
        <v>2.09</v>
      </c>
      <c r="N638" s="8">
        <v>95</v>
      </c>
      <c r="O638" s="14">
        <f t="shared" si="89"/>
        <v>128250</v>
      </c>
      <c r="P638" s="8">
        <v>20</v>
      </c>
      <c r="Q638" s="8">
        <f t="shared" si="90"/>
        <v>4.75</v>
      </c>
      <c r="R638" s="8">
        <f t="shared" si="91"/>
        <v>63.333333333333329</v>
      </c>
      <c r="S638" s="8">
        <f t="shared" si="92"/>
        <v>68.083333333333329</v>
      </c>
      <c r="T638" s="22">
        <f t="shared" si="95"/>
        <v>94.926871151113218</v>
      </c>
      <c r="U638" s="19">
        <f t="shared" si="96"/>
        <v>1532.1900165798199</v>
      </c>
      <c r="V638" s="25" t="s">
        <v>2987</v>
      </c>
    </row>
    <row r="639" spans="1:22" ht="15" customHeight="1" x14ac:dyDescent="0.25">
      <c r="A639" t="s">
        <v>518</v>
      </c>
      <c r="B639" t="s">
        <v>1090</v>
      </c>
      <c r="C639" t="s">
        <v>2453</v>
      </c>
      <c r="D639" t="s">
        <v>2414</v>
      </c>
      <c r="E639" t="s">
        <v>234</v>
      </c>
      <c r="F639" s="5">
        <v>24000</v>
      </c>
      <c r="G639" t="s">
        <v>140</v>
      </c>
      <c r="H639" s="3">
        <v>150</v>
      </c>
      <c r="I639" s="3">
        <v>45</v>
      </c>
      <c r="J639" s="3">
        <v>150</v>
      </c>
      <c r="K639" s="3">
        <v>70</v>
      </c>
      <c r="L639">
        <f t="shared" si="88"/>
        <v>1.0125</v>
      </c>
      <c r="M639">
        <f t="shared" si="94"/>
        <v>5.0625</v>
      </c>
      <c r="N639" s="8">
        <v>5</v>
      </c>
      <c r="O639" s="14">
        <f t="shared" si="89"/>
        <v>120000</v>
      </c>
      <c r="P639" s="8">
        <v>20</v>
      </c>
      <c r="Q639" s="8">
        <f t="shared" si="90"/>
        <v>0.25</v>
      </c>
      <c r="R639" s="8">
        <f t="shared" si="91"/>
        <v>3.333333333333333</v>
      </c>
      <c r="S639" s="8">
        <f t="shared" si="92"/>
        <v>3.583333333333333</v>
      </c>
      <c r="T639" s="22">
        <f t="shared" si="95"/>
        <v>88.820464234959744</v>
      </c>
      <c r="U639" s="19">
        <f t="shared" si="96"/>
        <v>1621.0104808147796</v>
      </c>
      <c r="V639" s="25" t="s">
        <v>2987</v>
      </c>
    </row>
    <row r="640" spans="1:22" ht="15" customHeight="1" x14ac:dyDescent="0.25">
      <c r="A640" t="s">
        <v>518</v>
      </c>
      <c r="B640" t="s">
        <v>1090</v>
      </c>
      <c r="C640" t="s">
        <v>2474</v>
      </c>
      <c r="D640" t="s">
        <v>745</v>
      </c>
      <c r="E640" t="s">
        <v>234</v>
      </c>
      <c r="F640" s="5">
        <v>23600</v>
      </c>
      <c r="G640" t="s">
        <v>140</v>
      </c>
      <c r="H640" s="3">
        <v>110</v>
      </c>
      <c r="I640" s="3">
        <v>60</v>
      </c>
      <c r="J640" s="3">
        <v>120</v>
      </c>
      <c r="K640" s="3">
        <v>82</v>
      </c>
      <c r="L640">
        <f t="shared" si="88"/>
        <v>0.79200000000000004</v>
      </c>
      <c r="M640">
        <f t="shared" si="94"/>
        <v>3.96</v>
      </c>
      <c r="N640" s="8">
        <v>5</v>
      </c>
      <c r="O640" s="14">
        <f t="shared" si="89"/>
        <v>118000</v>
      </c>
      <c r="P640" s="8">
        <v>20</v>
      </c>
      <c r="Q640" s="8">
        <f t="shared" si="90"/>
        <v>0.25</v>
      </c>
      <c r="R640" s="8">
        <f t="shared" si="91"/>
        <v>3.333333333333333</v>
      </c>
      <c r="S640" s="8">
        <f t="shared" si="92"/>
        <v>3.583333333333333</v>
      </c>
      <c r="T640" s="22">
        <f t="shared" si="95"/>
        <v>87.340123164377076</v>
      </c>
      <c r="U640" s="19">
        <f t="shared" si="96"/>
        <v>1708.3506039791566</v>
      </c>
      <c r="V640" s="25" t="s">
        <v>2987</v>
      </c>
    </row>
    <row r="641" spans="1:22" ht="15" customHeight="1" x14ac:dyDescent="0.25">
      <c r="A641" t="s">
        <v>518</v>
      </c>
      <c r="B641" t="s">
        <v>637</v>
      </c>
      <c r="C641" t="s">
        <v>2212</v>
      </c>
      <c r="D641" t="s">
        <v>1244</v>
      </c>
      <c r="E641" t="s">
        <v>2213</v>
      </c>
      <c r="F641" s="5">
        <v>1500</v>
      </c>
      <c r="G641" t="s">
        <v>2215</v>
      </c>
      <c r="H641" s="3">
        <v>55</v>
      </c>
      <c r="I641" s="3">
        <v>420</v>
      </c>
      <c r="J641" s="3">
        <v>0.5</v>
      </c>
      <c r="K641" s="3">
        <v>1.155E-2</v>
      </c>
      <c r="L641">
        <f t="shared" si="88"/>
        <v>1.155E-2</v>
      </c>
      <c r="M641">
        <f t="shared" si="94"/>
        <v>0.86624999999999996</v>
      </c>
      <c r="N641" s="8">
        <v>75</v>
      </c>
      <c r="O641" s="14">
        <f t="shared" si="89"/>
        <v>112500</v>
      </c>
      <c r="P641" s="8">
        <v>20</v>
      </c>
      <c r="Q641" s="8">
        <f t="shared" si="90"/>
        <v>3.75</v>
      </c>
      <c r="R641" s="8">
        <f t="shared" si="91"/>
        <v>50</v>
      </c>
      <c r="S641" s="8">
        <f t="shared" si="92"/>
        <v>53.75</v>
      </c>
      <c r="T641" s="22">
        <f t="shared" si="95"/>
        <v>83.26918522027475</v>
      </c>
      <c r="U641" s="19">
        <f t="shared" si="96"/>
        <v>1791.6197891994314</v>
      </c>
      <c r="V641" s="25" t="s">
        <v>2987</v>
      </c>
    </row>
    <row r="642" spans="1:22" ht="15" customHeight="1" x14ac:dyDescent="0.25">
      <c r="A642" t="s">
        <v>518</v>
      </c>
      <c r="B642" t="s">
        <v>876</v>
      </c>
      <c r="C642" t="s">
        <v>2487</v>
      </c>
      <c r="D642" t="s">
        <v>877</v>
      </c>
      <c r="E642" t="s">
        <v>234</v>
      </c>
      <c r="F642" s="5">
        <v>1000</v>
      </c>
      <c r="G642" t="s">
        <v>878</v>
      </c>
      <c r="H642" s="3">
        <v>20</v>
      </c>
      <c r="I642" s="3">
        <v>30</v>
      </c>
      <c r="J642" s="3">
        <v>30</v>
      </c>
      <c r="K642" s="3">
        <v>2</v>
      </c>
      <c r="L642">
        <f t="shared" ref="L642:L705" si="97">J642*I642*H642/1000000</f>
        <v>1.7999999999999999E-2</v>
      </c>
      <c r="M642">
        <f t="shared" si="94"/>
        <v>1.9799999999999998</v>
      </c>
      <c r="N642" s="8">
        <v>110</v>
      </c>
      <c r="O642" s="14">
        <f t="shared" ref="O642:O705" si="98">N642*F642</f>
        <v>110000</v>
      </c>
      <c r="P642" s="8">
        <v>25</v>
      </c>
      <c r="Q642" s="8">
        <f t="shared" ref="Q642:Q644" si="99">N642/P642</f>
        <v>4.4000000000000004</v>
      </c>
      <c r="R642" s="8">
        <f t="shared" si="91"/>
        <v>91.666666666666657</v>
      </c>
      <c r="S642" s="8">
        <f t="shared" ref="S642:S705" si="100">Q642+R642</f>
        <v>96.066666666666663</v>
      </c>
      <c r="T642" s="22">
        <f t="shared" si="95"/>
        <v>81.418758882046433</v>
      </c>
      <c r="U642" s="19">
        <f t="shared" si="96"/>
        <v>1873.0385480814778</v>
      </c>
      <c r="V642" s="25" t="s">
        <v>2987</v>
      </c>
    </row>
    <row r="643" spans="1:22" ht="15" customHeight="1" x14ac:dyDescent="0.25">
      <c r="A643" t="s">
        <v>518</v>
      </c>
      <c r="B643" t="s">
        <v>876</v>
      </c>
      <c r="C643" t="s">
        <v>2487</v>
      </c>
      <c r="D643" t="s">
        <v>883</v>
      </c>
      <c r="E643" t="s">
        <v>234</v>
      </c>
      <c r="F643" s="5">
        <v>950</v>
      </c>
      <c r="G643" t="s">
        <v>878</v>
      </c>
      <c r="H643" s="3">
        <v>20</v>
      </c>
      <c r="I643" s="3">
        <v>30</v>
      </c>
      <c r="J643" s="3">
        <v>30</v>
      </c>
      <c r="K643" s="3">
        <v>2</v>
      </c>
      <c r="L643">
        <f t="shared" si="97"/>
        <v>1.7999999999999999E-2</v>
      </c>
      <c r="M643">
        <f t="shared" si="94"/>
        <v>1.9799999999999998</v>
      </c>
      <c r="N643" s="8">
        <v>110</v>
      </c>
      <c r="O643" s="14">
        <f t="shared" si="98"/>
        <v>104500</v>
      </c>
      <c r="P643" s="8">
        <v>25</v>
      </c>
      <c r="Q643" s="8">
        <f t="shared" si="99"/>
        <v>4.4000000000000004</v>
      </c>
      <c r="R643" s="8">
        <f t="shared" si="91"/>
        <v>91.666666666666657</v>
      </c>
      <c r="S643" s="8">
        <f t="shared" si="100"/>
        <v>96.066666666666663</v>
      </c>
      <c r="T643" s="22">
        <f t="shared" si="95"/>
        <v>77.347820937944107</v>
      </c>
      <c r="U643" s="19">
        <f t="shared" si="96"/>
        <v>1950.3863690194219</v>
      </c>
      <c r="V643" s="25" t="s">
        <v>2987</v>
      </c>
    </row>
    <row r="644" spans="1:22" ht="15" customHeight="1" x14ac:dyDescent="0.25">
      <c r="A644" t="s">
        <v>518</v>
      </c>
      <c r="B644" t="s">
        <v>637</v>
      </c>
      <c r="C644" t="s">
        <v>1255</v>
      </c>
      <c r="D644" t="s">
        <v>1256</v>
      </c>
      <c r="E644" t="s">
        <v>480</v>
      </c>
      <c r="F644" s="5">
        <v>2320</v>
      </c>
      <c r="G644" t="s">
        <v>683</v>
      </c>
      <c r="H644" s="3">
        <v>130</v>
      </c>
      <c r="I644" s="3">
        <v>165</v>
      </c>
      <c r="J644" s="3">
        <v>50</v>
      </c>
      <c r="K644" s="3">
        <v>1.0725</v>
      </c>
      <c r="L644">
        <f t="shared" si="97"/>
        <v>1.0725</v>
      </c>
      <c r="M644">
        <f t="shared" si="94"/>
        <v>42.9</v>
      </c>
      <c r="N644" s="8">
        <v>40</v>
      </c>
      <c r="O644" s="14">
        <f t="shared" si="98"/>
        <v>92800</v>
      </c>
      <c r="P644" s="8">
        <v>20</v>
      </c>
      <c r="Q644" s="8">
        <f t="shared" si="99"/>
        <v>2</v>
      </c>
      <c r="R644" s="8">
        <f t="shared" si="91"/>
        <v>26.666666666666664</v>
      </c>
      <c r="S644" s="8">
        <f t="shared" si="100"/>
        <v>28.666666666666664</v>
      </c>
      <c r="T644" s="22">
        <f t="shared" si="95"/>
        <v>68.687825675035526</v>
      </c>
      <c r="U644" s="19">
        <f t="shared" si="96"/>
        <v>2019.0741946944574</v>
      </c>
      <c r="V644" s="25" t="s">
        <v>2987</v>
      </c>
    </row>
    <row r="645" spans="1:22" ht="15" customHeight="1" x14ac:dyDescent="0.25">
      <c r="A645" t="s">
        <v>518</v>
      </c>
      <c r="B645" t="s">
        <v>519</v>
      </c>
      <c r="C645" t="s">
        <v>584</v>
      </c>
      <c r="D645" t="s">
        <v>585</v>
      </c>
      <c r="E645" t="s">
        <v>561</v>
      </c>
      <c r="F645" s="5">
        <v>259</v>
      </c>
      <c r="G645" t="s">
        <v>562</v>
      </c>
      <c r="H645" s="3">
        <v>25</v>
      </c>
      <c r="I645" s="3">
        <v>23.5</v>
      </c>
      <c r="J645" s="3">
        <v>4</v>
      </c>
      <c r="K645" s="3">
        <v>2.8</v>
      </c>
      <c r="L645">
        <f t="shared" si="97"/>
        <v>2.3500000000000001E-3</v>
      </c>
      <c r="M645">
        <f t="shared" si="94"/>
        <v>0.82250000000000001</v>
      </c>
      <c r="N645" s="8">
        <v>350</v>
      </c>
      <c r="O645" s="14">
        <f t="shared" si="98"/>
        <v>90650</v>
      </c>
      <c r="P645" s="8">
        <v>25</v>
      </c>
      <c r="Q645" s="8">
        <f>P645/N645</f>
        <v>7.1428571428571425E-2</v>
      </c>
      <c r="R645" s="8">
        <f>P645+Q645</f>
        <v>25.071428571428573</v>
      </c>
      <c r="S645" s="8">
        <f t="shared" si="100"/>
        <v>25.142857142857146</v>
      </c>
      <c r="T645" s="22">
        <f t="shared" si="95"/>
        <v>67.096459024159174</v>
      </c>
      <c r="U645" s="19">
        <f t="shared" si="96"/>
        <v>2086.1706537186164</v>
      </c>
      <c r="V645" s="25" t="s">
        <v>2987</v>
      </c>
    </row>
    <row r="646" spans="1:22" ht="15" customHeight="1" x14ac:dyDescent="0.25">
      <c r="A646" t="s">
        <v>518</v>
      </c>
      <c r="B646" t="s">
        <v>1090</v>
      </c>
      <c r="C646" t="s">
        <v>2468</v>
      </c>
      <c r="D646" t="s">
        <v>2469</v>
      </c>
      <c r="E646" t="s">
        <v>234</v>
      </c>
      <c r="F646" s="5">
        <v>18000</v>
      </c>
      <c r="G646" t="s">
        <v>140</v>
      </c>
      <c r="H646" s="3">
        <v>67</v>
      </c>
      <c r="I646" s="3">
        <v>40</v>
      </c>
      <c r="J646" s="3">
        <v>50</v>
      </c>
      <c r="K646" s="3">
        <v>60</v>
      </c>
      <c r="L646">
        <f t="shared" si="97"/>
        <v>0.13400000000000001</v>
      </c>
      <c r="M646">
        <f t="shared" si="94"/>
        <v>0.67</v>
      </c>
      <c r="N646" s="8">
        <v>5</v>
      </c>
      <c r="O646" s="14">
        <f t="shared" si="98"/>
        <v>90000</v>
      </c>
      <c r="P646" s="8">
        <v>20</v>
      </c>
      <c r="Q646" s="8">
        <f t="shared" ref="Q646:Q654" si="101">N646/P646</f>
        <v>0.25</v>
      </c>
      <c r="R646" s="8">
        <f t="shared" ref="R646:R654" si="102">(N646/30)*P646</f>
        <v>3.333333333333333</v>
      </c>
      <c r="S646" s="8">
        <f t="shared" si="100"/>
        <v>3.583333333333333</v>
      </c>
      <c r="T646" s="22">
        <f t="shared" si="95"/>
        <v>66.615348176219797</v>
      </c>
      <c r="U646" s="19">
        <f t="shared" si="96"/>
        <v>2152.7860018948363</v>
      </c>
      <c r="V646" s="25" t="s">
        <v>2987</v>
      </c>
    </row>
    <row r="647" spans="1:22" ht="15" customHeight="1" x14ac:dyDescent="0.25">
      <c r="A647" t="s">
        <v>518</v>
      </c>
      <c r="B647" t="s">
        <v>876</v>
      </c>
      <c r="C647" t="s">
        <v>2498</v>
      </c>
      <c r="D647" t="s">
        <v>2499</v>
      </c>
      <c r="E647" t="s">
        <v>234</v>
      </c>
      <c r="F647" s="5">
        <v>700</v>
      </c>
      <c r="G647" t="s">
        <v>896</v>
      </c>
      <c r="H647" s="3">
        <v>30</v>
      </c>
      <c r="I647" s="3">
        <v>40</v>
      </c>
      <c r="J647" s="3">
        <v>35</v>
      </c>
      <c r="K647">
        <v>2.5</v>
      </c>
      <c r="L647">
        <f t="shared" si="97"/>
        <v>4.2000000000000003E-2</v>
      </c>
      <c r="M647">
        <f t="shared" si="94"/>
        <v>4.62</v>
      </c>
      <c r="N647" s="8">
        <v>110</v>
      </c>
      <c r="O647" s="14">
        <f t="shared" si="98"/>
        <v>77000</v>
      </c>
      <c r="P647" s="8">
        <v>25</v>
      </c>
      <c r="Q647" s="8">
        <f t="shared" si="101"/>
        <v>4.4000000000000004</v>
      </c>
      <c r="R647" s="8">
        <f t="shared" si="102"/>
        <v>91.666666666666657</v>
      </c>
      <c r="S647" s="8">
        <f t="shared" si="100"/>
        <v>96.066666666666663</v>
      </c>
      <c r="T647" s="22">
        <f t="shared" si="95"/>
        <v>56.993131217432499</v>
      </c>
      <c r="U647" s="19">
        <f t="shared" si="96"/>
        <v>2209.7791331122689</v>
      </c>
      <c r="V647" s="25" t="s">
        <v>2987</v>
      </c>
    </row>
    <row r="648" spans="1:22" ht="15" customHeight="1" x14ac:dyDescent="0.25">
      <c r="A648" t="s">
        <v>518</v>
      </c>
      <c r="B648" t="s">
        <v>876</v>
      </c>
      <c r="C648" t="s">
        <v>2498</v>
      </c>
      <c r="D648" t="s">
        <v>2500</v>
      </c>
      <c r="E648" t="s">
        <v>234</v>
      </c>
      <c r="F648" s="5">
        <v>700</v>
      </c>
      <c r="G648" t="s">
        <v>896</v>
      </c>
      <c r="H648" s="3">
        <v>30</v>
      </c>
      <c r="I648" s="3">
        <v>40</v>
      </c>
      <c r="J648" s="3">
        <v>35</v>
      </c>
      <c r="K648">
        <v>2.5</v>
      </c>
      <c r="L648">
        <f t="shared" si="97"/>
        <v>4.2000000000000003E-2</v>
      </c>
      <c r="M648">
        <f t="shared" si="94"/>
        <v>4.62</v>
      </c>
      <c r="N648" s="8">
        <v>110</v>
      </c>
      <c r="O648" s="14">
        <f t="shared" si="98"/>
        <v>77000</v>
      </c>
      <c r="P648" s="8">
        <v>25</v>
      </c>
      <c r="Q648" s="8">
        <f t="shared" si="101"/>
        <v>4.4000000000000004</v>
      </c>
      <c r="R648" s="8">
        <f t="shared" si="102"/>
        <v>91.666666666666657</v>
      </c>
      <c r="S648" s="8">
        <f t="shared" si="100"/>
        <v>96.066666666666663</v>
      </c>
      <c r="T648" s="22">
        <f t="shared" si="95"/>
        <v>56.993131217432499</v>
      </c>
      <c r="U648" s="19">
        <f t="shared" si="96"/>
        <v>2266.7722643297016</v>
      </c>
      <c r="V648" s="25" t="s">
        <v>2987</v>
      </c>
    </row>
    <row r="649" spans="1:22" ht="15" customHeight="1" x14ac:dyDescent="0.25">
      <c r="A649" t="s">
        <v>518</v>
      </c>
      <c r="B649" t="s">
        <v>876</v>
      </c>
      <c r="C649" t="s">
        <v>2498</v>
      </c>
      <c r="D649" t="s">
        <v>2501</v>
      </c>
      <c r="E649" t="s">
        <v>234</v>
      </c>
      <c r="F649" s="5">
        <v>700</v>
      </c>
      <c r="G649" t="s">
        <v>896</v>
      </c>
      <c r="H649" s="3">
        <v>30</v>
      </c>
      <c r="I649" s="3">
        <v>40</v>
      </c>
      <c r="J649" s="3">
        <v>35</v>
      </c>
      <c r="K649">
        <v>2.5</v>
      </c>
      <c r="L649">
        <f t="shared" si="97"/>
        <v>4.2000000000000003E-2</v>
      </c>
      <c r="M649">
        <f t="shared" si="94"/>
        <v>4.62</v>
      </c>
      <c r="N649" s="8">
        <v>110</v>
      </c>
      <c r="O649" s="14">
        <f t="shared" si="98"/>
        <v>77000</v>
      </c>
      <c r="P649" s="8">
        <v>25</v>
      </c>
      <c r="Q649" s="8">
        <f t="shared" si="101"/>
        <v>4.4000000000000004</v>
      </c>
      <c r="R649" s="8">
        <f t="shared" si="102"/>
        <v>91.666666666666657</v>
      </c>
      <c r="S649" s="8">
        <f t="shared" si="100"/>
        <v>96.066666666666663</v>
      </c>
      <c r="T649" s="22">
        <f t="shared" si="95"/>
        <v>56.993131217432499</v>
      </c>
      <c r="U649" s="19">
        <f t="shared" si="96"/>
        <v>2323.7653955471342</v>
      </c>
      <c r="V649" s="25" t="s">
        <v>2987</v>
      </c>
    </row>
    <row r="650" spans="1:22" ht="15" customHeight="1" x14ac:dyDescent="0.25">
      <c r="A650" t="s">
        <v>518</v>
      </c>
      <c r="B650" t="s">
        <v>876</v>
      </c>
      <c r="C650" t="s">
        <v>2498</v>
      </c>
      <c r="D650" t="s">
        <v>2502</v>
      </c>
      <c r="E650" t="s">
        <v>234</v>
      </c>
      <c r="F650" s="5">
        <v>700</v>
      </c>
      <c r="G650" t="s">
        <v>896</v>
      </c>
      <c r="H650" s="3">
        <v>30</v>
      </c>
      <c r="I650" s="3">
        <v>40</v>
      </c>
      <c r="J650" s="3">
        <v>35</v>
      </c>
      <c r="K650">
        <v>2.5</v>
      </c>
      <c r="L650">
        <f t="shared" si="97"/>
        <v>4.2000000000000003E-2</v>
      </c>
      <c r="M650">
        <f t="shared" si="94"/>
        <v>4.62</v>
      </c>
      <c r="N650" s="8">
        <v>110</v>
      </c>
      <c r="O650" s="14">
        <f t="shared" si="98"/>
        <v>77000</v>
      </c>
      <c r="P650" s="8">
        <v>25</v>
      </c>
      <c r="Q650" s="8">
        <f t="shared" si="101"/>
        <v>4.4000000000000004</v>
      </c>
      <c r="R650" s="8">
        <f t="shared" si="102"/>
        <v>91.666666666666657</v>
      </c>
      <c r="S650" s="8">
        <f t="shared" si="100"/>
        <v>96.066666666666663</v>
      </c>
      <c r="T650" s="22">
        <f t="shared" si="95"/>
        <v>56.993131217432499</v>
      </c>
      <c r="U650" s="19">
        <f t="shared" si="96"/>
        <v>2380.7585267645668</v>
      </c>
      <c r="V650" s="25" t="s">
        <v>2987</v>
      </c>
    </row>
    <row r="651" spans="1:22" ht="15" customHeight="1" x14ac:dyDescent="0.25">
      <c r="A651" t="s">
        <v>518</v>
      </c>
      <c r="B651" t="s">
        <v>876</v>
      </c>
      <c r="C651" t="s">
        <v>2490</v>
      </c>
      <c r="D651" t="s">
        <v>892</v>
      </c>
      <c r="E651" t="s">
        <v>234</v>
      </c>
      <c r="F651" s="5">
        <v>700</v>
      </c>
      <c r="G651" t="s">
        <v>889</v>
      </c>
      <c r="H651" s="3">
        <v>25</v>
      </c>
      <c r="I651" s="3">
        <v>45</v>
      </c>
      <c r="J651" s="3">
        <v>30</v>
      </c>
      <c r="K651">
        <v>2.1</v>
      </c>
      <c r="L651">
        <f t="shared" si="97"/>
        <v>3.3750000000000002E-2</v>
      </c>
      <c r="M651">
        <f t="shared" si="94"/>
        <v>3.7125000000000004</v>
      </c>
      <c r="N651" s="8">
        <v>110</v>
      </c>
      <c r="O651" s="14">
        <f t="shared" si="98"/>
        <v>77000</v>
      </c>
      <c r="P651" s="8">
        <v>25</v>
      </c>
      <c r="Q651" s="8">
        <f t="shared" si="101"/>
        <v>4.4000000000000004</v>
      </c>
      <c r="R651" s="8">
        <f t="shared" si="102"/>
        <v>91.666666666666657</v>
      </c>
      <c r="S651" s="8">
        <f t="shared" si="100"/>
        <v>96.066666666666663</v>
      </c>
      <c r="T651" s="22">
        <f t="shared" si="95"/>
        <v>56.993131217432499</v>
      </c>
      <c r="U651" s="19">
        <f t="shared" si="96"/>
        <v>2437.7516579819994</v>
      </c>
      <c r="V651" s="25" t="s">
        <v>2987</v>
      </c>
    </row>
    <row r="652" spans="1:22" ht="15" customHeight="1" x14ac:dyDescent="0.25">
      <c r="A652" t="s">
        <v>518</v>
      </c>
      <c r="B652" t="s">
        <v>637</v>
      </c>
      <c r="C652" t="s">
        <v>2212</v>
      </c>
      <c r="D652" t="s">
        <v>1252</v>
      </c>
      <c r="E652" t="s">
        <v>2213</v>
      </c>
      <c r="F652" s="5">
        <v>700</v>
      </c>
      <c r="G652" t="s">
        <v>2216</v>
      </c>
      <c r="H652" s="3">
        <v>80</v>
      </c>
      <c r="I652" s="3">
        <v>540</v>
      </c>
      <c r="J652" s="3">
        <v>0.7</v>
      </c>
      <c r="K652" s="3">
        <v>3.024E-2</v>
      </c>
      <c r="L652">
        <f t="shared" si="97"/>
        <v>3.024E-2</v>
      </c>
      <c r="M652">
        <f t="shared" si="94"/>
        <v>2.8727999999999998</v>
      </c>
      <c r="N652" s="8">
        <v>95</v>
      </c>
      <c r="O652" s="14">
        <f t="shared" si="98"/>
        <v>66500</v>
      </c>
      <c r="P652" s="8">
        <v>20</v>
      </c>
      <c r="Q652" s="8">
        <f t="shared" si="101"/>
        <v>4.75</v>
      </c>
      <c r="R652" s="8">
        <f t="shared" si="102"/>
        <v>63.333333333333329</v>
      </c>
      <c r="S652" s="8">
        <f t="shared" si="100"/>
        <v>68.083333333333329</v>
      </c>
      <c r="T652" s="22">
        <f t="shared" si="95"/>
        <v>49.221340596873524</v>
      </c>
      <c r="U652" s="19">
        <f t="shared" si="96"/>
        <v>2486.9729985788731</v>
      </c>
      <c r="V652" s="25" t="s">
        <v>2987</v>
      </c>
    </row>
    <row r="653" spans="1:22" ht="15" customHeight="1" x14ac:dyDescent="0.25">
      <c r="A653" t="s">
        <v>518</v>
      </c>
      <c r="B653" t="s">
        <v>637</v>
      </c>
      <c r="C653" t="s">
        <v>2293</v>
      </c>
      <c r="D653" t="s">
        <v>2295</v>
      </c>
      <c r="E653" t="s">
        <v>234</v>
      </c>
      <c r="F653" s="5">
        <v>1549</v>
      </c>
      <c r="G653" t="s">
        <v>680</v>
      </c>
      <c r="H653" s="3">
        <v>30</v>
      </c>
      <c r="I653" s="3">
        <v>50</v>
      </c>
      <c r="J653" s="3">
        <v>50</v>
      </c>
      <c r="K653" s="3">
        <v>10</v>
      </c>
      <c r="L653">
        <f t="shared" si="97"/>
        <v>7.4999999999999997E-2</v>
      </c>
      <c r="M653">
        <f t="shared" si="94"/>
        <v>3</v>
      </c>
      <c r="N653" s="8">
        <v>40</v>
      </c>
      <c r="O653" s="14">
        <f t="shared" si="98"/>
        <v>61960</v>
      </c>
      <c r="P653" s="8">
        <v>20</v>
      </c>
      <c r="Q653" s="8">
        <f t="shared" si="101"/>
        <v>2</v>
      </c>
      <c r="R653" s="8">
        <f t="shared" si="102"/>
        <v>26.666666666666664</v>
      </c>
      <c r="S653" s="8">
        <f t="shared" si="100"/>
        <v>28.666666666666664</v>
      </c>
      <c r="T653" s="22">
        <f t="shared" si="95"/>
        <v>45.860966366650878</v>
      </c>
      <c r="U653" s="19">
        <f t="shared" si="96"/>
        <v>2532.8339649455238</v>
      </c>
      <c r="V653" s="25" t="s">
        <v>2987</v>
      </c>
    </row>
    <row r="654" spans="1:22" ht="15" customHeight="1" x14ac:dyDescent="0.25">
      <c r="A654" t="s">
        <v>518</v>
      </c>
      <c r="B654" t="s">
        <v>1091</v>
      </c>
      <c r="C654" t="s">
        <v>2110</v>
      </c>
      <c r="D654" t="s">
        <v>807</v>
      </c>
      <c r="E654" t="s">
        <v>234</v>
      </c>
      <c r="F654" s="5">
        <v>238</v>
      </c>
      <c r="G654" t="s">
        <v>808</v>
      </c>
      <c r="H654" s="3">
        <v>30</v>
      </c>
      <c r="I654" s="3">
        <v>35</v>
      </c>
      <c r="J654" s="3">
        <v>20</v>
      </c>
      <c r="K654" s="3">
        <v>1.5</v>
      </c>
      <c r="L654">
        <f t="shared" si="97"/>
        <v>2.1000000000000001E-2</v>
      </c>
      <c r="M654">
        <f t="shared" si="94"/>
        <v>5.46</v>
      </c>
      <c r="N654" s="8">
        <v>260</v>
      </c>
      <c r="O654" s="14">
        <f t="shared" si="98"/>
        <v>61880</v>
      </c>
      <c r="P654" s="8">
        <v>20</v>
      </c>
      <c r="Q654" s="8">
        <f t="shared" si="101"/>
        <v>13</v>
      </c>
      <c r="R654" s="8">
        <f t="shared" si="102"/>
        <v>173.33333333333331</v>
      </c>
      <c r="S654" s="8">
        <f t="shared" si="100"/>
        <v>186.33333333333331</v>
      </c>
      <c r="T654" s="22">
        <f t="shared" si="95"/>
        <v>45.801752723827569</v>
      </c>
      <c r="U654" s="19">
        <f t="shared" si="96"/>
        <v>2578.6357176693514</v>
      </c>
      <c r="V654" s="25" t="s">
        <v>2987</v>
      </c>
    </row>
    <row r="655" spans="1:22" ht="15" customHeight="1" x14ac:dyDescent="0.25">
      <c r="A655" t="s">
        <v>518</v>
      </c>
      <c r="B655" t="s">
        <v>519</v>
      </c>
      <c r="C655" t="s">
        <v>580</v>
      </c>
      <c r="D655" t="s">
        <v>581</v>
      </c>
      <c r="E655" t="s">
        <v>561</v>
      </c>
      <c r="F655" s="5">
        <v>166.3</v>
      </c>
      <c r="G655" t="s">
        <v>565</v>
      </c>
      <c r="H655" s="3">
        <v>30</v>
      </c>
      <c r="I655" s="3">
        <v>54</v>
      </c>
      <c r="J655" s="3">
        <v>32</v>
      </c>
      <c r="K655" s="3">
        <v>1.7</v>
      </c>
      <c r="L655">
        <f t="shared" si="97"/>
        <v>5.1839999999999997E-2</v>
      </c>
      <c r="M655">
        <f t="shared" si="94"/>
        <v>18.143999999999998</v>
      </c>
      <c r="N655" s="8">
        <v>350</v>
      </c>
      <c r="O655" s="14">
        <f t="shared" si="98"/>
        <v>58205.000000000007</v>
      </c>
      <c r="P655" s="8">
        <v>25</v>
      </c>
      <c r="Q655" s="8">
        <f>P655/N655</f>
        <v>7.1428571428571425E-2</v>
      </c>
      <c r="R655" s="8">
        <f>P655+Q655</f>
        <v>25.071428571428573</v>
      </c>
      <c r="S655" s="8">
        <f t="shared" si="100"/>
        <v>25.142857142857146</v>
      </c>
      <c r="T655" s="22">
        <f t="shared" si="95"/>
        <v>43.081626006631936</v>
      </c>
      <c r="U655" s="19">
        <f t="shared" si="96"/>
        <v>2621.7173436759831</v>
      </c>
      <c r="V655" s="25" t="s">
        <v>2987</v>
      </c>
    </row>
    <row r="656" spans="1:22" ht="15" customHeight="1" x14ac:dyDescent="0.25">
      <c r="A656" t="s">
        <v>518</v>
      </c>
      <c r="B656" t="s">
        <v>1091</v>
      </c>
      <c r="C656" t="s">
        <v>2110</v>
      </c>
      <c r="D656" t="s">
        <v>810</v>
      </c>
      <c r="E656" t="s">
        <v>234</v>
      </c>
      <c r="F656" s="5">
        <v>220</v>
      </c>
      <c r="G656" t="s">
        <v>808</v>
      </c>
      <c r="H656" s="3">
        <v>30</v>
      </c>
      <c r="I656" s="3">
        <v>35</v>
      </c>
      <c r="J656" s="3">
        <v>20</v>
      </c>
      <c r="K656" s="3">
        <v>1.5</v>
      </c>
      <c r="L656">
        <f t="shared" si="97"/>
        <v>2.1000000000000001E-2</v>
      </c>
      <c r="M656">
        <f t="shared" si="94"/>
        <v>5.46</v>
      </c>
      <c r="N656" s="8">
        <v>260</v>
      </c>
      <c r="O656" s="14">
        <f t="shared" si="98"/>
        <v>57200</v>
      </c>
      <c r="P656" s="8">
        <v>20</v>
      </c>
      <c r="Q656" s="8">
        <f>N656/P656</f>
        <v>13</v>
      </c>
      <c r="R656" s="8">
        <f>(N656/30)*P656</f>
        <v>173.33333333333331</v>
      </c>
      <c r="S656" s="8">
        <f t="shared" si="100"/>
        <v>186.33333333333331</v>
      </c>
      <c r="T656" s="22">
        <f t="shared" si="95"/>
        <v>42.337754618664142</v>
      </c>
      <c r="U656" s="19">
        <f t="shared" si="96"/>
        <v>2664.0550982946475</v>
      </c>
      <c r="V656" s="25" t="s">
        <v>2987</v>
      </c>
    </row>
    <row r="657" spans="1:22" ht="15" customHeight="1" x14ac:dyDescent="0.25">
      <c r="A657" t="s">
        <v>518</v>
      </c>
      <c r="B657" t="s">
        <v>876</v>
      </c>
      <c r="C657" t="s">
        <v>2490</v>
      </c>
      <c r="D657" t="s">
        <v>883</v>
      </c>
      <c r="E657" t="s">
        <v>234</v>
      </c>
      <c r="F657" s="5">
        <v>500</v>
      </c>
      <c r="G657" t="s">
        <v>887</v>
      </c>
      <c r="H657" s="3">
        <v>25</v>
      </c>
      <c r="I657" s="3">
        <v>45</v>
      </c>
      <c r="J657" s="3">
        <v>30</v>
      </c>
      <c r="K657">
        <v>2.9</v>
      </c>
      <c r="L657">
        <f t="shared" si="97"/>
        <v>3.3750000000000002E-2</v>
      </c>
      <c r="M657">
        <f t="shared" si="94"/>
        <v>3.7125000000000004</v>
      </c>
      <c r="N657" s="8">
        <v>110</v>
      </c>
      <c r="O657" s="14">
        <f t="shared" si="98"/>
        <v>55000</v>
      </c>
      <c r="P657" s="8">
        <v>25</v>
      </c>
      <c r="Q657" s="8">
        <f>N657/P657</f>
        <v>4.4000000000000004</v>
      </c>
      <c r="R657" s="8">
        <f>(N657/30)*P657</f>
        <v>91.666666666666657</v>
      </c>
      <c r="S657" s="8">
        <f t="shared" si="100"/>
        <v>96.066666666666663</v>
      </c>
      <c r="T657" s="22">
        <f t="shared" si="95"/>
        <v>40.709379441023216</v>
      </c>
      <c r="U657" s="19">
        <f t="shared" si="96"/>
        <v>2704.7644777356709</v>
      </c>
      <c r="V657" s="25" t="s">
        <v>2987</v>
      </c>
    </row>
    <row r="658" spans="1:22" ht="15" customHeight="1" x14ac:dyDescent="0.25">
      <c r="A658" t="s">
        <v>518</v>
      </c>
      <c r="B658" t="s">
        <v>876</v>
      </c>
      <c r="C658" t="s">
        <v>2490</v>
      </c>
      <c r="D658" t="s">
        <v>2492</v>
      </c>
      <c r="E658" t="s">
        <v>234</v>
      </c>
      <c r="F658" s="5">
        <v>500</v>
      </c>
      <c r="G658" t="s">
        <v>891</v>
      </c>
      <c r="H658" s="3">
        <v>25</v>
      </c>
      <c r="I658" s="3">
        <v>45</v>
      </c>
      <c r="J658" s="3">
        <v>30</v>
      </c>
      <c r="K658">
        <v>2.12</v>
      </c>
      <c r="L658">
        <f t="shared" si="97"/>
        <v>3.3750000000000002E-2</v>
      </c>
      <c r="M658">
        <f t="shared" si="94"/>
        <v>3.7125000000000004</v>
      </c>
      <c r="N658" s="8">
        <v>110</v>
      </c>
      <c r="O658" s="14">
        <f t="shared" si="98"/>
        <v>55000</v>
      </c>
      <c r="P658" s="8">
        <v>25</v>
      </c>
      <c r="Q658" s="8">
        <f>N658/P658</f>
        <v>4.4000000000000004</v>
      </c>
      <c r="R658" s="8">
        <f>(N658/30)*P658</f>
        <v>91.666666666666657</v>
      </c>
      <c r="S658" s="8">
        <f t="shared" si="100"/>
        <v>96.066666666666663</v>
      </c>
      <c r="T658" s="22">
        <f t="shared" si="95"/>
        <v>40.709379441023216</v>
      </c>
      <c r="U658" s="19">
        <f t="shared" si="96"/>
        <v>2745.4738571766943</v>
      </c>
      <c r="V658" s="25" t="s">
        <v>2987</v>
      </c>
    </row>
    <row r="659" spans="1:22" ht="15" customHeight="1" x14ac:dyDescent="0.25">
      <c r="A659" t="s">
        <v>518</v>
      </c>
      <c r="B659" t="s">
        <v>519</v>
      </c>
      <c r="C659" t="s">
        <v>572</v>
      </c>
      <c r="D659" t="s">
        <v>573</v>
      </c>
      <c r="E659" t="s">
        <v>561</v>
      </c>
      <c r="F659" s="5">
        <v>146.5</v>
      </c>
      <c r="G659" t="s">
        <v>574</v>
      </c>
      <c r="H659" s="3">
        <v>4.76</v>
      </c>
      <c r="I659" s="3">
        <v>5.71</v>
      </c>
      <c r="J659" s="3">
        <v>3.42</v>
      </c>
      <c r="K659" s="3">
        <v>1.4</v>
      </c>
      <c r="L659">
        <f t="shared" si="97"/>
        <v>9.2954231999999986E-5</v>
      </c>
      <c r="M659">
        <f t="shared" si="94"/>
        <v>3.2533981199999992E-2</v>
      </c>
      <c r="N659" s="8">
        <v>350</v>
      </c>
      <c r="O659" s="14">
        <f t="shared" si="98"/>
        <v>51275</v>
      </c>
      <c r="P659" s="8">
        <v>25</v>
      </c>
      <c r="Q659" s="8">
        <f>P659/N659</f>
        <v>7.1428571428571425E-2</v>
      </c>
      <c r="R659" s="8">
        <f>P659+Q659</f>
        <v>25.071428571428573</v>
      </c>
      <c r="S659" s="8">
        <f t="shared" si="100"/>
        <v>25.142857142857146</v>
      </c>
      <c r="T659" s="22">
        <f t="shared" si="95"/>
        <v>37.952244197063003</v>
      </c>
      <c r="U659" s="19">
        <f t="shared" si="96"/>
        <v>2783.4261013737573</v>
      </c>
      <c r="V659" s="25" t="s">
        <v>2987</v>
      </c>
    </row>
    <row r="660" spans="1:22" ht="15" customHeight="1" x14ac:dyDescent="0.25">
      <c r="A660" t="s">
        <v>518</v>
      </c>
      <c r="B660" t="s">
        <v>1090</v>
      </c>
      <c r="C660" t="s">
        <v>2484</v>
      </c>
      <c r="D660" t="s">
        <v>2485</v>
      </c>
      <c r="E660" t="s">
        <v>234</v>
      </c>
      <c r="F660" s="5">
        <v>10000</v>
      </c>
      <c r="G660" t="s">
        <v>140</v>
      </c>
      <c r="H660" s="3">
        <v>36</v>
      </c>
      <c r="I660" s="3">
        <v>30</v>
      </c>
      <c r="J660" s="3">
        <v>35</v>
      </c>
      <c r="K660" s="3">
        <v>45</v>
      </c>
      <c r="L660">
        <f t="shared" si="97"/>
        <v>3.78E-2</v>
      </c>
      <c r="M660">
        <f t="shared" si="94"/>
        <v>0.189</v>
      </c>
      <c r="N660" s="8">
        <v>5</v>
      </c>
      <c r="O660" s="14">
        <f t="shared" si="98"/>
        <v>50000</v>
      </c>
      <c r="P660" s="8">
        <v>20</v>
      </c>
      <c r="Q660" s="8">
        <f>N660/P660</f>
        <v>0.25</v>
      </c>
      <c r="R660" s="8">
        <f>(N660/30)*P660</f>
        <v>3.333333333333333</v>
      </c>
      <c r="S660" s="8">
        <f t="shared" si="100"/>
        <v>3.583333333333333</v>
      </c>
      <c r="T660" s="22">
        <f t="shared" si="95"/>
        <v>37.008526764566554</v>
      </c>
      <c r="U660" s="19">
        <f t="shared" si="96"/>
        <v>2820.4346281383237</v>
      </c>
      <c r="V660" s="25" t="s">
        <v>2987</v>
      </c>
    </row>
    <row r="661" spans="1:22" ht="15" customHeight="1" x14ac:dyDescent="0.25">
      <c r="A661" t="s">
        <v>518</v>
      </c>
      <c r="B661" t="s">
        <v>1091</v>
      </c>
      <c r="C661" t="s">
        <v>2110</v>
      </c>
      <c r="D661" t="s">
        <v>2116</v>
      </c>
      <c r="E661" t="s">
        <v>234</v>
      </c>
      <c r="F661" s="5">
        <v>192</v>
      </c>
      <c r="G661" t="s">
        <v>512</v>
      </c>
      <c r="H661" s="3">
        <v>30</v>
      </c>
      <c r="I661" s="3">
        <v>35</v>
      </c>
      <c r="J661" s="3">
        <v>20</v>
      </c>
      <c r="K661" s="3">
        <v>1.5</v>
      </c>
      <c r="L661">
        <f t="shared" si="97"/>
        <v>2.1000000000000001E-2</v>
      </c>
      <c r="M661">
        <f t="shared" si="94"/>
        <v>5.46</v>
      </c>
      <c r="N661" s="8">
        <v>260</v>
      </c>
      <c r="O661" s="14">
        <f t="shared" si="98"/>
        <v>49920</v>
      </c>
      <c r="P661" s="8">
        <v>20</v>
      </c>
      <c r="Q661" s="8">
        <f>N661/P661</f>
        <v>13</v>
      </c>
      <c r="R661" s="8">
        <f>(N661/30)*P661</f>
        <v>173.33333333333331</v>
      </c>
      <c r="S661" s="8">
        <f t="shared" si="100"/>
        <v>186.33333333333331</v>
      </c>
      <c r="T661" s="22">
        <f t="shared" si="95"/>
        <v>36.949313121743252</v>
      </c>
      <c r="U661" s="19">
        <f t="shared" si="96"/>
        <v>2857.3839412600669</v>
      </c>
      <c r="V661" s="25" t="s">
        <v>2987</v>
      </c>
    </row>
    <row r="662" spans="1:22" ht="15" customHeight="1" x14ac:dyDescent="0.25">
      <c r="A662" t="s">
        <v>518</v>
      </c>
      <c r="B662" t="s">
        <v>1090</v>
      </c>
      <c r="C662" t="s">
        <v>2458</v>
      </c>
      <c r="D662" t="s">
        <v>2459</v>
      </c>
      <c r="E662" t="s">
        <v>234</v>
      </c>
      <c r="F662" s="5">
        <v>9950</v>
      </c>
      <c r="G662" t="s">
        <v>140</v>
      </c>
      <c r="H662" s="3">
        <v>100</v>
      </c>
      <c r="I662" s="3">
        <v>25</v>
      </c>
      <c r="J662" s="3">
        <v>100</v>
      </c>
      <c r="K662" s="3">
        <v>33</v>
      </c>
      <c r="L662">
        <f t="shared" si="97"/>
        <v>0.25</v>
      </c>
      <c r="M662">
        <f t="shared" si="94"/>
        <v>1.25</v>
      </c>
      <c r="N662" s="8">
        <v>5</v>
      </c>
      <c r="O662" s="14">
        <f t="shared" si="98"/>
        <v>49750</v>
      </c>
      <c r="P662" s="8">
        <v>20</v>
      </c>
      <c r="Q662" s="8">
        <f>N662/P662</f>
        <v>0.25</v>
      </c>
      <c r="R662" s="8">
        <f>(N662/30)*P662</f>
        <v>3.333333333333333</v>
      </c>
      <c r="S662" s="8">
        <f t="shared" si="100"/>
        <v>3.583333333333333</v>
      </c>
      <c r="T662" s="22">
        <f t="shared" si="95"/>
        <v>36.823484130743722</v>
      </c>
      <c r="U662" s="19">
        <f t="shared" si="96"/>
        <v>2894.2074253908104</v>
      </c>
      <c r="V662" s="25" t="s">
        <v>2987</v>
      </c>
    </row>
    <row r="663" spans="1:22" ht="15" customHeight="1" x14ac:dyDescent="0.25">
      <c r="A663" t="s">
        <v>518</v>
      </c>
      <c r="B663" t="s">
        <v>1091</v>
      </c>
      <c r="C663" t="s">
        <v>2110</v>
      </c>
      <c r="D663" t="s">
        <v>809</v>
      </c>
      <c r="E663" t="s">
        <v>234</v>
      </c>
      <c r="F663" s="5">
        <v>186</v>
      </c>
      <c r="G663" t="s">
        <v>808</v>
      </c>
      <c r="H663" s="3">
        <v>30</v>
      </c>
      <c r="I663" s="3">
        <v>35</v>
      </c>
      <c r="J663" s="3">
        <v>20</v>
      </c>
      <c r="K663" s="3">
        <v>1.5</v>
      </c>
      <c r="L663">
        <f t="shared" si="97"/>
        <v>2.1000000000000001E-2</v>
      </c>
      <c r="M663">
        <f t="shared" si="94"/>
        <v>5.46</v>
      </c>
      <c r="N663" s="8">
        <v>260</v>
      </c>
      <c r="O663" s="14">
        <f t="shared" si="98"/>
        <v>48360</v>
      </c>
      <c r="P663" s="8">
        <v>20</v>
      </c>
      <c r="Q663" s="8">
        <f>N663/P663</f>
        <v>13</v>
      </c>
      <c r="R663" s="8">
        <f>(N663/30)*P663</f>
        <v>173.33333333333331</v>
      </c>
      <c r="S663" s="8">
        <f t="shared" si="100"/>
        <v>186.33333333333331</v>
      </c>
      <c r="T663" s="22">
        <f t="shared" si="95"/>
        <v>35.794647086688776</v>
      </c>
      <c r="U663" s="19">
        <f t="shared" si="96"/>
        <v>2930.002072477499</v>
      </c>
      <c r="V663" s="25" t="s">
        <v>2987</v>
      </c>
    </row>
    <row r="664" spans="1:22" ht="15" customHeight="1" x14ac:dyDescent="0.25">
      <c r="A664" t="s">
        <v>518</v>
      </c>
      <c r="B664" t="s">
        <v>637</v>
      </c>
      <c r="C664" t="s">
        <v>2212</v>
      </c>
      <c r="D664" t="s">
        <v>1245</v>
      </c>
      <c r="E664" t="s">
        <v>2213</v>
      </c>
      <c r="F664" s="5">
        <v>500</v>
      </c>
      <c r="G664" t="s">
        <v>2214</v>
      </c>
      <c r="H664" s="3">
        <v>30</v>
      </c>
      <c r="I664" s="3">
        <v>5000</v>
      </c>
      <c r="J664" s="3">
        <v>0.5</v>
      </c>
      <c r="K664" s="3">
        <v>7.4999999999999997E-2</v>
      </c>
      <c r="L664">
        <f t="shared" si="97"/>
        <v>7.4999999999999997E-2</v>
      </c>
      <c r="M664">
        <f t="shared" si="94"/>
        <v>7.125</v>
      </c>
      <c r="N664" s="8">
        <v>95</v>
      </c>
      <c r="O664" s="14">
        <f t="shared" si="98"/>
        <v>47500</v>
      </c>
      <c r="P664" s="8">
        <v>20</v>
      </c>
      <c r="Q664" s="8">
        <f>N664/P664</f>
        <v>4.75</v>
      </c>
      <c r="R664" s="8">
        <f>(N664/30)*P664</f>
        <v>63.333333333333329</v>
      </c>
      <c r="S664" s="8">
        <f t="shared" si="100"/>
        <v>68.083333333333329</v>
      </c>
      <c r="T664" s="22">
        <f t="shared" si="95"/>
        <v>35.15810042633823</v>
      </c>
      <c r="U664" s="19">
        <f t="shared" si="96"/>
        <v>2965.1601729038371</v>
      </c>
      <c r="V664" s="25" t="s">
        <v>2987</v>
      </c>
    </row>
    <row r="665" spans="1:22" ht="15" customHeight="1" x14ac:dyDescent="0.25">
      <c r="A665" t="s">
        <v>518</v>
      </c>
      <c r="B665" t="s">
        <v>519</v>
      </c>
      <c r="C665" t="s">
        <v>559</v>
      </c>
      <c r="D665" t="s">
        <v>560</v>
      </c>
      <c r="E665" t="s">
        <v>561</v>
      </c>
      <c r="F665" s="5">
        <v>129.9</v>
      </c>
      <c r="G665" t="s">
        <v>562</v>
      </c>
      <c r="H665" s="3">
        <v>48</v>
      </c>
      <c r="I665" s="3">
        <v>29.5</v>
      </c>
      <c r="J665" s="3">
        <v>36.5</v>
      </c>
      <c r="K665" s="3">
        <v>1.86</v>
      </c>
      <c r="L665">
        <f t="shared" si="97"/>
        <v>5.1684000000000001E-2</v>
      </c>
      <c r="M665">
        <f t="shared" si="94"/>
        <v>18.089400000000001</v>
      </c>
      <c r="N665" s="8">
        <v>350</v>
      </c>
      <c r="O665" s="14">
        <f t="shared" si="98"/>
        <v>45465</v>
      </c>
      <c r="P665" s="8">
        <v>25</v>
      </c>
      <c r="Q665" s="8">
        <f>P665/N665</f>
        <v>7.1428571428571425E-2</v>
      </c>
      <c r="R665" s="8">
        <f>P665+Q665</f>
        <v>25.071428571428573</v>
      </c>
      <c r="S665" s="8">
        <f t="shared" si="100"/>
        <v>25.142857142857146</v>
      </c>
      <c r="T665" s="22">
        <f t="shared" si="95"/>
        <v>33.651853387020367</v>
      </c>
      <c r="U665" s="19">
        <f t="shared" si="96"/>
        <v>2998.8120262908574</v>
      </c>
      <c r="V665" s="25" t="s">
        <v>2987</v>
      </c>
    </row>
    <row r="666" spans="1:22" ht="15" customHeight="1" x14ac:dyDescent="0.25">
      <c r="A666" t="s">
        <v>518</v>
      </c>
      <c r="B666" t="s">
        <v>876</v>
      </c>
      <c r="C666" t="s">
        <v>2490</v>
      </c>
      <c r="D666" t="s">
        <v>2491</v>
      </c>
      <c r="E666" t="s">
        <v>234</v>
      </c>
      <c r="F666" s="5">
        <v>400</v>
      </c>
      <c r="G666" t="s">
        <v>885</v>
      </c>
      <c r="H666" s="3">
        <v>25</v>
      </c>
      <c r="I666" s="3">
        <v>45</v>
      </c>
      <c r="J666" s="3">
        <v>30</v>
      </c>
      <c r="K666">
        <v>2.11</v>
      </c>
      <c r="L666">
        <f t="shared" si="97"/>
        <v>3.3750000000000002E-2</v>
      </c>
      <c r="M666">
        <f t="shared" si="94"/>
        <v>3.7125000000000004</v>
      </c>
      <c r="N666" s="8">
        <v>110</v>
      </c>
      <c r="O666" s="14">
        <f t="shared" si="98"/>
        <v>44000</v>
      </c>
      <c r="P666" s="8">
        <v>25</v>
      </c>
      <c r="Q666" s="8">
        <f>N666/P666</f>
        <v>4.4000000000000004</v>
      </c>
      <c r="R666" s="8">
        <f>(N666/30)*P666</f>
        <v>91.666666666666657</v>
      </c>
      <c r="S666" s="8">
        <f t="shared" si="100"/>
        <v>96.066666666666663</v>
      </c>
      <c r="T666" s="22">
        <f t="shared" si="95"/>
        <v>32.567503552818572</v>
      </c>
      <c r="U666" s="19">
        <f t="shared" si="96"/>
        <v>3031.3795298436758</v>
      </c>
      <c r="V666" s="25" t="s">
        <v>2987</v>
      </c>
    </row>
    <row r="667" spans="1:22" ht="15" customHeight="1" x14ac:dyDescent="0.25">
      <c r="A667" t="s">
        <v>518</v>
      </c>
      <c r="B667" t="s">
        <v>1091</v>
      </c>
      <c r="C667" t="s">
        <v>2110</v>
      </c>
      <c r="D667" t="s">
        <v>2115</v>
      </c>
      <c r="E667" t="s">
        <v>234</v>
      </c>
      <c r="F667" s="5">
        <v>158</v>
      </c>
      <c r="G667" t="s">
        <v>512</v>
      </c>
      <c r="H667" s="3">
        <v>30</v>
      </c>
      <c r="I667" s="3">
        <v>35</v>
      </c>
      <c r="J667" s="3">
        <v>20</v>
      </c>
      <c r="K667" s="3">
        <v>1.5</v>
      </c>
      <c r="L667">
        <f t="shared" si="97"/>
        <v>2.1000000000000001E-2</v>
      </c>
      <c r="M667">
        <f t="shared" si="94"/>
        <v>5.46</v>
      </c>
      <c r="N667" s="8">
        <v>260</v>
      </c>
      <c r="O667" s="14">
        <f t="shared" si="98"/>
        <v>41080</v>
      </c>
      <c r="P667" s="8">
        <v>20</v>
      </c>
      <c r="Q667" s="8">
        <f>N667/P667</f>
        <v>13</v>
      </c>
      <c r="R667" s="8">
        <f>(N667/30)*P667</f>
        <v>173.33333333333331</v>
      </c>
      <c r="S667" s="8">
        <f t="shared" si="100"/>
        <v>186.33333333333331</v>
      </c>
      <c r="T667" s="22">
        <f t="shared" si="95"/>
        <v>30.406205589767882</v>
      </c>
      <c r="U667" s="19">
        <f t="shared" si="96"/>
        <v>3061.7857354334437</v>
      </c>
      <c r="V667" s="25" t="s">
        <v>2987</v>
      </c>
    </row>
    <row r="668" spans="1:22" ht="15" customHeight="1" x14ac:dyDescent="0.25">
      <c r="A668" t="s">
        <v>518</v>
      </c>
      <c r="B668" t="s">
        <v>519</v>
      </c>
      <c r="C668" t="s">
        <v>604</v>
      </c>
      <c r="D668" t="s">
        <v>605</v>
      </c>
      <c r="E668" t="s">
        <v>234</v>
      </c>
      <c r="F668" s="5">
        <v>117</v>
      </c>
      <c r="G668" t="s">
        <v>606</v>
      </c>
      <c r="H668" s="3">
        <v>20</v>
      </c>
      <c r="I668" s="3">
        <v>30</v>
      </c>
      <c r="J668" s="3">
        <v>25</v>
      </c>
      <c r="K668" s="3">
        <v>1</v>
      </c>
      <c r="L668">
        <f t="shared" si="97"/>
        <v>1.4999999999999999E-2</v>
      </c>
      <c r="M668">
        <f t="shared" si="94"/>
        <v>5.25</v>
      </c>
      <c r="N668" s="8">
        <v>350</v>
      </c>
      <c r="O668" s="14">
        <f t="shared" si="98"/>
        <v>40950</v>
      </c>
      <c r="P668" s="8">
        <v>25</v>
      </c>
      <c r="Q668" s="8">
        <f>P668/N668</f>
        <v>7.1428571428571425E-2</v>
      </c>
      <c r="R668" s="8">
        <f>P668+Q668</f>
        <v>25.071428571428573</v>
      </c>
      <c r="S668" s="8">
        <f t="shared" si="100"/>
        <v>25.142857142857146</v>
      </c>
      <c r="T668" s="22">
        <f t="shared" si="95"/>
        <v>30.309983420180011</v>
      </c>
      <c r="U668" s="19">
        <f t="shared" si="96"/>
        <v>3092.0957188536236</v>
      </c>
      <c r="V668" s="25" t="s">
        <v>2987</v>
      </c>
    </row>
    <row r="669" spans="1:22" ht="15" customHeight="1" x14ac:dyDescent="0.25">
      <c r="A669" t="s">
        <v>518</v>
      </c>
      <c r="B669" t="s">
        <v>1091</v>
      </c>
      <c r="C669" t="s">
        <v>2102</v>
      </c>
      <c r="D669" t="s">
        <v>2107</v>
      </c>
      <c r="E669" t="s">
        <v>234</v>
      </c>
      <c r="F669" s="5">
        <v>450</v>
      </c>
      <c r="G669" t="s">
        <v>806</v>
      </c>
      <c r="H669" s="3">
        <v>20</v>
      </c>
      <c r="I669" s="3">
        <v>30</v>
      </c>
      <c r="J669" s="3">
        <v>25</v>
      </c>
      <c r="K669" s="3">
        <v>1</v>
      </c>
      <c r="L669">
        <f t="shared" si="97"/>
        <v>1.4999999999999999E-2</v>
      </c>
      <c r="M669">
        <f t="shared" si="94"/>
        <v>1.3499999999999999</v>
      </c>
      <c r="N669" s="8">
        <v>90</v>
      </c>
      <c r="O669" s="14">
        <f t="shared" si="98"/>
        <v>40500</v>
      </c>
      <c r="P669" s="8">
        <v>20</v>
      </c>
      <c r="Q669" s="8">
        <f>N669/P669</f>
        <v>4.5</v>
      </c>
      <c r="R669" s="8">
        <f>(N669/30)*P669</f>
        <v>60</v>
      </c>
      <c r="S669" s="8">
        <f t="shared" si="100"/>
        <v>64.5</v>
      </c>
      <c r="T669" s="22">
        <f t="shared" si="95"/>
        <v>29.97690667929891</v>
      </c>
      <c r="U669" s="19">
        <f t="shared" si="96"/>
        <v>3122.0726255329223</v>
      </c>
      <c r="V669" s="25" t="s">
        <v>2987</v>
      </c>
    </row>
    <row r="670" spans="1:22" ht="15" customHeight="1" x14ac:dyDescent="0.25">
      <c r="A670" t="s">
        <v>518</v>
      </c>
      <c r="B670" t="s">
        <v>1090</v>
      </c>
      <c r="C670" t="s">
        <v>2425</v>
      </c>
      <c r="D670" t="s">
        <v>2418</v>
      </c>
      <c r="E670" t="s">
        <v>234</v>
      </c>
      <c r="F670" s="5">
        <v>8000</v>
      </c>
      <c r="G670" t="s">
        <v>140</v>
      </c>
      <c r="H670" s="3">
        <v>25</v>
      </c>
      <c r="I670" s="3">
        <v>30</v>
      </c>
      <c r="J670" s="3">
        <v>25</v>
      </c>
      <c r="K670" s="3">
        <v>15</v>
      </c>
      <c r="L670">
        <f t="shared" si="97"/>
        <v>1.8749999999999999E-2</v>
      </c>
      <c r="M670">
        <f t="shared" si="94"/>
        <v>9.375E-2</v>
      </c>
      <c r="N670" s="8">
        <v>5</v>
      </c>
      <c r="O670" s="14">
        <f t="shared" si="98"/>
        <v>40000</v>
      </c>
      <c r="P670" s="8">
        <v>20</v>
      </c>
      <c r="Q670" s="8">
        <f>N670/P670</f>
        <v>0.25</v>
      </c>
      <c r="R670" s="8">
        <f>(N670/30)*P670</f>
        <v>3.333333333333333</v>
      </c>
      <c r="S670" s="8">
        <f t="shared" si="100"/>
        <v>3.583333333333333</v>
      </c>
      <c r="T670" s="22">
        <f t="shared" si="95"/>
        <v>29.606821411653247</v>
      </c>
      <c r="U670" s="19">
        <f t="shared" si="96"/>
        <v>3151.6794469445754</v>
      </c>
      <c r="V670" s="25" t="s">
        <v>2987</v>
      </c>
    </row>
    <row r="671" spans="1:22" ht="15" customHeight="1" x14ac:dyDescent="0.25">
      <c r="A671" t="s">
        <v>518</v>
      </c>
      <c r="B671" t="s">
        <v>1091</v>
      </c>
      <c r="C671" t="s">
        <v>2102</v>
      </c>
      <c r="D671" t="s">
        <v>2105</v>
      </c>
      <c r="E671" t="s">
        <v>234</v>
      </c>
      <c r="F671" s="5">
        <v>354</v>
      </c>
      <c r="G671" t="s">
        <v>512</v>
      </c>
      <c r="H671" s="3">
        <v>20</v>
      </c>
      <c r="I671" s="3">
        <v>30</v>
      </c>
      <c r="J671" s="3">
        <v>25</v>
      </c>
      <c r="K671" s="3">
        <v>1</v>
      </c>
      <c r="L671">
        <f t="shared" si="97"/>
        <v>1.4999999999999999E-2</v>
      </c>
      <c r="M671">
        <f t="shared" si="94"/>
        <v>1.65</v>
      </c>
      <c r="N671" s="8">
        <v>110</v>
      </c>
      <c r="O671" s="14">
        <f t="shared" si="98"/>
        <v>38940</v>
      </c>
      <c r="P671" s="8">
        <v>20</v>
      </c>
      <c r="Q671" s="8">
        <f>N671/P671</f>
        <v>5.5</v>
      </c>
      <c r="R671" s="8">
        <f>(N671/30)*P671</f>
        <v>73.333333333333329</v>
      </c>
      <c r="S671" s="8">
        <f t="shared" si="100"/>
        <v>78.833333333333329</v>
      </c>
      <c r="T671" s="22">
        <f t="shared" si="95"/>
        <v>28.822240644244435</v>
      </c>
      <c r="U671" s="19">
        <f t="shared" si="96"/>
        <v>3180.50168758882</v>
      </c>
      <c r="V671" s="25" t="s">
        <v>2987</v>
      </c>
    </row>
    <row r="672" spans="1:22" ht="15" customHeight="1" x14ac:dyDescent="0.25">
      <c r="A672" t="s">
        <v>518</v>
      </c>
      <c r="B672" t="s">
        <v>1090</v>
      </c>
      <c r="C672" t="s">
        <v>765</v>
      </c>
      <c r="D672" t="s">
        <v>526</v>
      </c>
      <c r="E672" t="s">
        <v>234</v>
      </c>
      <c r="F672" s="5">
        <v>7658</v>
      </c>
      <c r="G672" t="s">
        <v>678</v>
      </c>
      <c r="H672" s="3">
        <v>40</v>
      </c>
      <c r="I672" s="3">
        <v>50</v>
      </c>
      <c r="J672" s="3">
        <v>72</v>
      </c>
      <c r="K672" s="3">
        <v>25.8</v>
      </c>
      <c r="L672">
        <f t="shared" si="97"/>
        <v>0.14399999999999999</v>
      </c>
      <c r="M672">
        <f t="shared" si="94"/>
        <v>0.72</v>
      </c>
      <c r="N672" s="8">
        <v>5</v>
      </c>
      <c r="O672" s="14">
        <f t="shared" si="98"/>
        <v>38290</v>
      </c>
      <c r="P672" s="8">
        <v>20</v>
      </c>
      <c r="Q672" s="8">
        <f>N672/P672</f>
        <v>0.25</v>
      </c>
      <c r="R672" s="8">
        <f>(N672/30)*P672</f>
        <v>3.333333333333333</v>
      </c>
      <c r="S672" s="8">
        <f t="shared" si="100"/>
        <v>3.583333333333333</v>
      </c>
      <c r="T672" s="22">
        <f t="shared" si="95"/>
        <v>28.341129796305069</v>
      </c>
      <c r="U672" s="19">
        <f t="shared" si="96"/>
        <v>3208.8428173851253</v>
      </c>
      <c r="V672" s="25" t="s">
        <v>2987</v>
      </c>
    </row>
    <row r="673" spans="1:22" ht="15" customHeight="1" x14ac:dyDescent="0.25">
      <c r="A673" t="s">
        <v>518</v>
      </c>
      <c r="B673" t="s">
        <v>519</v>
      </c>
      <c r="C673" t="s">
        <v>566</v>
      </c>
      <c r="D673" t="s">
        <v>567</v>
      </c>
      <c r="E673" t="s">
        <v>561</v>
      </c>
      <c r="F673" s="5">
        <v>108.55</v>
      </c>
      <c r="G673" t="s">
        <v>568</v>
      </c>
      <c r="H673" s="3">
        <v>27</v>
      </c>
      <c r="I673" s="3">
        <v>30</v>
      </c>
      <c r="J673" s="3">
        <v>5</v>
      </c>
      <c r="K673">
        <v>1</v>
      </c>
      <c r="L673">
        <f t="shared" si="97"/>
        <v>4.0499999999999998E-3</v>
      </c>
      <c r="M673">
        <f t="shared" si="94"/>
        <v>1.4175</v>
      </c>
      <c r="N673" s="8">
        <v>350</v>
      </c>
      <c r="O673" s="14">
        <f t="shared" si="98"/>
        <v>37992.5</v>
      </c>
      <c r="P673" s="8">
        <v>25</v>
      </c>
      <c r="Q673" s="8">
        <f>P673/N673</f>
        <v>7.1428571428571425E-2</v>
      </c>
      <c r="R673" s="8">
        <f>P673+Q673</f>
        <v>25.071428571428573</v>
      </c>
      <c r="S673" s="8">
        <f t="shared" si="100"/>
        <v>25.142857142857146</v>
      </c>
      <c r="T673" s="22">
        <f t="shared" si="95"/>
        <v>28.120929062055897</v>
      </c>
      <c r="U673" s="19">
        <f t="shared" si="96"/>
        <v>3236.9637464471812</v>
      </c>
      <c r="V673" s="25" t="s">
        <v>2987</v>
      </c>
    </row>
    <row r="674" spans="1:22" ht="15" customHeight="1" x14ac:dyDescent="0.25">
      <c r="A674" t="s">
        <v>518</v>
      </c>
      <c r="B674" t="s">
        <v>1090</v>
      </c>
      <c r="C674" t="s">
        <v>2419</v>
      </c>
      <c r="D674" t="s">
        <v>2414</v>
      </c>
      <c r="E674" t="s">
        <v>234</v>
      </c>
      <c r="F674" s="5">
        <v>7400</v>
      </c>
      <c r="G674" t="s">
        <v>683</v>
      </c>
      <c r="H674" s="3">
        <v>38</v>
      </c>
      <c r="I674" s="3">
        <v>166</v>
      </c>
      <c r="J674" s="3">
        <v>40</v>
      </c>
      <c r="K674" s="3">
        <v>30</v>
      </c>
      <c r="L674">
        <f t="shared" si="97"/>
        <v>0.25231999999999999</v>
      </c>
      <c r="M674">
        <f t="shared" si="94"/>
        <v>1.2616000000000001</v>
      </c>
      <c r="N674" s="8">
        <v>5</v>
      </c>
      <c r="O674" s="14">
        <f t="shared" si="98"/>
        <v>37000</v>
      </c>
      <c r="P674" s="8">
        <v>20</v>
      </c>
      <c r="Q674" s="8">
        <f>N674/P674</f>
        <v>0.25</v>
      </c>
      <c r="R674" s="8">
        <f>(N674/30)*P674</f>
        <v>3.333333333333333</v>
      </c>
      <c r="S674" s="8">
        <f t="shared" si="100"/>
        <v>3.583333333333333</v>
      </c>
      <c r="T674" s="22">
        <f t="shared" si="95"/>
        <v>27.386309805779252</v>
      </c>
      <c r="U674" s="19">
        <f t="shared" si="96"/>
        <v>3264.3500562529603</v>
      </c>
      <c r="V674" s="25" t="s">
        <v>2987</v>
      </c>
    </row>
    <row r="675" spans="1:22" ht="15" customHeight="1" x14ac:dyDescent="0.25">
      <c r="A675" t="s">
        <v>518</v>
      </c>
      <c r="B675" t="s">
        <v>519</v>
      </c>
      <c r="C675" t="s">
        <v>609</v>
      </c>
      <c r="D675" t="s">
        <v>610</v>
      </c>
      <c r="E675" t="s">
        <v>234</v>
      </c>
      <c r="F675" s="5">
        <v>90</v>
      </c>
      <c r="G675" t="s">
        <v>611</v>
      </c>
      <c r="H675" s="3">
        <v>10</v>
      </c>
      <c r="I675" s="3">
        <v>15</v>
      </c>
      <c r="J675" s="3">
        <v>10</v>
      </c>
      <c r="K675" s="3">
        <v>1</v>
      </c>
      <c r="L675">
        <f t="shared" si="97"/>
        <v>1.5E-3</v>
      </c>
      <c r="M675">
        <f t="shared" si="94"/>
        <v>0.6</v>
      </c>
      <c r="N675" s="8">
        <v>400</v>
      </c>
      <c r="O675" s="14">
        <f t="shared" si="98"/>
        <v>36000</v>
      </c>
      <c r="P675" s="8">
        <v>25</v>
      </c>
      <c r="Q675" s="8">
        <f>P675/N675</f>
        <v>6.25E-2</v>
      </c>
      <c r="R675" s="8">
        <f>P675+Q675</f>
        <v>25.0625</v>
      </c>
      <c r="S675" s="8">
        <f t="shared" si="100"/>
        <v>25.125</v>
      </c>
      <c r="T675" s="22">
        <f t="shared" si="95"/>
        <v>26.646139270487922</v>
      </c>
      <c r="U675" s="19">
        <f t="shared" si="96"/>
        <v>3290.996195523448</v>
      </c>
      <c r="V675" s="25" t="s">
        <v>2987</v>
      </c>
    </row>
    <row r="676" spans="1:22" ht="15" customHeight="1" x14ac:dyDescent="0.25">
      <c r="A676" t="s">
        <v>518</v>
      </c>
      <c r="B676" t="s">
        <v>519</v>
      </c>
      <c r="C676" t="s">
        <v>582</v>
      </c>
      <c r="D676" t="s">
        <v>583</v>
      </c>
      <c r="E676" t="s">
        <v>561</v>
      </c>
      <c r="F676" s="5">
        <v>100</v>
      </c>
      <c r="G676" t="s">
        <v>568</v>
      </c>
      <c r="H676" s="3">
        <v>60</v>
      </c>
      <c r="I676" s="3">
        <v>1.7</v>
      </c>
      <c r="J676" s="3">
        <v>1.6</v>
      </c>
      <c r="K676" s="3">
        <v>1.1599999999999999</v>
      </c>
      <c r="L676">
        <f t="shared" si="97"/>
        <v>1.6320000000000001E-4</v>
      </c>
      <c r="M676">
        <f t="shared" si="94"/>
        <v>5.7120000000000004E-2</v>
      </c>
      <c r="N676" s="8">
        <v>350</v>
      </c>
      <c r="O676" s="14">
        <f t="shared" si="98"/>
        <v>35000</v>
      </c>
      <c r="P676" s="8">
        <v>25</v>
      </c>
      <c r="Q676" s="8">
        <f>P676/N676</f>
        <v>7.1428571428571425E-2</v>
      </c>
      <c r="R676" s="8">
        <f>P676+Q676</f>
        <v>25.071428571428573</v>
      </c>
      <c r="S676" s="8">
        <f t="shared" si="100"/>
        <v>25.142857142857146</v>
      </c>
      <c r="T676" s="22">
        <f t="shared" si="95"/>
        <v>25.905968735196591</v>
      </c>
      <c r="U676" s="19">
        <f t="shared" si="96"/>
        <v>3316.9021642586445</v>
      </c>
      <c r="V676" s="25" t="s">
        <v>2987</v>
      </c>
    </row>
    <row r="677" spans="1:22" ht="15" customHeight="1" x14ac:dyDescent="0.25">
      <c r="A677" t="s">
        <v>518</v>
      </c>
      <c r="B677" t="s">
        <v>519</v>
      </c>
      <c r="C677" t="s">
        <v>626</v>
      </c>
      <c r="D677" t="s">
        <v>633</v>
      </c>
      <c r="E677" t="s">
        <v>234</v>
      </c>
      <c r="F677" s="5">
        <v>99</v>
      </c>
      <c r="G677" t="s">
        <v>588</v>
      </c>
      <c r="H677" s="3">
        <v>20</v>
      </c>
      <c r="I677" s="3">
        <v>15</v>
      </c>
      <c r="J677" s="3">
        <v>40</v>
      </c>
      <c r="K677" s="3">
        <v>1</v>
      </c>
      <c r="L677">
        <f t="shared" si="97"/>
        <v>1.2E-2</v>
      </c>
      <c r="M677">
        <f t="shared" si="94"/>
        <v>4.2</v>
      </c>
      <c r="N677" s="8">
        <v>350</v>
      </c>
      <c r="O677" s="14">
        <f t="shared" si="98"/>
        <v>34650</v>
      </c>
      <c r="P677" s="8">
        <v>25</v>
      </c>
      <c r="Q677" s="8">
        <f>P677/N677</f>
        <v>7.1428571428571425E-2</v>
      </c>
      <c r="R677" s="8">
        <f>P677+Q677</f>
        <v>25.071428571428573</v>
      </c>
      <c r="S677" s="8">
        <f t="shared" si="100"/>
        <v>25.142857142857146</v>
      </c>
      <c r="T677" s="22">
        <f t="shared" si="95"/>
        <v>25.646909047844623</v>
      </c>
      <c r="U677" s="19">
        <f t="shared" si="96"/>
        <v>3342.5490733064889</v>
      </c>
      <c r="V677" s="25" t="s">
        <v>2987</v>
      </c>
    </row>
    <row r="678" spans="1:22" ht="15" customHeight="1" x14ac:dyDescent="0.25">
      <c r="A678" t="s">
        <v>518</v>
      </c>
      <c r="B678" t="s">
        <v>519</v>
      </c>
      <c r="C678" t="s">
        <v>523</v>
      </c>
      <c r="D678" t="s">
        <v>524</v>
      </c>
      <c r="E678" t="s">
        <v>234</v>
      </c>
      <c r="F678" s="5">
        <v>97</v>
      </c>
      <c r="G678" t="s">
        <v>522</v>
      </c>
      <c r="H678" s="3">
        <v>20</v>
      </c>
      <c r="I678" s="3">
        <v>15</v>
      </c>
      <c r="J678" s="3">
        <v>20</v>
      </c>
      <c r="K678" s="3">
        <v>1</v>
      </c>
      <c r="L678">
        <f t="shared" si="97"/>
        <v>6.0000000000000001E-3</v>
      </c>
      <c r="M678">
        <f t="shared" si="94"/>
        <v>2.1</v>
      </c>
      <c r="N678" s="8">
        <v>350</v>
      </c>
      <c r="O678" s="14">
        <f t="shared" si="98"/>
        <v>33950</v>
      </c>
      <c r="P678" s="8">
        <v>25</v>
      </c>
      <c r="Q678" s="8">
        <f>P678/N678</f>
        <v>7.1428571428571425E-2</v>
      </c>
      <c r="R678" s="8">
        <f>P678+Q678</f>
        <v>25.071428571428573</v>
      </c>
      <c r="S678" s="8">
        <f t="shared" si="100"/>
        <v>25.142857142857146</v>
      </c>
      <c r="T678" s="22">
        <f t="shared" si="95"/>
        <v>25.128789673140691</v>
      </c>
      <c r="U678" s="19">
        <f t="shared" si="96"/>
        <v>3367.6778629796295</v>
      </c>
      <c r="V678" s="25" t="s">
        <v>2987</v>
      </c>
    </row>
    <row r="679" spans="1:22" ht="15" customHeight="1" x14ac:dyDescent="0.25">
      <c r="A679" t="s">
        <v>518</v>
      </c>
      <c r="B679" t="s">
        <v>1091</v>
      </c>
      <c r="C679" t="s">
        <v>2153</v>
      </c>
      <c r="D679" t="s">
        <v>2154</v>
      </c>
      <c r="E679" t="s">
        <v>833</v>
      </c>
      <c r="F679" s="5">
        <v>350</v>
      </c>
      <c r="G679" t="s">
        <v>845</v>
      </c>
      <c r="H679" s="3">
        <v>290</v>
      </c>
      <c r="I679" s="3">
        <v>50</v>
      </c>
      <c r="J679" s="3">
        <v>25</v>
      </c>
      <c r="K679" s="3">
        <v>3.5</v>
      </c>
      <c r="L679">
        <f t="shared" si="97"/>
        <v>0.36249999999999999</v>
      </c>
      <c r="M679">
        <f t="shared" si="94"/>
        <v>34.4375</v>
      </c>
      <c r="N679" s="8">
        <v>95</v>
      </c>
      <c r="O679" s="14">
        <f t="shared" si="98"/>
        <v>33250</v>
      </c>
      <c r="P679" s="8">
        <v>20</v>
      </c>
      <c r="Q679" s="8">
        <f>N679/P679</f>
        <v>4.75</v>
      </c>
      <c r="R679" s="8">
        <f>(N679/30)*P679</f>
        <v>63.333333333333329</v>
      </c>
      <c r="S679" s="8">
        <f t="shared" si="100"/>
        <v>68.083333333333329</v>
      </c>
      <c r="T679" s="22">
        <f t="shared" si="95"/>
        <v>24.610670298436762</v>
      </c>
      <c r="U679" s="19">
        <f t="shared" si="96"/>
        <v>3392.2885332780661</v>
      </c>
      <c r="V679" s="25" t="s">
        <v>2987</v>
      </c>
    </row>
    <row r="680" spans="1:22" ht="15" customHeight="1" x14ac:dyDescent="0.25">
      <c r="A680" t="s">
        <v>518</v>
      </c>
      <c r="B680" t="s">
        <v>519</v>
      </c>
      <c r="C680" t="s">
        <v>575</v>
      </c>
      <c r="D680" t="s">
        <v>576</v>
      </c>
      <c r="E680" t="s">
        <v>561</v>
      </c>
      <c r="F680" s="5">
        <v>95</v>
      </c>
      <c r="G680" t="s">
        <v>577</v>
      </c>
      <c r="H680" s="3">
        <v>6</v>
      </c>
      <c r="I680" s="3">
        <v>23</v>
      </c>
      <c r="J680" s="3">
        <v>20</v>
      </c>
      <c r="K680" s="3">
        <v>1.1000000000000001</v>
      </c>
      <c r="L680">
        <f t="shared" si="97"/>
        <v>2.7599999999999999E-3</v>
      </c>
      <c r="M680">
        <f t="shared" si="94"/>
        <v>0.96599999999999997</v>
      </c>
      <c r="N680" s="8">
        <v>350</v>
      </c>
      <c r="O680" s="14">
        <f t="shared" si="98"/>
        <v>33250</v>
      </c>
      <c r="P680" s="8">
        <v>25</v>
      </c>
      <c r="Q680" s="8">
        <f>P680/N680</f>
        <v>7.1428571428571425E-2</v>
      </c>
      <c r="R680" s="8">
        <f>P680+Q680</f>
        <v>25.071428571428573</v>
      </c>
      <c r="S680" s="8">
        <f t="shared" si="100"/>
        <v>25.142857142857146</v>
      </c>
      <c r="T680" s="22">
        <f t="shared" si="95"/>
        <v>24.610670298436762</v>
      </c>
      <c r="U680" s="19">
        <f t="shared" si="96"/>
        <v>3416.8992035765027</v>
      </c>
      <c r="V680" s="25" t="s">
        <v>2987</v>
      </c>
    </row>
    <row r="681" spans="1:22" ht="15" customHeight="1" x14ac:dyDescent="0.25">
      <c r="A681" t="s">
        <v>518</v>
      </c>
      <c r="B681" t="s">
        <v>1090</v>
      </c>
      <c r="C681" t="s">
        <v>765</v>
      </c>
      <c r="D681" t="s">
        <v>524</v>
      </c>
      <c r="E681" t="s">
        <v>234</v>
      </c>
      <c r="F681" s="5">
        <v>6518</v>
      </c>
      <c r="G681" t="s">
        <v>678</v>
      </c>
      <c r="H681" s="3">
        <v>40</v>
      </c>
      <c r="I681" s="3">
        <v>50</v>
      </c>
      <c r="J681" s="3">
        <v>72</v>
      </c>
      <c r="K681" s="3">
        <v>25.8</v>
      </c>
      <c r="L681">
        <f t="shared" si="97"/>
        <v>0.14399999999999999</v>
      </c>
      <c r="M681">
        <f t="shared" si="94"/>
        <v>0.72</v>
      </c>
      <c r="N681" s="8">
        <v>5</v>
      </c>
      <c r="O681" s="14">
        <f t="shared" si="98"/>
        <v>32590</v>
      </c>
      <c r="P681" s="8">
        <v>20</v>
      </c>
      <c r="Q681" s="8">
        <f t="shared" ref="Q681:Q686" si="103">N681/P681</f>
        <v>0.25</v>
      </c>
      <c r="R681" s="8">
        <f t="shared" ref="R681:R686" si="104">(N681/30)*P681</f>
        <v>3.333333333333333</v>
      </c>
      <c r="S681" s="8">
        <f t="shared" si="100"/>
        <v>3.583333333333333</v>
      </c>
      <c r="T681" s="22">
        <f t="shared" si="95"/>
        <v>24.122157745144481</v>
      </c>
      <c r="U681" s="19">
        <f t="shared" si="96"/>
        <v>3441.0213613216474</v>
      </c>
      <c r="V681" s="25" t="s">
        <v>2987</v>
      </c>
    </row>
    <row r="682" spans="1:22" ht="15" customHeight="1" x14ac:dyDescent="0.25">
      <c r="A682" t="s">
        <v>518</v>
      </c>
      <c r="B682" t="s">
        <v>1090</v>
      </c>
      <c r="C682" t="s">
        <v>2486</v>
      </c>
      <c r="D682" t="s">
        <v>749</v>
      </c>
      <c r="E682" t="s">
        <v>234</v>
      </c>
      <c r="F682" s="5">
        <v>6500</v>
      </c>
      <c r="G682" t="s">
        <v>2473</v>
      </c>
      <c r="H682" s="3">
        <v>30</v>
      </c>
      <c r="I682" s="3">
        <v>26</v>
      </c>
      <c r="J682" s="3">
        <v>30</v>
      </c>
      <c r="K682" s="3">
        <v>45</v>
      </c>
      <c r="L682">
        <f t="shared" si="97"/>
        <v>2.3400000000000001E-2</v>
      </c>
      <c r="M682">
        <f t="shared" si="94"/>
        <v>0.11700000000000001</v>
      </c>
      <c r="N682" s="8">
        <v>5</v>
      </c>
      <c r="O682" s="14">
        <f t="shared" si="98"/>
        <v>32500</v>
      </c>
      <c r="P682" s="8">
        <v>20</v>
      </c>
      <c r="Q682" s="8">
        <f t="shared" si="103"/>
        <v>0.25</v>
      </c>
      <c r="R682" s="8">
        <f t="shared" si="104"/>
        <v>3.333333333333333</v>
      </c>
      <c r="S682" s="8">
        <f t="shared" si="100"/>
        <v>3.583333333333333</v>
      </c>
      <c r="T682" s="22">
        <f t="shared" si="95"/>
        <v>24.055542396968264</v>
      </c>
      <c r="U682" s="19">
        <f t="shared" si="96"/>
        <v>3465.0769037186155</v>
      </c>
      <c r="V682" s="25" t="s">
        <v>2987</v>
      </c>
    </row>
    <row r="683" spans="1:22" ht="15" customHeight="1" x14ac:dyDescent="0.25">
      <c r="A683" t="s">
        <v>518</v>
      </c>
      <c r="B683" t="s">
        <v>1091</v>
      </c>
      <c r="C683" t="s">
        <v>2157</v>
      </c>
      <c r="D683" t="s">
        <v>2158</v>
      </c>
      <c r="E683" t="s">
        <v>833</v>
      </c>
      <c r="F683" s="5">
        <v>339</v>
      </c>
      <c r="G683" t="s">
        <v>846</v>
      </c>
      <c r="H683" s="3">
        <v>1200</v>
      </c>
      <c r="I683" s="3">
        <v>60</v>
      </c>
      <c r="J683" s="3">
        <v>15</v>
      </c>
      <c r="K683" s="3">
        <v>2.5</v>
      </c>
      <c r="L683">
        <f t="shared" si="97"/>
        <v>1.08</v>
      </c>
      <c r="M683">
        <f t="shared" si="94"/>
        <v>102.60000000000001</v>
      </c>
      <c r="N683" s="8">
        <v>95</v>
      </c>
      <c r="O683" s="14">
        <f t="shared" si="98"/>
        <v>32205</v>
      </c>
      <c r="P683" s="8">
        <v>20</v>
      </c>
      <c r="Q683" s="8">
        <f t="shared" si="103"/>
        <v>4.75</v>
      </c>
      <c r="R683" s="8">
        <f t="shared" si="104"/>
        <v>63.333333333333329</v>
      </c>
      <c r="S683" s="8">
        <f t="shared" si="100"/>
        <v>68.083333333333329</v>
      </c>
      <c r="T683" s="22">
        <f t="shared" si="95"/>
        <v>23.837192089057318</v>
      </c>
      <c r="U683" s="19">
        <f t="shared" si="96"/>
        <v>3488.9140958076728</v>
      </c>
      <c r="V683" s="25" t="s">
        <v>2987</v>
      </c>
    </row>
    <row r="684" spans="1:22" ht="15" customHeight="1" x14ac:dyDescent="0.25">
      <c r="A684" t="s">
        <v>518</v>
      </c>
      <c r="B684" t="s">
        <v>1091</v>
      </c>
      <c r="C684" t="s">
        <v>2117</v>
      </c>
      <c r="D684" t="s">
        <v>811</v>
      </c>
      <c r="E684" t="s">
        <v>234</v>
      </c>
      <c r="F684" s="5">
        <v>327</v>
      </c>
      <c r="G684" t="s">
        <v>812</v>
      </c>
      <c r="H684" s="3">
        <v>30</v>
      </c>
      <c r="I684" s="3">
        <v>25</v>
      </c>
      <c r="J684" s="3">
        <v>25</v>
      </c>
      <c r="K684" s="3">
        <v>2.5</v>
      </c>
      <c r="L684">
        <f t="shared" si="97"/>
        <v>1.8749999999999999E-2</v>
      </c>
      <c r="M684">
        <f t="shared" si="94"/>
        <v>1.78125</v>
      </c>
      <c r="N684" s="8">
        <v>95</v>
      </c>
      <c r="O684" s="14">
        <f t="shared" si="98"/>
        <v>31065</v>
      </c>
      <c r="P684" s="8">
        <v>20</v>
      </c>
      <c r="Q684" s="8">
        <f t="shared" si="103"/>
        <v>4.75</v>
      </c>
      <c r="R684" s="8">
        <f t="shared" si="104"/>
        <v>63.333333333333329</v>
      </c>
      <c r="S684" s="8">
        <f t="shared" si="100"/>
        <v>68.083333333333329</v>
      </c>
      <c r="T684" s="22">
        <f t="shared" si="95"/>
        <v>22.9933976788252</v>
      </c>
      <c r="U684" s="19">
        <f t="shared" si="96"/>
        <v>3511.907493486498</v>
      </c>
      <c r="V684" s="25" t="s">
        <v>2987</v>
      </c>
    </row>
    <row r="685" spans="1:22" ht="15" customHeight="1" x14ac:dyDescent="0.25">
      <c r="A685" t="s">
        <v>518</v>
      </c>
      <c r="B685" t="s">
        <v>637</v>
      </c>
      <c r="C685" t="s">
        <v>2293</v>
      </c>
      <c r="D685" t="s">
        <v>2294</v>
      </c>
      <c r="E685" t="s">
        <v>234</v>
      </c>
      <c r="F685" s="5">
        <v>730.15</v>
      </c>
      <c r="G685" t="s">
        <v>678</v>
      </c>
      <c r="H685" s="3">
        <v>50</v>
      </c>
      <c r="I685" s="3">
        <v>50</v>
      </c>
      <c r="J685" s="3">
        <v>50</v>
      </c>
      <c r="K685" s="3">
        <v>10</v>
      </c>
      <c r="L685">
        <f t="shared" si="97"/>
        <v>0.125</v>
      </c>
      <c r="M685">
        <f t="shared" si="94"/>
        <v>5</v>
      </c>
      <c r="N685" s="8">
        <v>40</v>
      </c>
      <c r="O685" s="14">
        <f t="shared" si="98"/>
        <v>29206</v>
      </c>
      <c r="P685" s="8">
        <v>20</v>
      </c>
      <c r="Q685" s="8">
        <f t="shared" si="103"/>
        <v>2</v>
      </c>
      <c r="R685" s="8">
        <f t="shared" si="104"/>
        <v>26.666666666666664</v>
      </c>
      <c r="S685" s="8">
        <f t="shared" si="100"/>
        <v>28.666666666666664</v>
      </c>
      <c r="T685" s="22">
        <f t="shared" si="95"/>
        <v>21.617420653718618</v>
      </c>
      <c r="U685" s="19">
        <f t="shared" si="96"/>
        <v>3533.5249141402164</v>
      </c>
      <c r="V685" s="25" t="s">
        <v>2987</v>
      </c>
    </row>
    <row r="686" spans="1:22" ht="15" customHeight="1" x14ac:dyDescent="0.25">
      <c r="A686" t="s">
        <v>518</v>
      </c>
      <c r="B686" t="s">
        <v>1090</v>
      </c>
      <c r="C686" t="s">
        <v>2432</v>
      </c>
      <c r="D686" t="s">
        <v>2418</v>
      </c>
      <c r="E686" t="s">
        <v>234</v>
      </c>
      <c r="F686" s="5">
        <v>5800</v>
      </c>
      <c r="G686" t="s">
        <v>140</v>
      </c>
      <c r="H686" s="3">
        <v>65</v>
      </c>
      <c r="I686" s="3">
        <v>20</v>
      </c>
      <c r="J686" s="3">
        <v>65</v>
      </c>
      <c r="K686" s="3">
        <v>30</v>
      </c>
      <c r="L686">
        <f t="shared" si="97"/>
        <v>8.4500000000000006E-2</v>
      </c>
      <c r="M686">
        <f t="shared" ref="M686:M749" si="105">L686*N686</f>
        <v>0.42250000000000004</v>
      </c>
      <c r="N686" s="8">
        <v>5</v>
      </c>
      <c r="O686" s="14">
        <f t="shared" si="98"/>
        <v>29000</v>
      </c>
      <c r="P686" s="8">
        <v>20</v>
      </c>
      <c r="Q686" s="8">
        <f t="shared" si="103"/>
        <v>0.25</v>
      </c>
      <c r="R686" s="8">
        <f t="shared" si="104"/>
        <v>3.333333333333333</v>
      </c>
      <c r="S686" s="8">
        <f t="shared" si="100"/>
        <v>3.583333333333333</v>
      </c>
      <c r="T686" s="22">
        <f t="shared" si="95"/>
        <v>21.464945523448602</v>
      </c>
      <c r="U686" s="19">
        <f t="shared" si="96"/>
        <v>3554.9898596636649</v>
      </c>
      <c r="V686" s="25" t="s">
        <v>2987</v>
      </c>
    </row>
    <row r="687" spans="1:22" ht="15" customHeight="1" x14ac:dyDescent="0.25">
      <c r="A687" t="s">
        <v>518</v>
      </c>
      <c r="B687" t="s">
        <v>519</v>
      </c>
      <c r="C687" t="s">
        <v>569</v>
      </c>
      <c r="D687" t="s">
        <v>570</v>
      </c>
      <c r="E687" t="s">
        <v>561</v>
      </c>
      <c r="F687" s="5">
        <v>82.6</v>
      </c>
      <c r="G687" t="s">
        <v>571</v>
      </c>
      <c r="H687" s="3">
        <v>3</v>
      </c>
      <c r="I687" s="3">
        <v>54.2</v>
      </c>
      <c r="J687" s="3">
        <v>32.200000000000003</v>
      </c>
      <c r="K687" s="3">
        <v>1.7</v>
      </c>
      <c r="L687">
        <f t="shared" si="97"/>
        <v>5.235720000000001E-3</v>
      </c>
      <c r="M687">
        <f t="shared" si="105"/>
        <v>1.8325020000000003</v>
      </c>
      <c r="N687" s="8">
        <v>350</v>
      </c>
      <c r="O687" s="14">
        <f t="shared" si="98"/>
        <v>28909.999999999996</v>
      </c>
      <c r="P687" s="8">
        <v>25</v>
      </c>
      <c r="Q687" s="8">
        <f>P687/N687</f>
        <v>7.1428571428571425E-2</v>
      </c>
      <c r="R687" s="8">
        <f>P687+Q687</f>
        <v>25.071428571428573</v>
      </c>
      <c r="S687" s="8">
        <f t="shared" si="100"/>
        <v>25.142857142857146</v>
      </c>
      <c r="T687" s="22">
        <f t="shared" si="95"/>
        <v>21.398330175272381</v>
      </c>
      <c r="U687" s="19">
        <f t="shared" si="96"/>
        <v>3576.3881898389373</v>
      </c>
      <c r="V687" s="25" t="s">
        <v>2987</v>
      </c>
    </row>
    <row r="688" spans="1:22" ht="15" customHeight="1" x14ac:dyDescent="0.25">
      <c r="A688" t="s">
        <v>518</v>
      </c>
      <c r="B688" t="s">
        <v>1090</v>
      </c>
      <c r="C688" t="s">
        <v>2476</v>
      </c>
      <c r="D688" t="s">
        <v>747</v>
      </c>
      <c r="E688" t="s">
        <v>234</v>
      </c>
      <c r="F688" s="5">
        <v>5700</v>
      </c>
      <c r="G688" t="s">
        <v>2427</v>
      </c>
      <c r="H688" s="3">
        <v>25</v>
      </c>
      <c r="I688" s="3">
        <v>30</v>
      </c>
      <c r="J688" s="3">
        <v>25</v>
      </c>
      <c r="K688" s="3">
        <v>37</v>
      </c>
      <c r="L688">
        <f t="shared" si="97"/>
        <v>1.8749999999999999E-2</v>
      </c>
      <c r="M688">
        <f t="shared" si="105"/>
        <v>9.375E-2</v>
      </c>
      <c r="N688" s="8">
        <v>5</v>
      </c>
      <c r="O688" s="14">
        <f t="shared" si="98"/>
        <v>28500</v>
      </c>
      <c r="P688" s="8">
        <v>20</v>
      </c>
      <c r="Q688" s="8">
        <f t="shared" ref="Q688:Q693" si="106">N688/P688</f>
        <v>0.25</v>
      </c>
      <c r="R688" s="8">
        <f t="shared" ref="R688:R693" si="107">(N688/30)*P688</f>
        <v>3.333333333333333</v>
      </c>
      <c r="S688" s="8">
        <f t="shared" si="100"/>
        <v>3.583333333333333</v>
      </c>
      <c r="T688" s="22">
        <f t="shared" si="95"/>
        <v>21.094860255802939</v>
      </c>
      <c r="U688" s="19">
        <f t="shared" si="96"/>
        <v>3597.4830500947401</v>
      </c>
      <c r="V688" s="25" t="s">
        <v>2987</v>
      </c>
    </row>
    <row r="689" spans="1:22" ht="15" customHeight="1" x14ac:dyDescent="0.25">
      <c r="A689" t="s">
        <v>518</v>
      </c>
      <c r="B689" t="s">
        <v>1091</v>
      </c>
      <c r="C689" t="s">
        <v>2102</v>
      </c>
      <c r="D689" t="s">
        <v>2103</v>
      </c>
      <c r="E689" t="s">
        <v>234</v>
      </c>
      <c r="F689" s="5">
        <v>255</v>
      </c>
      <c r="G689" t="s">
        <v>512</v>
      </c>
      <c r="H689" s="3">
        <v>20</v>
      </c>
      <c r="I689" s="3">
        <v>30</v>
      </c>
      <c r="J689" s="3">
        <v>25</v>
      </c>
      <c r="K689" s="3">
        <v>1</v>
      </c>
      <c r="L689">
        <f t="shared" si="97"/>
        <v>1.4999999999999999E-2</v>
      </c>
      <c r="M689">
        <f t="shared" si="105"/>
        <v>1.65</v>
      </c>
      <c r="N689" s="8">
        <v>110</v>
      </c>
      <c r="O689" s="14">
        <f t="shared" si="98"/>
        <v>28050</v>
      </c>
      <c r="P689" s="8">
        <v>20</v>
      </c>
      <c r="Q689" s="8">
        <f t="shared" si="106"/>
        <v>5.5</v>
      </c>
      <c r="R689" s="8">
        <f t="shared" si="107"/>
        <v>73.333333333333329</v>
      </c>
      <c r="S689" s="8">
        <f t="shared" si="100"/>
        <v>78.833333333333329</v>
      </c>
      <c r="T689" s="22">
        <f t="shared" si="95"/>
        <v>20.761783514921838</v>
      </c>
      <c r="U689" s="19">
        <f t="shared" si="96"/>
        <v>3618.2448336096618</v>
      </c>
      <c r="V689" s="25" t="s">
        <v>2987</v>
      </c>
    </row>
    <row r="690" spans="1:22" ht="15" customHeight="1" x14ac:dyDescent="0.25">
      <c r="A690" t="s">
        <v>518</v>
      </c>
      <c r="B690" t="s">
        <v>1091</v>
      </c>
      <c r="C690" t="s">
        <v>2117</v>
      </c>
      <c r="D690" t="s">
        <v>813</v>
      </c>
      <c r="E690" t="s">
        <v>234</v>
      </c>
      <c r="F690" s="5">
        <v>294</v>
      </c>
      <c r="G690" t="s">
        <v>812</v>
      </c>
      <c r="H690" s="3">
        <v>30</v>
      </c>
      <c r="I690" s="3">
        <v>25</v>
      </c>
      <c r="J690" s="3">
        <v>25</v>
      </c>
      <c r="K690" s="3">
        <v>2.5</v>
      </c>
      <c r="L690">
        <f t="shared" si="97"/>
        <v>1.8749999999999999E-2</v>
      </c>
      <c r="M690">
        <f t="shared" si="105"/>
        <v>1.78125</v>
      </c>
      <c r="N690" s="8">
        <v>95</v>
      </c>
      <c r="O690" s="14">
        <f t="shared" si="98"/>
        <v>27930</v>
      </c>
      <c r="P690" s="8">
        <v>20</v>
      </c>
      <c r="Q690" s="8">
        <f t="shared" si="106"/>
        <v>4.75</v>
      </c>
      <c r="R690" s="8">
        <f t="shared" si="107"/>
        <v>63.333333333333329</v>
      </c>
      <c r="S690" s="8">
        <f t="shared" si="100"/>
        <v>68.083333333333329</v>
      </c>
      <c r="T690" s="22">
        <f t="shared" si="95"/>
        <v>20.672963050686878</v>
      </c>
      <c r="U690" s="19">
        <f t="shared" si="96"/>
        <v>3638.9177966603488</v>
      </c>
      <c r="V690" s="25" t="s">
        <v>2987</v>
      </c>
    </row>
    <row r="691" spans="1:22" ht="15" customHeight="1" x14ac:dyDescent="0.25">
      <c r="A691" t="s">
        <v>518</v>
      </c>
      <c r="B691" t="s">
        <v>1091</v>
      </c>
      <c r="C691" t="s">
        <v>2102</v>
      </c>
      <c r="D691" t="s">
        <v>2106</v>
      </c>
      <c r="E691" t="s">
        <v>234</v>
      </c>
      <c r="F691" s="5">
        <v>309</v>
      </c>
      <c r="G691" t="s">
        <v>806</v>
      </c>
      <c r="H691" s="3">
        <v>20</v>
      </c>
      <c r="I691" s="3">
        <v>30</v>
      </c>
      <c r="J691" s="3">
        <v>25</v>
      </c>
      <c r="K691" s="3">
        <v>1</v>
      </c>
      <c r="L691">
        <f t="shared" si="97"/>
        <v>1.4999999999999999E-2</v>
      </c>
      <c r="M691">
        <f t="shared" si="105"/>
        <v>1.3499999999999999</v>
      </c>
      <c r="N691" s="8">
        <v>90</v>
      </c>
      <c r="O691" s="14">
        <f t="shared" si="98"/>
        <v>27810</v>
      </c>
      <c r="P691" s="8">
        <v>20</v>
      </c>
      <c r="Q691" s="8">
        <f t="shared" si="106"/>
        <v>4.5</v>
      </c>
      <c r="R691" s="8">
        <f t="shared" si="107"/>
        <v>60</v>
      </c>
      <c r="S691" s="8">
        <f t="shared" si="100"/>
        <v>64.5</v>
      </c>
      <c r="T691" s="22">
        <f t="shared" si="95"/>
        <v>20.584142586451918</v>
      </c>
      <c r="U691" s="19">
        <f t="shared" si="96"/>
        <v>3659.5019392468007</v>
      </c>
      <c r="V691" s="25" t="s">
        <v>2987</v>
      </c>
    </row>
    <row r="692" spans="1:22" ht="15" customHeight="1" x14ac:dyDescent="0.25">
      <c r="A692" t="s">
        <v>518</v>
      </c>
      <c r="B692" t="s">
        <v>1091</v>
      </c>
      <c r="C692" t="s">
        <v>1187</v>
      </c>
      <c r="D692" t="s">
        <v>1188</v>
      </c>
      <c r="E692" t="s">
        <v>234</v>
      </c>
      <c r="F692" s="5">
        <v>251.2</v>
      </c>
      <c r="G692" t="s">
        <v>1189</v>
      </c>
      <c r="H692">
        <v>10</v>
      </c>
      <c r="I692">
        <v>10</v>
      </c>
      <c r="J692">
        <v>10</v>
      </c>
      <c r="K692" s="3">
        <v>1.2</v>
      </c>
      <c r="L692">
        <f t="shared" si="97"/>
        <v>1E-3</v>
      </c>
      <c r="M692">
        <f t="shared" si="105"/>
        <v>0.11</v>
      </c>
      <c r="N692" s="8">
        <v>110</v>
      </c>
      <c r="O692" s="14">
        <f t="shared" si="98"/>
        <v>27632</v>
      </c>
      <c r="P692" s="8">
        <v>20</v>
      </c>
      <c r="Q692" s="8">
        <f t="shared" si="106"/>
        <v>5.5</v>
      </c>
      <c r="R692" s="8">
        <f t="shared" si="107"/>
        <v>73.333333333333329</v>
      </c>
      <c r="S692" s="8">
        <f t="shared" si="100"/>
        <v>78.833333333333329</v>
      </c>
      <c r="T692" s="22">
        <f t="shared" si="95"/>
        <v>20.452392231170062</v>
      </c>
      <c r="U692" s="19">
        <f t="shared" si="96"/>
        <v>3679.9543314779708</v>
      </c>
      <c r="V692" s="25" t="s">
        <v>2987</v>
      </c>
    </row>
    <row r="693" spans="1:22" ht="15" customHeight="1" x14ac:dyDescent="0.25">
      <c r="A693" t="s">
        <v>518</v>
      </c>
      <c r="B693" t="s">
        <v>1090</v>
      </c>
      <c r="C693" t="s">
        <v>2472</v>
      </c>
      <c r="D693" t="s">
        <v>744</v>
      </c>
      <c r="E693" t="s">
        <v>234</v>
      </c>
      <c r="F693" s="5">
        <v>5500</v>
      </c>
      <c r="G693" t="s">
        <v>2473</v>
      </c>
      <c r="H693" s="3">
        <v>30</v>
      </c>
      <c r="I693" s="3">
        <v>25</v>
      </c>
      <c r="J693" s="3">
        <v>35</v>
      </c>
      <c r="K693" s="3">
        <v>45</v>
      </c>
      <c r="L693">
        <f t="shared" si="97"/>
        <v>2.6249999999999999E-2</v>
      </c>
      <c r="M693">
        <f t="shared" si="105"/>
        <v>0.13125000000000001</v>
      </c>
      <c r="N693" s="8">
        <v>5</v>
      </c>
      <c r="O693" s="14">
        <f t="shared" si="98"/>
        <v>27500</v>
      </c>
      <c r="P693" s="8">
        <v>20</v>
      </c>
      <c r="Q693" s="8">
        <f t="shared" si="106"/>
        <v>0.25</v>
      </c>
      <c r="R693" s="8">
        <f t="shared" si="107"/>
        <v>3.333333333333333</v>
      </c>
      <c r="S693" s="8">
        <f t="shared" si="100"/>
        <v>3.583333333333333</v>
      </c>
      <c r="T693" s="22">
        <f t="shared" ref="T693:T756" si="108">O693/O$1749</f>
        <v>20.354689720511608</v>
      </c>
      <c r="U693" s="19">
        <f t="shared" ref="U693:U756" si="109">U692+T693</f>
        <v>3700.3090211984822</v>
      </c>
      <c r="V693" s="25" t="s">
        <v>2987</v>
      </c>
    </row>
    <row r="694" spans="1:22" ht="15" customHeight="1" x14ac:dyDescent="0.25">
      <c r="A694" t="s">
        <v>518</v>
      </c>
      <c r="B694" t="s">
        <v>519</v>
      </c>
      <c r="C694" t="s">
        <v>612</v>
      </c>
      <c r="D694" t="s">
        <v>613</v>
      </c>
      <c r="E694" t="s">
        <v>234</v>
      </c>
      <c r="F694" s="5">
        <v>67.900000000000006</v>
      </c>
      <c r="G694" t="s">
        <v>611</v>
      </c>
      <c r="H694" s="3">
        <v>10</v>
      </c>
      <c r="I694" s="3">
        <v>15</v>
      </c>
      <c r="J694" s="3">
        <v>10</v>
      </c>
      <c r="K694" s="3">
        <v>1</v>
      </c>
      <c r="L694">
        <f t="shared" si="97"/>
        <v>1.5E-3</v>
      </c>
      <c r="M694">
        <f t="shared" si="105"/>
        <v>0.6</v>
      </c>
      <c r="N694" s="8">
        <v>400</v>
      </c>
      <c r="O694" s="14">
        <f t="shared" si="98"/>
        <v>27160.000000000004</v>
      </c>
      <c r="P694" s="8">
        <v>25</v>
      </c>
      <c r="Q694" s="8">
        <f>P694/N694</f>
        <v>6.25E-2</v>
      </c>
      <c r="R694" s="8">
        <f>P694+Q694</f>
        <v>25.0625</v>
      </c>
      <c r="S694" s="8">
        <f t="shared" si="100"/>
        <v>25.125</v>
      </c>
      <c r="T694" s="22">
        <f t="shared" si="108"/>
        <v>20.103031738512556</v>
      </c>
      <c r="U694" s="19">
        <f t="shared" si="109"/>
        <v>3720.4120529369948</v>
      </c>
      <c r="V694" s="25" t="s">
        <v>2987</v>
      </c>
    </row>
    <row r="695" spans="1:22" ht="15" customHeight="1" x14ac:dyDescent="0.25">
      <c r="A695" t="s">
        <v>518</v>
      </c>
      <c r="B695" t="s">
        <v>1091</v>
      </c>
      <c r="C695" t="s">
        <v>1194</v>
      </c>
      <c r="D695" t="s">
        <v>1195</v>
      </c>
      <c r="E695" t="s">
        <v>234</v>
      </c>
      <c r="F695" s="5">
        <v>104</v>
      </c>
      <c r="G695" t="s">
        <v>1121</v>
      </c>
      <c r="H695">
        <v>10</v>
      </c>
      <c r="I695">
        <v>10</v>
      </c>
      <c r="J695">
        <v>10</v>
      </c>
      <c r="K695" s="3">
        <v>1.5</v>
      </c>
      <c r="L695">
        <f t="shared" si="97"/>
        <v>1E-3</v>
      </c>
      <c r="M695">
        <f t="shared" si="105"/>
        <v>0.26</v>
      </c>
      <c r="N695" s="8">
        <v>260</v>
      </c>
      <c r="O695" s="14">
        <f t="shared" si="98"/>
        <v>27040</v>
      </c>
      <c r="P695" s="8">
        <v>20</v>
      </c>
      <c r="Q695" s="8">
        <f>N695/P695</f>
        <v>13</v>
      </c>
      <c r="R695" s="8">
        <f>(N695/30)*P695</f>
        <v>173.33333333333331</v>
      </c>
      <c r="S695" s="8">
        <f t="shared" si="100"/>
        <v>186.33333333333331</v>
      </c>
      <c r="T695" s="22">
        <f t="shared" si="108"/>
        <v>20.014211274277596</v>
      </c>
      <c r="U695" s="19">
        <f t="shared" si="109"/>
        <v>3740.4262642112722</v>
      </c>
      <c r="V695" s="25" t="s">
        <v>2987</v>
      </c>
    </row>
    <row r="696" spans="1:22" ht="15" customHeight="1" x14ac:dyDescent="0.25">
      <c r="A696" t="s">
        <v>518</v>
      </c>
      <c r="B696" t="s">
        <v>1090</v>
      </c>
      <c r="C696" t="s">
        <v>2451</v>
      </c>
      <c r="D696" t="s">
        <v>2414</v>
      </c>
      <c r="E696" t="s">
        <v>234</v>
      </c>
      <c r="F696" s="5">
        <v>5400</v>
      </c>
      <c r="G696" t="s">
        <v>140</v>
      </c>
      <c r="H696" s="3">
        <v>40</v>
      </c>
      <c r="I696" s="3">
        <v>25</v>
      </c>
      <c r="J696" s="3">
        <v>40</v>
      </c>
      <c r="K696" s="3">
        <v>25</v>
      </c>
      <c r="L696">
        <f t="shared" si="97"/>
        <v>0.04</v>
      </c>
      <c r="M696">
        <f t="shared" si="105"/>
        <v>0.2</v>
      </c>
      <c r="N696" s="8">
        <v>5</v>
      </c>
      <c r="O696" s="14">
        <f t="shared" si="98"/>
        <v>27000</v>
      </c>
      <c r="P696" s="8">
        <v>20</v>
      </c>
      <c r="Q696" s="8">
        <f>N696/P696</f>
        <v>0.25</v>
      </c>
      <c r="R696" s="8">
        <f>(N696/30)*P696</f>
        <v>3.333333333333333</v>
      </c>
      <c r="S696" s="8">
        <f t="shared" si="100"/>
        <v>3.583333333333333</v>
      </c>
      <c r="T696" s="22">
        <f t="shared" si="108"/>
        <v>19.984604452865941</v>
      </c>
      <c r="U696" s="19">
        <f t="shared" si="109"/>
        <v>3760.410868664138</v>
      </c>
      <c r="V696" s="25" t="s">
        <v>2987</v>
      </c>
    </row>
    <row r="697" spans="1:22" ht="15" customHeight="1" x14ac:dyDescent="0.25">
      <c r="A697" t="s">
        <v>518</v>
      </c>
      <c r="B697" t="s">
        <v>637</v>
      </c>
      <c r="C697" t="s">
        <v>2293</v>
      </c>
      <c r="D697" t="s">
        <v>2299</v>
      </c>
      <c r="E697" t="s">
        <v>234</v>
      </c>
      <c r="F697" s="5">
        <v>674.9</v>
      </c>
      <c r="G697" t="s">
        <v>678</v>
      </c>
      <c r="H697" s="3">
        <v>50</v>
      </c>
      <c r="I697" s="3">
        <v>50</v>
      </c>
      <c r="J697" s="3">
        <v>50</v>
      </c>
      <c r="K697" s="3">
        <v>10</v>
      </c>
      <c r="L697">
        <f t="shared" si="97"/>
        <v>0.125</v>
      </c>
      <c r="M697">
        <f t="shared" si="105"/>
        <v>5</v>
      </c>
      <c r="N697" s="8">
        <v>40</v>
      </c>
      <c r="O697" s="14">
        <f t="shared" si="98"/>
        <v>26996</v>
      </c>
      <c r="P697" s="8">
        <v>20</v>
      </c>
      <c r="Q697" s="8">
        <f>N697/P697</f>
        <v>2</v>
      </c>
      <c r="R697" s="8">
        <f>(N697/30)*P697</f>
        <v>26.666666666666664</v>
      </c>
      <c r="S697" s="8">
        <f t="shared" si="100"/>
        <v>28.666666666666664</v>
      </c>
      <c r="T697" s="22">
        <f t="shared" si="108"/>
        <v>19.981643770724776</v>
      </c>
      <c r="U697" s="19">
        <f t="shared" si="109"/>
        <v>3780.392512434863</v>
      </c>
      <c r="V697" s="25" t="s">
        <v>2987</v>
      </c>
    </row>
    <row r="698" spans="1:22" ht="15" customHeight="1" x14ac:dyDescent="0.25">
      <c r="A698" t="s">
        <v>518</v>
      </c>
      <c r="B698" t="s">
        <v>637</v>
      </c>
      <c r="C698" t="s">
        <v>2293</v>
      </c>
      <c r="D698" t="s">
        <v>707</v>
      </c>
      <c r="E698" t="s">
        <v>234</v>
      </c>
      <c r="F698" s="5">
        <v>674.9</v>
      </c>
      <c r="G698" t="s">
        <v>678</v>
      </c>
      <c r="H698" s="3">
        <v>50</v>
      </c>
      <c r="I698" s="3">
        <v>50</v>
      </c>
      <c r="J698" s="3">
        <v>50</v>
      </c>
      <c r="K698" s="3">
        <v>10</v>
      </c>
      <c r="L698">
        <f t="shared" si="97"/>
        <v>0.125</v>
      </c>
      <c r="M698">
        <f t="shared" si="105"/>
        <v>5</v>
      </c>
      <c r="N698" s="8">
        <v>40</v>
      </c>
      <c r="O698" s="14">
        <f t="shared" si="98"/>
        <v>26996</v>
      </c>
      <c r="P698" s="8">
        <v>20</v>
      </c>
      <c r="Q698" s="8">
        <f>N698/P698</f>
        <v>2</v>
      </c>
      <c r="R698" s="8">
        <f>(N698/30)*P698</f>
        <v>26.666666666666664</v>
      </c>
      <c r="S698" s="8">
        <f t="shared" si="100"/>
        <v>28.666666666666664</v>
      </c>
      <c r="T698" s="22">
        <f t="shared" si="108"/>
        <v>19.981643770724776</v>
      </c>
      <c r="U698" s="19">
        <f t="shared" si="109"/>
        <v>3800.374156205588</v>
      </c>
      <c r="V698" s="25" t="s">
        <v>2987</v>
      </c>
    </row>
    <row r="699" spans="1:22" ht="15" customHeight="1" x14ac:dyDescent="0.25">
      <c r="A699" t="s">
        <v>518</v>
      </c>
      <c r="B699" t="s">
        <v>637</v>
      </c>
      <c r="C699" t="s">
        <v>2230</v>
      </c>
      <c r="D699" t="s">
        <v>1268</v>
      </c>
      <c r="E699" t="s">
        <v>234</v>
      </c>
      <c r="F699" s="5">
        <v>325</v>
      </c>
      <c r="G699" t="s">
        <v>2224</v>
      </c>
      <c r="H699" s="3">
        <v>15</v>
      </c>
      <c r="I699" s="3">
        <v>15</v>
      </c>
      <c r="J699" s="3">
        <v>24</v>
      </c>
      <c r="K699" s="3">
        <v>5.4000000000000003E-3</v>
      </c>
      <c r="L699">
        <f t="shared" si="97"/>
        <v>5.4000000000000003E-3</v>
      </c>
      <c r="M699">
        <f t="shared" si="105"/>
        <v>0.43200000000000005</v>
      </c>
      <c r="N699" s="8">
        <v>80</v>
      </c>
      <c r="O699" s="14">
        <f t="shared" si="98"/>
        <v>26000</v>
      </c>
      <c r="P699" s="8">
        <v>20</v>
      </c>
      <c r="Q699" s="8">
        <f>N699/P699</f>
        <v>4</v>
      </c>
      <c r="R699" s="8">
        <f>(N699/30)*P699</f>
        <v>53.333333333333329</v>
      </c>
      <c r="S699" s="8">
        <f t="shared" si="100"/>
        <v>57.333333333333329</v>
      </c>
      <c r="T699" s="22">
        <f t="shared" si="108"/>
        <v>19.244433917574611</v>
      </c>
      <c r="U699" s="19">
        <f t="shared" si="109"/>
        <v>3819.6185901231624</v>
      </c>
      <c r="V699" s="25" t="s">
        <v>2987</v>
      </c>
    </row>
    <row r="700" spans="1:22" ht="15" customHeight="1" x14ac:dyDescent="0.25">
      <c r="A700" t="s">
        <v>518</v>
      </c>
      <c r="B700" t="s">
        <v>519</v>
      </c>
      <c r="C700" t="s">
        <v>578</v>
      </c>
      <c r="D700" t="s">
        <v>579</v>
      </c>
      <c r="E700" t="s">
        <v>561</v>
      </c>
      <c r="F700" s="5">
        <v>74.2</v>
      </c>
      <c r="G700" t="s">
        <v>568</v>
      </c>
      <c r="H700" s="3">
        <v>25</v>
      </c>
      <c r="I700" s="3">
        <v>23.5</v>
      </c>
      <c r="J700" s="3">
        <v>4</v>
      </c>
      <c r="K700" s="3">
        <v>2.8</v>
      </c>
      <c r="L700">
        <f t="shared" si="97"/>
        <v>2.3500000000000001E-3</v>
      </c>
      <c r="M700">
        <f t="shared" si="105"/>
        <v>0.82250000000000001</v>
      </c>
      <c r="N700" s="8">
        <v>350</v>
      </c>
      <c r="O700" s="14">
        <f t="shared" si="98"/>
        <v>25970</v>
      </c>
      <c r="P700" s="8">
        <v>25</v>
      </c>
      <c r="Q700" s="8">
        <f>P700/N700</f>
        <v>7.1428571428571425E-2</v>
      </c>
      <c r="R700" s="8">
        <f>P700+Q700</f>
        <v>25.071428571428573</v>
      </c>
      <c r="S700" s="8">
        <f t="shared" si="100"/>
        <v>25.142857142857146</v>
      </c>
      <c r="T700" s="22">
        <f t="shared" si="108"/>
        <v>19.222228801515868</v>
      </c>
      <c r="U700" s="19">
        <f t="shared" si="109"/>
        <v>3838.8408189246784</v>
      </c>
      <c r="V700" s="25" t="s">
        <v>2987</v>
      </c>
    </row>
    <row r="701" spans="1:22" ht="15" customHeight="1" x14ac:dyDescent="0.25">
      <c r="A701" t="s">
        <v>518</v>
      </c>
      <c r="B701" t="s">
        <v>1090</v>
      </c>
      <c r="C701" t="s">
        <v>2470</v>
      </c>
      <c r="D701" t="s">
        <v>2471</v>
      </c>
      <c r="E701" t="s">
        <v>234</v>
      </c>
      <c r="F701" s="5">
        <v>4950</v>
      </c>
      <c r="G701" t="s">
        <v>140</v>
      </c>
      <c r="H701" s="3">
        <v>45</v>
      </c>
      <c r="I701" s="3">
        <v>20</v>
      </c>
      <c r="J701" s="3">
        <v>40</v>
      </c>
      <c r="K701" s="3">
        <v>15</v>
      </c>
      <c r="L701">
        <f t="shared" si="97"/>
        <v>3.5999999999999997E-2</v>
      </c>
      <c r="M701">
        <f t="shared" si="105"/>
        <v>0.18</v>
      </c>
      <c r="N701" s="8">
        <v>5</v>
      </c>
      <c r="O701" s="14">
        <f t="shared" si="98"/>
        <v>24750</v>
      </c>
      <c r="P701" s="8">
        <v>20</v>
      </c>
      <c r="Q701" s="8">
        <f t="shared" ref="Q701:Q722" si="110">N701/P701</f>
        <v>0.25</v>
      </c>
      <c r="R701" s="8">
        <f t="shared" ref="R701:R722" si="111">(N701/30)*P701</f>
        <v>3.333333333333333</v>
      </c>
      <c r="S701" s="8">
        <f t="shared" si="100"/>
        <v>3.583333333333333</v>
      </c>
      <c r="T701" s="22">
        <f t="shared" si="108"/>
        <v>18.319220748460445</v>
      </c>
      <c r="U701" s="19">
        <f t="shared" si="109"/>
        <v>3857.1600396731387</v>
      </c>
      <c r="V701" s="25" t="s">
        <v>2987</v>
      </c>
    </row>
    <row r="702" spans="1:22" ht="15" customHeight="1" x14ac:dyDescent="0.25">
      <c r="A702" t="s">
        <v>518</v>
      </c>
      <c r="B702" t="s">
        <v>637</v>
      </c>
      <c r="C702" t="s">
        <v>2293</v>
      </c>
      <c r="D702" t="s">
        <v>2296</v>
      </c>
      <c r="E702" t="s">
        <v>234</v>
      </c>
      <c r="F702" s="5">
        <v>617.4</v>
      </c>
      <c r="G702" t="s">
        <v>678</v>
      </c>
      <c r="H702" s="3">
        <v>50</v>
      </c>
      <c r="I702" s="3">
        <v>50</v>
      </c>
      <c r="J702" s="3">
        <v>50</v>
      </c>
      <c r="K702" s="3">
        <v>10</v>
      </c>
      <c r="L702">
        <f t="shared" si="97"/>
        <v>0.125</v>
      </c>
      <c r="M702">
        <f t="shared" si="105"/>
        <v>5</v>
      </c>
      <c r="N702" s="8">
        <v>40</v>
      </c>
      <c r="O702" s="14">
        <f t="shared" si="98"/>
        <v>24696</v>
      </c>
      <c r="P702" s="8">
        <v>20</v>
      </c>
      <c r="Q702" s="8">
        <f t="shared" si="110"/>
        <v>2</v>
      </c>
      <c r="R702" s="8">
        <f t="shared" si="111"/>
        <v>26.666666666666664</v>
      </c>
      <c r="S702" s="8">
        <f t="shared" si="100"/>
        <v>28.666666666666664</v>
      </c>
      <c r="T702" s="22">
        <f t="shared" si="108"/>
        <v>18.279251539554714</v>
      </c>
      <c r="U702" s="19">
        <f t="shared" si="109"/>
        <v>3875.4392912126937</v>
      </c>
      <c r="V702" s="25" t="s">
        <v>2987</v>
      </c>
    </row>
    <row r="703" spans="1:22" ht="15" customHeight="1" x14ac:dyDescent="0.25">
      <c r="A703" t="s">
        <v>518</v>
      </c>
      <c r="B703" t="s">
        <v>1090</v>
      </c>
      <c r="C703" t="s">
        <v>2466</v>
      </c>
      <c r="D703" t="s">
        <v>743</v>
      </c>
      <c r="E703" t="s">
        <v>234</v>
      </c>
      <c r="F703" s="5">
        <v>4900</v>
      </c>
      <c r="G703" t="s">
        <v>2421</v>
      </c>
      <c r="H703" s="3">
        <v>35</v>
      </c>
      <c r="I703" s="3">
        <v>20</v>
      </c>
      <c r="J703" s="3">
        <v>40</v>
      </c>
      <c r="K703" s="3">
        <v>30</v>
      </c>
      <c r="L703">
        <f t="shared" si="97"/>
        <v>2.8000000000000001E-2</v>
      </c>
      <c r="M703">
        <f t="shared" si="105"/>
        <v>0.14000000000000001</v>
      </c>
      <c r="N703" s="8">
        <v>5</v>
      </c>
      <c r="O703" s="14">
        <f t="shared" si="98"/>
        <v>24500</v>
      </c>
      <c r="P703" s="8">
        <v>20</v>
      </c>
      <c r="Q703" s="8">
        <f t="shared" si="110"/>
        <v>0.25</v>
      </c>
      <c r="R703" s="8">
        <f t="shared" si="111"/>
        <v>3.333333333333333</v>
      </c>
      <c r="S703" s="8">
        <f t="shared" si="100"/>
        <v>3.583333333333333</v>
      </c>
      <c r="T703" s="22">
        <f t="shared" si="108"/>
        <v>18.134178114637614</v>
      </c>
      <c r="U703" s="19">
        <f t="shared" si="109"/>
        <v>3893.5734693273312</v>
      </c>
      <c r="V703" s="25" t="s">
        <v>2987</v>
      </c>
    </row>
    <row r="704" spans="1:22" ht="15" customHeight="1" x14ac:dyDescent="0.25">
      <c r="A704" t="s">
        <v>518</v>
      </c>
      <c r="B704" t="s">
        <v>637</v>
      </c>
      <c r="C704" t="s">
        <v>2293</v>
      </c>
      <c r="D704" t="s">
        <v>2297</v>
      </c>
      <c r="E704" t="s">
        <v>234</v>
      </c>
      <c r="F704" s="5">
        <v>604.9</v>
      </c>
      <c r="G704" t="s">
        <v>678</v>
      </c>
      <c r="H704" s="3">
        <v>50</v>
      </c>
      <c r="I704" s="3">
        <v>50</v>
      </c>
      <c r="J704" s="3">
        <v>50</v>
      </c>
      <c r="K704" s="3">
        <v>10</v>
      </c>
      <c r="L704">
        <f t="shared" si="97"/>
        <v>0.125</v>
      </c>
      <c r="M704">
        <f t="shared" si="105"/>
        <v>5</v>
      </c>
      <c r="N704" s="8">
        <v>40</v>
      </c>
      <c r="O704" s="14">
        <f t="shared" si="98"/>
        <v>24196</v>
      </c>
      <c r="P704" s="8">
        <v>20</v>
      </c>
      <c r="Q704" s="8">
        <f t="shared" si="110"/>
        <v>2</v>
      </c>
      <c r="R704" s="8">
        <f t="shared" si="111"/>
        <v>26.666666666666664</v>
      </c>
      <c r="S704" s="8">
        <f t="shared" si="100"/>
        <v>28.666666666666664</v>
      </c>
      <c r="T704" s="22">
        <f t="shared" si="108"/>
        <v>17.909166271909047</v>
      </c>
      <c r="U704" s="19">
        <f t="shared" si="109"/>
        <v>3911.4826355992404</v>
      </c>
      <c r="V704" s="25" t="s">
        <v>2987</v>
      </c>
    </row>
    <row r="705" spans="1:22" ht="15" customHeight="1" x14ac:dyDescent="0.25">
      <c r="A705" t="s">
        <v>518</v>
      </c>
      <c r="B705" t="s">
        <v>1090</v>
      </c>
      <c r="C705" t="s">
        <v>765</v>
      </c>
      <c r="D705" t="s">
        <v>534</v>
      </c>
      <c r="E705" t="s">
        <v>234</v>
      </c>
      <c r="F705" s="5">
        <v>4819</v>
      </c>
      <c r="G705" t="s">
        <v>140</v>
      </c>
      <c r="H705" s="3">
        <v>60</v>
      </c>
      <c r="I705" s="3">
        <v>40</v>
      </c>
      <c r="J705" s="3">
        <v>62</v>
      </c>
      <c r="K705" s="3">
        <v>51.9</v>
      </c>
      <c r="L705">
        <f t="shared" si="97"/>
        <v>0.14879999999999999</v>
      </c>
      <c r="M705">
        <f t="shared" si="105"/>
        <v>0.74399999999999999</v>
      </c>
      <c r="N705" s="8">
        <v>5</v>
      </c>
      <c r="O705" s="14">
        <f t="shared" si="98"/>
        <v>24095</v>
      </c>
      <c r="P705" s="8">
        <v>20</v>
      </c>
      <c r="Q705" s="8">
        <f t="shared" si="110"/>
        <v>0.25</v>
      </c>
      <c r="R705" s="8">
        <f t="shared" si="111"/>
        <v>3.333333333333333</v>
      </c>
      <c r="S705" s="8">
        <f t="shared" si="100"/>
        <v>3.583333333333333</v>
      </c>
      <c r="T705" s="22">
        <f t="shared" si="108"/>
        <v>17.834409047844623</v>
      </c>
      <c r="U705" s="19">
        <f t="shared" si="109"/>
        <v>3929.3170446470849</v>
      </c>
      <c r="V705" s="25" t="s">
        <v>2987</v>
      </c>
    </row>
    <row r="706" spans="1:22" ht="15" customHeight="1" x14ac:dyDescent="0.25">
      <c r="A706" t="s">
        <v>518</v>
      </c>
      <c r="B706" t="s">
        <v>1090</v>
      </c>
      <c r="C706" t="s">
        <v>2464</v>
      </c>
      <c r="D706" t="s">
        <v>2465</v>
      </c>
      <c r="E706" t="s">
        <v>234</v>
      </c>
      <c r="F706" s="5">
        <v>4800</v>
      </c>
      <c r="G706" t="s">
        <v>140</v>
      </c>
      <c r="H706" s="3">
        <v>40</v>
      </c>
      <c r="I706" s="3">
        <v>20</v>
      </c>
      <c r="J706" s="3">
        <v>30</v>
      </c>
      <c r="K706" s="3">
        <v>42</v>
      </c>
      <c r="L706">
        <f t="shared" ref="L706:L769" si="112">J706*I706*H706/1000000</f>
        <v>2.4E-2</v>
      </c>
      <c r="M706">
        <f t="shared" si="105"/>
        <v>0.12</v>
      </c>
      <c r="N706" s="8">
        <v>5</v>
      </c>
      <c r="O706" s="14">
        <f t="shared" ref="O706:O769" si="113">N706*F706</f>
        <v>24000</v>
      </c>
      <c r="P706" s="8">
        <v>20</v>
      </c>
      <c r="Q706" s="8">
        <f t="shared" si="110"/>
        <v>0.25</v>
      </c>
      <c r="R706" s="8">
        <f t="shared" si="111"/>
        <v>3.333333333333333</v>
      </c>
      <c r="S706" s="8">
        <f t="shared" ref="S706:S769" si="114">Q706+R706</f>
        <v>3.583333333333333</v>
      </c>
      <c r="T706" s="22">
        <f t="shared" si="108"/>
        <v>17.764092846991947</v>
      </c>
      <c r="U706" s="19">
        <f t="shared" si="109"/>
        <v>3947.0811374940768</v>
      </c>
      <c r="V706" s="25" t="s">
        <v>2987</v>
      </c>
    </row>
    <row r="707" spans="1:22" ht="15" customHeight="1" x14ac:dyDescent="0.25">
      <c r="A707" t="s">
        <v>518</v>
      </c>
      <c r="B707" t="s">
        <v>1090</v>
      </c>
      <c r="C707" t="s">
        <v>2415</v>
      </c>
      <c r="D707" t="s">
        <v>2416</v>
      </c>
      <c r="E707" t="s">
        <v>234</v>
      </c>
      <c r="F707" s="5">
        <v>4795</v>
      </c>
      <c r="G707" t="s">
        <v>683</v>
      </c>
      <c r="H707" s="3">
        <v>65</v>
      </c>
      <c r="I707" s="3">
        <v>36</v>
      </c>
      <c r="J707" s="3">
        <v>35</v>
      </c>
      <c r="K707" s="3">
        <v>20</v>
      </c>
      <c r="L707">
        <f t="shared" si="112"/>
        <v>8.1900000000000001E-2</v>
      </c>
      <c r="M707">
        <f t="shared" si="105"/>
        <v>0.40949999999999998</v>
      </c>
      <c r="N707" s="8">
        <v>5</v>
      </c>
      <c r="O707" s="14">
        <f t="shared" si="113"/>
        <v>23975</v>
      </c>
      <c r="P707" s="8">
        <v>20</v>
      </c>
      <c r="Q707" s="8">
        <f t="shared" si="110"/>
        <v>0.25</v>
      </c>
      <c r="R707" s="8">
        <f t="shared" si="111"/>
        <v>3.333333333333333</v>
      </c>
      <c r="S707" s="8">
        <f t="shared" si="114"/>
        <v>3.583333333333333</v>
      </c>
      <c r="T707" s="22">
        <f t="shared" si="108"/>
        <v>17.745588583609663</v>
      </c>
      <c r="U707" s="19">
        <f t="shared" si="109"/>
        <v>3964.8267260776865</v>
      </c>
      <c r="V707" s="25" t="s">
        <v>2987</v>
      </c>
    </row>
    <row r="708" spans="1:22" ht="15" customHeight="1" x14ac:dyDescent="0.25">
      <c r="A708" t="s">
        <v>518</v>
      </c>
      <c r="B708" t="s">
        <v>637</v>
      </c>
      <c r="C708" t="s">
        <v>2319</v>
      </c>
      <c r="D708" t="s">
        <v>2321</v>
      </c>
      <c r="E708" t="s">
        <v>234</v>
      </c>
      <c r="F708" s="5">
        <v>599</v>
      </c>
      <c r="G708" t="s">
        <v>711</v>
      </c>
      <c r="H708" s="3">
        <v>40</v>
      </c>
      <c r="I708" s="3">
        <v>40</v>
      </c>
      <c r="J708" s="3">
        <v>40</v>
      </c>
      <c r="K708" s="3">
        <v>10</v>
      </c>
      <c r="L708">
        <f t="shared" si="112"/>
        <v>6.4000000000000001E-2</v>
      </c>
      <c r="M708">
        <f t="shared" si="105"/>
        <v>2.56</v>
      </c>
      <c r="N708" s="8">
        <v>40</v>
      </c>
      <c r="O708" s="14">
        <f t="shared" si="113"/>
        <v>23960</v>
      </c>
      <c r="P708" s="8">
        <v>20</v>
      </c>
      <c r="Q708" s="8">
        <f t="shared" si="110"/>
        <v>2</v>
      </c>
      <c r="R708" s="8">
        <f t="shared" si="111"/>
        <v>26.666666666666664</v>
      </c>
      <c r="S708" s="8">
        <f t="shared" si="114"/>
        <v>28.666666666666664</v>
      </c>
      <c r="T708" s="22">
        <f t="shared" si="108"/>
        <v>17.734486025580296</v>
      </c>
      <c r="U708" s="19">
        <f t="shared" si="109"/>
        <v>3982.5612121032668</v>
      </c>
      <c r="V708" s="25" t="s">
        <v>2987</v>
      </c>
    </row>
    <row r="709" spans="1:22" ht="15" customHeight="1" x14ac:dyDescent="0.25">
      <c r="A709" t="s">
        <v>518</v>
      </c>
      <c r="B709" t="s">
        <v>1091</v>
      </c>
      <c r="C709" t="s">
        <v>2102</v>
      </c>
      <c r="D709" t="s">
        <v>2108</v>
      </c>
      <c r="E709" t="s">
        <v>234</v>
      </c>
      <c r="F709" s="5">
        <v>264</v>
      </c>
      <c r="G709" t="s">
        <v>806</v>
      </c>
      <c r="H709" s="3">
        <v>20</v>
      </c>
      <c r="I709" s="3">
        <v>30</v>
      </c>
      <c r="J709" s="3">
        <v>25</v>
      </c>
      <c r="K709" s="3">
        <v>1</v>
      </c>
      <c r="L709">
        <f t="shared" si="112"/>
        <v>1.4999999999999999E-2</v>
      </c>
      <c r="M709">
        <f t="shared" si="105"/>
        <v>1.3499999999999999</v>
      </c>
      <c r="N709" s="8">
        <v>90</v>
      </c>
      <c r="O709" s="14">
        <f t="shared" si="113"/>
        <v>23760</v>
      </c>
      <c r="P709" s="8">
        <v>20</v>
      </c>
      <c r="Q709" s="8">
        <f t="shared" si="110"/>
        <v>4.5</v>
      </c>
      <c r="R709" s="8">
        <f t="shared" si="111"/>
        <v>60</v>
      </c>
      <c r="S709" s="8">
        <f t="shared" si="114"/>
        <v>64.5</v>
      </c>
      <c r="T709" s="22">
        <f t="shared" si="108"/>
        <v>17.586451918522027</v>
      </c>
      <c r="U709" s="19">
        <f t="shared" si="109"/>
        <v>4000.1476640217888</v>
      </c>
      <c r="V709" s="25" t="s">
        <v>2987</v>
      </c>
    </row>
    <row r="710" spans="1:22" ht="15" customHeight="1" x14ac:dyDescent="0.25">
      <c r="A710" t="s">
        <v>518</v>
      </c>
      <c r="B710" t="s">
        <v>1091</v>
      </c>
      <c r="C710" t="s">
        <v>2117</v>
      </c>
      <c r="D710" t="s">
        <v>2119</v>
      </c>
      <c r="E710" t="s">
        <v>234</v>
      </c>
      <c r="F710" s="5">
        <v>240</v>
      </c>
      <c r="G710" t="s">
        <v>819</v>
      </c>
      <c r="H710" s="3">
        <v>30</v>
      </c>
      <c r="I710" s="3">
        <v>25</v>
      </c>
      <c r="J710" s="3">
        <v>25</v>
      </c>
      <c r="K710" s="3">
        <v>2.5</v>
      </c>
      <c r="L710">
        <f t="shared" si="112"/>
        <v>1.8749999999999999E-2</v>
      </c>
      <c r="M710">
        <f t="shared" si="105"/>
        <v>1.78125</v>
      </c>
      <c r="N710" s="8">
        <v>95</v>
      </c>
      <c r="O710" s="14">
        <f t="shared" si="113"/>
        <v>22800</v>
      </c>
      <c r="P710" s="8">
        <v>20</v>
      </c>
      <c r="Q710" s="8">
        <f t="shared" si="110"/>
        <v>4.75</v>
      </c>
      <c r="R710" s="8">
        <f t="shared" si="111"/>
        <v>63.333333333333329</v>
      </c>
      <c r="S710" s="8">
        <f t="shared" si="114"/>
        <v>68.083333333333329</v>
      </c>
      <c r="T710" s="22">
        <f t="shared" si="108"/>
        <v>16.875888204642351</v>
      </c>
      <c r="U710" s="19">
        <f t="shared" si="109"/>
        <v>4017.0235522264311</v>
      </c>
      <c r="V710" s="25" t="s">
        <v>2987</v>
      </c>
    </row>
    <row r="711" spans="1:22" ht="15" customHeight="1" x14ac:dyDescent="0.25">
      <c r="A711" t="s">
        <v>518</v>
      </c>
      <c r="B711" t="s">
        <v>1091</v>
      </c>
      <c r="C711" t="s">
        <v>2102</v>
      </c>
      <c r="D711" t="s">
        <v>2104</v>
      </c>
      <c r="E711" t="s">
        <v>234</v>
      </c>
      <c r="F711" s="5">
        <v>207</v>
      </c>
      <c r="G711" t="s">
        <v>512</v>
      </c>
      <c r="H711" s="3">
        <v>20</v>
      </c>
      <c r="I711" s="3">
        <v>30</v>
      </c>
      <c r="J711" s="3">
        <v>25</v>
      </c>
      <c r="K711" s="3">
        <v>1</v>
      </c>
      <c r="L711">
        <f t="shared" si="112"/>
        <v>1.4999999999999999E-2</v>
      </c>
      <c r="M711">
        <f t="shared" si="105"/>
        <v>1.65</v>
      </c>
      <c r="N711" s="8">
        <v>110</v>
      </c>
      <c r="O711" s="14">
        <f t="shared" si="113"/>
        <v>22770</v>
      </c>
      <c r="P711" s="8">
        <v>20</v>
      </c>
      <c r="Q711" s="8">
        <f t="shared" si="110"/>
        <v>5.5</v>
      </c>
      <c r="R711" s="8">
        <f t="shared" si="111"/>
        <v>73.333333333333329</v>
      </c>
      <c r="S711" s="8">
        <f t="shared" si="114"/>
        <v>78.833333333333329</v>
      </c>
      <c r="T711" s="22">
        <f t="shared" si="108"/>
        <v>16.853683088583612</v>
      </c>
      <c r="U711" s="19">
        <f t="shared" si="109"/>
        <v>4033.8772353150148</v>
      </c>
      <c r="V711" s="25" t="s">
        <v>2987</v>
      </c>
    </row>
    <row r="712" spans="1:22" ht="15" customHeight="1" x14ac:dyDescent="0.25">
      <c r="A712" t="s">
        <v>518</v>
      </c>
      <c r="B712" t="s">
        <v>1090</v>
      </c>
      <c r="C712" t="s">
        <v>2446</v>
      </c>
      <c r="D712" t="s">
        <v>2414</v>
      </c>
      <c r="E712" t="s">
        <v>234</v>
      </c>
      <c r="F712" s="5">
        <v>4550</v>
      </c>
      <c r="G712" t="s">
        <v>140</v>
      </c>
      <c r="H712" s="3">
        <v>30</v>
      </c>
      <c r="I712" s="3">
        <v>20</v>
      </c>
      <c r="J712" s="3">
        <v>30</v>
      </c>
      <c r="K712" s="3">
        <v>10</v>
      </c>
      <c r="L712">
        <f t="shared" si="112"/>
        <v>1.7999999999999999E-2</v>
      </c>
      <c r="M712">
        <f t="shared" si="105"/>
        <v>0.09</v>
      </c>
      <c r="N712" s="8">
        <v>5</v>
      </c>
      <c r="O712" s="14">
        <f t="shared" si="113"/>
        <v>22750</v>
      </c>
      <c r="P712" s="8">
        <v>20</v>
      </c>
      <c r="Q712" s="8">
        <f t="shared" si="110"/>
        <v>0.25</v>
      </c>
      <c r="R712" s="8">
        <f t="shared" si="111"/>
        <v>3.333333333333333</v>
      </c>
      <c r="S712" s="8">
        <f t="shared" si="114"/>
        <v>3.583333333333333</v>
      </c>
      <c r="T712" s="22">
        <f t="shared" si="108"/>
        <v>16.838879677877785</v>
      </c>
      <c r="U712" s="19">
        <f t="shared" si="109"/>
        <v>4050.7161149928925</v>
      </c>
      <c r="V712" s="25" t="s">
        <v>2987</v>
      </c>
    </row>
    <row r="713" spans="1:22" ht="15" customHeight="1" x14ac:dyDescent="0.25">
      <c r="A713" t="s">
        <v>518</v>
      </c>
      <c r="B713" t="s">
        <v>1091</v>
      </c>
      <c r="C713" t="s">
        <v>2102</v>
      </c>
      <c r="D713" t="s">
        <v>2109</v>
      </c>
      <c r="E713" t="s">
        <v>234</v>
      </c>
      <c r="F713" s="5">
        <v>249</v>
      </c>
      <c r="G713" t="s">
        <v>806</v>
      </c>
      <c r="H713" s="3">
        <v>20</v>
      </c>
      <c r="I713" s="3">
        <v>30</v>
      </c>
      <c r="J713" s="3">
        <v>25</v>
      </c>
      <c r="K713" s="3">
        <v>1</v>
      </c>
      <c r="L713">
        <f t="shared" si="112"/>
        <v>1.4999999999999999E-2</v>
      </c>
      <c r="M713">
        <f t="shared" si="105"/>
        <v>1.3499999999999999</v>
      </c>
      <c r="N713" s="8">
        <v>90</v>
      </c>
      <c r="O713" s="14">
        <f t="shared" si="113"/>
        <v>22410</v>
      </c>
      <c r="P713" s="8">
        <v>20</v>
      </c>
      <c r="Q713" s="8">
        <f t="shared" si="110"/>
        <v>4.5</v>
      </c>
      <c r="R713" s="8">
        <f t="shared" si="111"/>
        <v>60</v>
      </c>
      <c r="S713" s="8">
        <f t="shared" si="114"/>
        <v>64.5</v>
      </c>
      <c r="T713" s="22">
        <f t="shared" si="108"/>
        <v>16.587221695878732</v>
      </c>
      <c r="U713" s="19">
        <f t="shared" si="109"/>
        <v>4067.3033366887712</v>
      </c>
      <c r="V713" s="25" t="s">
        <v>2987</v>
      </c>
    </row>
    <row r="714" spans="1:22" ht="15" customHeight="1" x14ac:dyDescent="0.25">
      <c r="A714" t="s">
        <v>518</v>
      </c>
      <c r="B714" t="s">
        <v>1091</v>
      </c>
      <c r="C714" t="s">
        <v>2117</v>
      </c>
      <c r="D714" t="s">
        <v>816</v>
      </c>
      <c r="E714" t="s">
        <v>234</v>
      </c>
      <c r="F714" s="5">
        <v>234</v>
      </c>
      <c r="G714" t="s">
        <v>812</v>
      </c>
      <c r="H714" s="3">
        <v>30</v>
      </c>
      <c r="I714" s="3">
        <v>25</v>
      </c>
      <c r="J714" s="3">
        <v>25</v>
      </c>
      <c r="K714" s="3">
        <v>2.5</v>
      </c>
      <c r="L714">
        <f t="shared" si="112"/>
        <v>1.8749999999999999E-2</v>
      </c>
      <c r="M714">
        <f t="shared" si="105"/>
        <v>1.78125</v>
      </c>
      <c r="N714" s="8">
        <v>95</v>
      </c>
      <c r="O714" s="14">
        <f t="shared" si="113"/>
        <v>22230</v>
      </c>
      <c r="P714" s="8">
        <v>20</v>
      </c>
      <c r="Q714" s="8">
        <f t="shared" si="110"/>
        <v>4.75</v>
      </c>
      <c r="R714" s="8">
        <f t="shared" si="111"/>
        <v>63.333333333333329</v>
      </c>
      <c r="S714" s="8">
        <f t="shared" si="114"/>
        <v>68.083333333333329</v>
      </c>
      <c r="T714" s="22">
        <f t="shared" si="108"/>
        <v>16.45399099952629</v>
      </c>
      <c r="U714" s="19">
        <f t="shared" si="109"/>
        <v>4083.7573276882977</v>
      </c>
      <c r="V714" s="25" t="s">
        <v>2987</v>
      </c>
    </row>
    <row r="715" spans="1:22" ht="15" customHeight="1" x14ac:dyDescent="0.25">
      <c r="A715" t="s">
        <v>518</v>
      </c>
      <c r="B715" t="s">
        <v>637</v>
      </c>
      <c r="C715" t="s">
        <v>2293</v>
      </c>
      <c r="D715" t="s">
        <v>2298</v>
      </c>
      <c r="E715" t="s">
        <v>234</v>
      </c>
      <c r="F715" s="5">
        <v>550.9</v>
      </c>
      <c r="G715" t="s">
        <v>678</v>
      </c>
      <c r="H715" s="3">
        <v>50</v>
      </c>
      <c r="I715" s="3">
        <v>50</v>
      </c>
      <c r="J715" s="3">
        <v>50</v>
      </c>
      <c r="K715" s="3">
        <v>10</v>
      </c>
      <c r="L715">
        <f t="shared" si="112"/>
        <v>0.125</v>
      </c>
      <c r="M715">
        <f t="shared" si="105"/>
        <v>5</v>
      </c>
      <c r="N715" s="8">
        <v>40</v>
      </c>
      <c r="O715" s="14">
        <f t="shared" si="113"/>
        <v>22036</v>
      </c>
      <c r="P715" s="8">
        <v>20</v>
      </c>
      <c r="Q715" s="8">
        <f t="shared" si="110"/>
        <v>2</v>
      </c>
      <c r="R715" s="8">
        <f t="shared" si="111"/>
        <v>26.666666666666664</v>
      </c>
      <c r="S715" s="8">
        <f t="shared" si="114"/>
        <v>28.666666666666664</v>
      </c>
      <c r="T715" s="22">
        <f t="shared" si="108"/>
        <v>16.310397915679772</v>
      </c>
      <c r="U715" s="19">
        <f t="shared" si="109"/>
        <v>4100.0677256039771</v>
      </c>
      <c r="V715" s="25" t="s">
        <v>2987</v>
      </c>
    </row>
    <row r="716" spans="1:22" ht="15" customHeight="1" x14ac:dyDescent="0.25">
      <c r="A716" t="s">
        <v>518</v>
      </c>
      <c r="B716" t="s">
        <v>637</v>
      </c>
      <c r="C716" t="s">
        <v>2293</v>
      </c>
      <c r="D716" t="s">
        <v>2298</v>
      </c>
      <c r="E716" t="s">
        <v>234</v>
      </c>
      <c r="F716" s="5">
        <v>550.9</v>
      </c>
      <c r="G716" t="s">
        <v>678</v>
      </c>
      <c r="H716" s="3">
        <v>50</v>
      </c>
      <c r="I716" s="3">
        <v>50</v>
      </c>
      <c r="J716" s="3">
        <v>50</v>
      </c>
      <c r="K716" s="3">
        <v>10</v>
      </c>
      <c r="L716">
        <f t="shared" si="112"/>
        <v>0.125</v>
      </c>
      <c r="M716">
        <f t="shared" si="105"/>
        <v>5</v>
      </c>
      <c r="N716" s="8">
        <v>40</v>
      </c>
      <c r="O716" s="14">
        <f t="shared" si="113"/>
        <v>22036</v>
      </c>
      <c r="P716" s="8">
        <v>20</v>
      </c>
      <c r="Q716" s="8">
        <f t="shared" si="110"/>
        <v>2</v>
      </c>
      <c r="R716" s="8">
        <f t="shared" si="111"/>
        <v>26.666666666666664</v>
      </c>
      <c r="S716" s="8">
        <f t="shared" si="114"/>
        <v>28.666666666666664</v>
      </c>
      <c r="T716" s="22">
        <f t="shared" si="108"/>
        <v>16.310397915679772</v>
      </c>
      <c r="U716" s="19">
        <f t="shared" si="109"/>
        <v>4116.3781235196566</v>
      </c>
      <c r="V716" s="25" t="s">
        <v>2987</v>
      </c>
    </row>
    <row r="717" spans="1:22" ht="15" customHeight="1" x14ac:dyDescent="0.25">
      <c r="A717" t="s">
        <v>518</v>
      </c>
      <c r="B717" t="s">
        <v>1090</v>
      </c>
      <c r="C717" t="s">
        <v>2438</v>
      </c>
      <c r="D717" t="s">
        <v>2418</v>
      </c>
      <c r="E717" t="s">
        <v>234</v>
      </c>
      <c r="F717" s="5">
        <v>4400</v>
      </c>
      <c r="G717" t="s">
        <v>140</v>
      </c>
      <c r="H717" s="3">
        <v>60</v>
      </c>
      <c r="I717" s="3">
        <v>20</v>
      </c>
      <c r="J717" s="3">
        <v>60</v>
      </c>
      <c r="K717" s="3">
        <v>13</v>
      </c>
      <c r="L717">
        <f t="shared" si="112"/>
        <v>7.1999999999999995E-2</v>
      </c>
      <c r="M717">
        <f t="shared" si="105"/>
        <v>0.36</v>
      </c>
      <c r="N717" s="8">
        <v>5</v>
      </c>
      <c r="O717" s="14">
        <f t="shared" si="113"/>
        <v>22000</v>
      </c>
      <c r="P717" s="8">
        <v>20</v>
      </c>
      <c r="Q717" s="8">
        <f t="shared" si="110"/>
        <v>0.25</v>
      </c>
      <c r="R717" s="8">
        <f t="shared" si="111"/>
        <v>3.333333333333333</v>
      </c>
      <c r="S717" s="8">
        <f t="shared" si="114"/>
        <v>3.583333333333333</v>
      </c>
      <c r="T717" s="22">
        <f t="shared" si="108"/>
        <v>16.283751776409286</v>
      </c>
      <c r="U717" s="19">
        <f t="shared" si="109"/>
        <v>4132.6618752960658</v>
      </c>
      <c r="V717" s="25" t="s">
        <v>2987</v>
      </c>
    </row>
    <row r="718" spans="1:22" ht="15" customHeight="1" x14ac:dyDescent="0.25">
      <c r="A718" t="s">
        <v>518</v>
      </c>
      <c r="B718" t="s">
        <v>876</v>
      </c>
      <c r="C718" t="s">
        <v>2493</v>
      </c>
      <c r="D718" t="s">
        <v>2494</v>
      </c>
      <c r="E718" t="s">
        <v>893</v>
      </c>
      <c r="F718" s="5">
        <v>200</v>
      </c>
      <c r="G718" t="s">
        <v>894</v>
      </c>
      <c r="H718" s="3">
        <v>15</v>
      </c>
      <c r="I718" s="3">
        <v>25</v>
      </c>
      <c r="J718" s="3">
        <v>20</v>
      </c>
      <c r="K718" s="3">
        <v>1</v>
      </c>
      <c r="L718">
        <f t="shared" si="112"/>
        <v>7.4999999999999997E-3</v>
      </c>
      <c r="M718">
        <f t="shared" si="105"/>
        <v>0.82499999999999996</v>
      </c>
      <c r="N718" s="8">
        <v>110</v>
      </c>
      <c r="O718" s="14">
        <f t="shared" si="113"/>
        <v>22000</v>
      </c>
      <c r="P718" s="8">
        <v>25</v>
      </c>
      <c r="Q718" s="8">
        <f t="shared" si="110"/>
        <v>4.4000000000000004</v>
      </c>
      <c r="R718" s="8">
        <f t="shared" si="111"/>
        <v>91.666666666666657</v>
      </c>
      <c r="S718" s="8">
        <f t="shared" si="114"/>
        <v>96.066666666666663</v>
      </c>
      <c r="T718" s="22">
        <f t="shared" si="108"/>
        <v>16.283751776409286</v>
      </c>
      <c r="U718" s="19">
        <f t="shared" si="109"/>
        <v>4148.945627072475</v>
      </c>
      <c r="V718" s="25" t="s">
        <v>2987</v>
      </c>
    </row>
    <row r="719" spans="1:22" ht="15" customHeight="1" x14ac:dyDescent="0.25">
      <c r="A719" t="s">
        <v>518</v>
      </c>
      <c r="B719" t="s">
        <v>876</v>
      </c>
      <c r="C719" t="s">
        <v>2493</v>
      </c>
      <c r="D719" t="s">
        <v>2496</v>
      </c>
      <c r="E719" t="s">
        <v>893</v>
      </c>
      <c r="F719" s="5">
        <v>200</v>
      </c>
      <c r="G719" t="s">
        <v>11</v>
      </c>
      <c r="H719" s="3">
        <v>15</v>
      </c>
      <c r="I719" s="3">
        <v>25</v>
      </c>
      <c r="J719" s="3">
        <v>20</v>
      </c>
      <c r="K719" s="3">
        <v>1</v>
      </c>
      <c r="L719">
        <f t="shared" si="112"/>
        <v>7.4999999999999997E-3</v>
      </c>
      <c r="M719">
        <f t="shared" si="105"/>
        <v>0.82499999999999996</v>
      </c>
      <c r="N719" s="8">
        <v>110</v>
      </c>
      <c r="O719" s="14">
        <f t="shared" si="113"/>
        <v>22000</v>
      </c>
      <c r="P719" s="8">
        <v>25</v>
      </c>
      <c r="Q719" s="8">
        <f t="shared" si="110"/>
        <v>4.4000000000000004</v>
      </c>
      <c r="R719" s="8">
        <f t="shared" si="111"/>
        <v>91.666666666666657</v>
      </c>
      <c r="S719" s="8">
        <f t="shared" si="114"/>
        <v>96.066666666666663</v>
      </c>
      <c r="T719" s="22">
        <f t="shared" si="108"/>
        <v>16.283751776409286</v>
      </c>
      <c r="U719" s="19">
        <f t="shared" si="109"/>
        <v>4165.2293788488842</v>
      </c>
      <c r="V719" s="25" t="s">
        <v>2987</v>
      </c>
    </row>
    <row r="720" spans="1:22" ht="15" customHeight="1" x14ac:dyDescent="0.25">
      <c r="A720" t="s">
        <v>518</v>
      </c>
      <c r="B720" t="s">
        <v>519</v>
      </c>
      <c r="C720" t="s">
        <v>624</v>
      </c>
      <c r="D720" t="s">
        <v>625</v>
      </c>
      <c r="E720" t="s">
        <v>234</v>
      </c>
      <c r="F720" s="5">
        <v>55</v>
      </c>
      <c r="G720" t="s">
        <v>611</v>
      </c>
      <c r="H720" s="3">
        <v>10</v>
      </c>
      <c r="I720" s="3">
        <v>15</v>
      </c>
      <c r="J720" s="3">
        <v>10</v>
      </c>
      <c r="K720" s="3">
        <v>1</v>
      </c>
      <c r="L720">
        <f t="shared" si="112"/>
        <v>1.5E-3</v>
      </c>
      <c r="M720">
        <f t="shared" si="105"/>
        <v>0.6</v>
      </c>
      <c r="N720" s="8">
        <v>400</v>
      </c>
      <c r="O720" s="14">
        <f t="shared" si="113"/>
        <v>22000</v>
      </c>
      <c r="P720" s="8">
        <v>30</v>
      </c>
      <c r="Q720" s="8">
        <f t="shared" si="110"/>
        <v>13.333333333333334</v>
      </c>
      <c r="R720" s="8">
        <f t="shared" si="111"/>
        <v>400</v>
      </c>
      <c r="S720" s="8">
        <f t="shared" si="114"/>
        <v>413.33333333333331</v>
      </c>
      <c r="T720" s="22">
        <f t="shared" si="108"/>
        <v>16.283751776409286</v>
      </c>
      <c r="U720" s="19">
        <f t="shared" si="109"/>
        <v>4181.5131306252933</v>
      </c>
      <c r="V720" s="25" t="s">
        <v>2987</v>
      </c>
    </row>
    <row r="721" spans="1:22" ht="15" customHeight="1" x14ac:dyDescent="0.25">
      <c r="A721" t="s">
        <v>518</v>
      </c>
      <c r="B721" t="s">
        <v>1091</v>
      </c>
      <c r="C721" t="s">
        <v>2117</v>
      </c>
      <c r="D721" t="s">
        <v>814</v>
      </c>
      <c r="E721" t="s">
        <v>234</v>
      </c>
      <c r="F721" s="5">
        <v>231</v>
      </c>
      <c r="G721" t="s">
        <v>812</v>
      </c>
      <c r="H721" s="3">
        <v>30</v>
      </c>
      <c r="I721" s="3">
        <v>25</v>
      </c>
      <c r="J721" s="3">
        <v>25</v>
      </c>
      <c r="K721" s="3">
        <v>2.5</v>
      </c>
      <c r="L721">
        <f t="shared" si="112"/>
        <v>1.8749999999999999E-2</v>
      </c>
      <c r="M721">
        <f t="shared" si="105"/>
        <v>1.78125</v>
      </c>
      <c r="N721" s="8">
        <v>95</v>
      </c>
      <c r="O721" s="14">
        <f t="shared" si="113"/>
        <v>21945</v>
      </c>
      <c r="P721" s="8">
        <v>20</v>
      </c>
      <c r="Q721" s="8">
        <f t="shared" si="110"/>
        <v>4.75</v>
      </c>
      <c r="R721" s="8">
        <f t="shared" si="111"/>
        <v>63.333333333333329</v>
      </c>
      <c r="S721" s="8">
        <f t="shared" si="114"/>
        <v>68.083333333333329</v>
      </c>
      <c r="T721" s="22">
        <f t="shared" si="108"/>
        <v>16.243042396968264</v>
      </c>
      <c r="U721" s="19">
        <f t="shared" si="109"/>
        <v>4197.7561730222615</v>
      </c>
      <c r="V721" s="25" t="s">
        <v>2987</v>
      </c>
    </row>
    <row r="722" spans="1:22" ht="15" customHeight="1" x14ac:dyDescent="0.25">
      <c r="A722" t="s">
        <v>518</v>
      </c>
      <c r="B722" t="s">
        <v>1090</v>
      </c>
      <c r="C722" t="s">
        <v>2448</v>
      </c>
      <c r="D722" t="s">
        <v>2418</v>
      </c>
      <c r="E722" t="s">
        <v>234</v>
      </c>
      <c r="F722" s="5">
        <v>4350</v>
      </c>
      <c r="G722" t="s">
        <v>140</v>
      </c>
      <c r="H722" s="3">
        <v>30</v>
      </c>
      <c r="I722" s="3">
        <v>40</v>
      </c>
      <c r="J722" s="3">
        <v>30</v>
      </c>
      <c r="K722" s="3">
        <v>25</v>
      </c>
      <c r="L722">
        <f t="shared" si="112"/>
        <v>3.5999999999999997E-2</v>
      </c>
      <c r="M722">
        <f t="shared" si="105"/>
        <v>0.18</v>
      </c>
      <c r="N722" s="8">
        <v>5</v>
      </c>
      <c r="O722" s="14">
        <f t="shared" si="113"/>
        <v>21750</v>
      </c>
      <c r="P722" s="8">
        <v>20</v>
      </c>
      <c r="Q722" s="8">
        <f t="shared" si="110"/>
        <v>0.25</v>
      </c>
      <c r="R722" s="8">
        <f t="shared" si="111"/>
        <v>3.333333333333333</v>
      </c>
      <c r="S722" s="8">
        <f t="shared" si="114"/>
        <v>3.583333333333333</v>
      </c>
      <c r="T722" s="22">
        <f t="shared" si="108"/>
        <v>16.098709142586451</v>
      </c>
      <c r="U722" s="19">
        <f t="shared" si="109"/>
        <v>4213.8548821648483</v>
      </c>
      <c r="V722" s="25" t="s">
        <v>2987</v>
      </c>
    </row>
    <row r="723" spans="1:22" ht="15" customHeight="1" x14ac:dyDescent="0.25">
      <c r="A723" t="s">
        <v>518</v>
      </c>
      <c r="B723" t="s">
        <v>519</v>
      </c>
      <c r="C723" t="s">
        <v>563</v>
      </c>
      <c r="D723" t="s">
        <v>564</v>
      </c>
      <c r="E723" t="s">
        <v>561</v>
      </c>
      <c r="F723" s="5">
        <v>62</v>
      </c>
      <c r="G723" t="s">
        <v>565</v>
      </c>
      <c r="H723" s="3">
        <v>34.9</v>
      </c>
      <c r="I723" s="3">
        <v>32.700000000000003</v>
      </c>
      <c r="J723" s="3">
        <v>37.4</v>
      </c>
      <c r="K723" s="3">
        <v>1</v>
      </c>
      <c r="L723">
        <f t="shared" si="112"/>
        <v>4.2682002000000004E-2</v>
      </c>
      <c r="M723">
        <f t="shared" si="105"/>
        <v>14.938700700000002</v>
      </c>
      <c r="N723" s="8">
        <v>350</v>
      </c>
      <c r="O723" s="14">
        <f t="shared" si="113"/>
        <v>21700</v>
      </c>
      <c r="P723" s="8">
        <v>25</v>
      </c>
      <c r="Q723" s="8">
        <f>P723/N723</f>
        <v>7.1428571428571425E-2</v>
      </c>
      <c r="R723" s="8">
        <f>P723+Q723</f>
        <v>25.071428571428573</v>
      </c>
      <c r="S723" s="8">
        <f t="shared" si="114"/>
        <v>25.142857142857146</v>
      </c>
      <c r="T723" s="22">
        <f t="shared" si="108"/>
        <v>16.061700615821884</v>
      </c>
      <c r="U723" s="19">
        <f t="shared" si="109"/>
        <v>4229.9165827806701</v>
      </c>
      <c r="V723" s="25" t="s">
        <v>2987</v>
      </c>
    </row>
    <row r="724" spans="1:22" ht="15" customHeight="1" x14ac:dyDescent="0.25">
      <c r="A724" t="s">
        <v>518</v>
      </c>
      <c r="B724" t="s">
        <v>1090</v>
      </c>
      <c r="C724" t="s">
        <v>2455</v>
      </c>
      <c r="D724" t="s">
        <v>2414</v>
      </c>
      <c r="E724" t="s">
        <v>234</v>
      </c>
      <c r="F724" s="5">
        <v>4300</v>
      </c>
      <c r="G724" t="s">
        <v>140</v>
      </c>
      <c r="H724" s="3">
        <v>45</v>
      </c>
      <c r="I724" s="3">
        <v>25</v>
      </c>
      <c r="J724" s="3">
        <v>45</v>
      </c>
      <c r="K724" s="3">
        <v>15</v>
      </c>
      <c r="L724">
        <f t="shared" si="112"/>
        <v>5.0625000000000003E-2</v>
      </c>
      <c r="M724">
        <f t="shared" si="105"/>
        <v>0.25312500000000004</v>
      </c>
      <c r="N724" s="8">
        <v>5</v>
      </c>
      <c r="O724" s="14">
        <f t="shared" si="113"/>
        <v>21500</v>
      </c>
      <c r="P724" s="8">
        <v>20</v>
      </c>
      <c r="Q724" s="8">
        <f>N724/P724</f>
        <v>0.25</v>
      </c>
      <c r="R724" s="8">
        <f>(N724/30)*P724</f>
        <v>3.333333333333333</v>
      </c>
      <c r="S724" s="8">
        <f t="shared" si="114"/>
        <v>3.583333333333333</v>
      </c>
      <c r="T724" s="22">
        <f t="shared" si="108"/>
        <v>15.913666508763619</v>
      </c>
      <c r="U724" s="19">
        <f t="shared" si="109"/>
        <v>4245.8302492894336</v>
      </c>
      <c r="V724" s="25" t="s">
        <v>2987</v>
      </c>
    </row>
    <row r="725" spans="1:22" ht="15" customHeight="1" x14ac:dyDescent="0.25">
      <c r="A725" t="s">
        <v>518</v>
      </c>
      <c r="B725" t="s">
        <v>637</v>
      </c>
      <c r="C725" t="s">
        <v>2284</v>
      </c>
      <c r="D725" t="s">
        <v>695</v>
      </c>
      <c r="E725" t="s">
        <v>24</v>
      </c>
      <c r="F725" s="5">
        <v>429</v>
      </c>
      <c r="G725" t="s">
        <v>696</v>
      </c>
      <c r="H725" s="3">
        <v>10</v>
      </c>
      <c r="I725" s="3">
        <v>15</v>
      </c>
      <c r="J725" s="3">
        <v>10</v>
      </c>
      <c r="K725" s="3">
        <v>2</v>
      </c>
      <c r="L725">
        <f t="shared" si="112"/>
        <v>1.5E-3</v>
      </c>
      <c r="M725">
        <f t="shared" si="105"/>
        <v>7.4999999999999997E-2</v>
      </c>
      <c r="N725" s="8">
        <v>50</v>
      </c>
      <c r="O725" s="14">
        <f t="shared" si="113"/>
        <v>21450</v>
      </c>
      <c r="P725" s="8">
        <v>20</v>
      </c>
      <c r="Q725" s="8">
        <f>N725/P725</f>
        <v>2.5</v>
      </c>
      <c r="R725" s="8">
        <f>(N725/30)*P725</f>
        <v>33.333333333333336</v>
      </c>
      <c r="S725" s="8">
        <f t="shared" si="114"/>
        <v>35.833333333333336</v>
      </c>
      <c r="T725" s="22">
        <f t="shared" si="108"/>
        <v>15.876657981999053</v>
      </c>
      <c r="U725" s="19">
        <f t="shared" si="109"/>
        <v>4261.706907271433</v>
      </c>
      <c r="V725" s="25" t="s">
        <v>2987</v>
      </c>
    </row>
    <row r="726" spans="1:22" ht="15" customHeight="1" x14ac:dyDescent="0.25">
      <c r="A726" t="s">
        <v>518</v>
      </c>
      <c r="B726" t="s">
        <v>1091</v>
      </c>
      <c r="C726" t="s">
        <v>2117</v>
      </c>
      <c r="D726" t="s">
        <v>2120</v>
      </c>
      <c r="E726" t="s">
        <v>234</v>
      </c>
      <c r="F726" s="5">
        <v>225</v>
      </c>
      <c r="G726" t="s">
        <v>819</v>
      </c>
      <c r="H726" s="3">
        <v>30</v>
      </c>
      <c r="I726" s="3">
        <v>25</v>
      </c>
      <c r="J726" s="3">
        <v>25</v>
      </c>
      <c r="K726" s="3">
        <v>2.5</v>
      </c>
      <c r="L726">
        <f t="shared" si="112"/>
        <v>1.8749999999999999E-2</v>
      </c>
      <c r="M726">
        <f t="shared" si="105"/>
        <v>1.78125</v>
      </c>
      <c r="N726" s="8">
        <v>95</v>
      </c>
      <c r="O726" s="14">
        <f t="shared" si="113"/>
        <v>21375</v>
      </c>
      <c r="P726" s="8">
        <v>20</v>
      </c>
      <c r="Q726" s="8">
        <f>N726/P726</f>
        <v>4.75</v>
      </c>
      <c r="R726" s="8">
        <f>(N726/30)*P726</f>
        <v>63.333333333333329</v>
      </c>
      <c r="S726" s="8">
        <f t="shared" si="114"/>
        <v>68.083333333333329</v>
      </c>
      <c r="T726" s="22">
        <f t="shared" si="108"/>
        <v>15.821145191852203</v>
      </c>
      <c r="U726" s="19">
        <f t="shared" si="109"/>
        <v>4277.5280524632853</v>
      </c>
      <c r="V726" s="25" t="s">
        <v>2987</v>
      </c>
    </row>
    <row r="727" spans="1:22" ht="15" customHeight="1" x14ac:dyDescent="0.25">
      <c r="A727" t="s">
        <v>518</v>
      </c>
      <c r="B727" t="s">
        <v>519</v>
      </c>
      <c r="C727" t="s">
        <v>626</v>
      </c>
      <c r="D727" t="s">
        <v>629</v>
      </c>
      <c r="E727" t="s">
        <v>234</v>
      </c>
      <c r="F727" s="5">
        <v>61</v>
      </c>
      <c r="G727" t="s">
        <v>562</v>
      </c>
      <c r="H727" s="3">
        <v>15</v>
      </c>
      <c r="I727" s="3">
        <v>10</v>
      </c>
      <c r="J727" s="3">
        <v>20</v>
      </c>
      <c r="K727" s="3">
        <v>1</v>
      </c>
      <c r="L727">
        <f t="shared" si="112"/>
        <v>3.0000000000000001E-3</v>
      </c>
      <c r="M727">
        <f t="shared" si="105"/>
        <v>1.05</v>
      </c>
      <c r="N727" s="8">
        <v>350</v>
      </c>
      <c r="O727" s="14">
        <f t="shared" si="113"/>
        <v>21350</v>
      </c>
      <c r="P727" s="8">
        <v>25</v>
      </c>
      <c r="Q727" s="8">
        <f>P727/N727</f>
        <v>7.1428571428571425E-2</v>
      </c>
      <c r="R727" s="8">
        <f>P727+Q727</f>
        <v>25.071428571428573</v>
      </c>
      <c r="S727" s="8">
        <f t="shared" si="114"/>
        <v>25.142857142857146</v>
      </c>
      <c r="T727" s="22">
        <f t="shared" si="108"/>
        <v>15.80264092846992</v>
      </c>
      <c r="U727" s="19">
        <f t="shared" si="109"/>
        <v>4293.3306933917556</v>
      </c>
      <c r="V727" s="25" t="s">
        <v>2987</v>
      </c>
    </row>
    <row r="728" spans="1:22" ht="15" customHeight="1" x14ac:dyDescent="0.25">
      <c r="A728" t="s">
        <v>518</v>
      </c>
      <c r="B728" t="s">
        <v>1091</v>
      </c>
      <c r="C728" t="s">
        <v>1190</v>
      </c>
      <c r="D728" t="s">
        <v>1191</v>
      </c>
      <c r="E728" t="s">
        <v>234</v>
      </c>
      <c r="F728" s="5">
        <v>236</v>
      </c>
      <c r="G728" t="s">
        <v>1121</v>
      </c>
      <c r="H728">
        <v>10</v>
      </c>
      <c r="I728">
        <v>10</v>
      </c>
      <c r="J728">
        <v>10</v>
      </c>
      <c r="K728" s="3">
        <v>1</v>
      </c>
      <c r="L728">
        <f t="shared" si="112"/>
        <v>1E-3</v>
      </c>
      <c r="M728">
        <f t="shared" si="105"/>
        <v>0.09</v>
      </c>
      <c r="N728" s="8">
        <v>90</v>
      </c>
      <c r="O728" s="14">
        <f t="shared" si="113"/>
        <v>21240</v>
      </c>
      <c r="P728" s="8">
        <v>20</v>
      </c>
      <c r="Q728" s="8">
        <f>N728/P728</f>
        <v>4.5</v>
      </c>
      <c r="R728" s="8">
        <f>(N728/30)*P728</f>
        <v>60</v>
      </c>
      <c r="S728" s="8">
        <f t="shared" si="114"/>
        <v>64.5</v>
      </c>
      <c r="T728" s="22">
        <f t="shared" si="108"/>
        <v>15.721222169587874</v>
      </c>
      <c r="U728" s="19">
        <f t="shared" si="109"/>
        <v>4309.0519155613438</v>
      </c>
      <c r="V728" s="25" t="s">
        <v>2987</v>
      </c>
    </row>
    <row r="729" spans="1:22" ht="15" customHeight="1" x14ac:dyDescent="0.25">
      <c r="A729" t="s">
        <v>518</v>
      </c>
      <c r="B729" t="s">
        <v>1091</v>
      </c>
      <c r="C729" t="s">
        <v>2117</v>
      </c>
      <c r="D729" t="s">
        <v>818</v>
      </c>
      <c r="E729" t="s">
        <v>234</v>
      </c>
      <c r="F729" s="5">
        <v>219</v>
      </c>
      <c r="G729" t="s">
        <v>812</v>
      </c>
      <c r="H729" s="3">
        <v>30</v>
      </c>
      <c r="I729" s="3">
        <v>25</v>
      </c>
      <c r="J729" s="3">
        <v>25</v>
      </c>
      <c r="K729" s="3">
        <v>2.5</v>
      </c>
      <c r="L729">
        <f t="shared" si="112"/>
        <v>1.8749999999999999E-2</v>
      </c>
      <c r="M729">
        <f t="shared" si="105"/>
        <v>1.78125</v>
      </c>
      <c r="N729" s="8">
        <v>95</v>
      </c>
      <c r="O729" s="14">
        <f t="shared" si="113"/>
        <v>20805</v>
      </c>
      <c r="P729" s="8">
        <v>20</v>
      </c>
      <c r="Q729" s="8">
        <f>N729/P729</f>
        <v>4.75</v>
      </c>
      <c r="R729" s="8">
        <f>(N729/30)*P729</f>
        <v>63.333333333333329</v>
      </c>
      <c r="S729" s="8">
        <f t="shared" si="114"/>
        <v>68.083333333333329</v>
      </c>
      <c r="T729" s="22">
        <f t="shared" si="108"/>
        <v>15.399247986736144</v>
      </c>
      <c r="U729" s="19">
        <f t="shared" si="109"/>
        <v>4324.4511635480803</v>
      </c>
      <c r="V729" s="25" t="s">
        <v>2987</v>
      </c>
    </row>
    <row r="730" spans="1:22" ht="15" customHeight="1" x14ac:dyDescent="0.25">
      <c r="A730" t="s">
        <v>518</v>
      </c>
      <c r="B730" t="s">
        <v>637</v>
      </c>
      <c r="C730" t="s">
        <v>2284</v>
      </c>
      <c r="D730" t="s">
        <v>698</v>
      </c>
      <c r="E730" t="s">
        <v>24</v>
      </c>
      <c r="F730" s="5">
        <v>411.97</v>
      </c>
      <c r="G730" t="s">
        <v>678</v>
      </c>
      <c r="H730" s="3">
        <v>10</v>
      </c>
      <c r="I730" s="3">
        <v>15</v>
      </c>
      <c r="J730" s="3">
        <v>10</v>
      </c>
      <c r="K730" s="3">
        <v>2</v>
      </c>
      <c r="L730">
        <f t="shared" si="112"/>
        <v>1.5E-3</v>
      </c>
      <c r="M730">
        <f t="shared" si="105"/>
        <v>7.4999999999999997E-2</v>
      </c>
      <c r="N730" s="8">
        <v>50</v>
      </c>
      <c r="O730" s="14">
        <f t="shared" si="113"/>
        <v>20598.5</v>
      </c>
      <c r="P730" s="8">
        <v>20</v>
      </c>
      <c r="Q730" s="8">
        <f>N730/P730</f>
        <v>2.5</v>
      </c>
      <c r="R730" s="8">
        <f>(N730/30)*P730</f>
        <v>33.333333333333336</v>
      </c>
      <c r="S730" s="8">
        <f t="shared" si="114"/>
        <v>35.833333333333336</v>
      </c>
      <c r="T730" s="22">
        <f t="shared" si="108"/>
        <v>15.246402771198484</v>
      </c>
      <c r="U730" s="19">
        <f t="shared" si="109"/>
        <v>4339.6975663192788</v>
      </c>
      <c r="V730" s="25" t="s">
        <v>2987</v>
      </c>
    </row>
    <row r="731" spans="1:22" ht="15" customHeight="1" x14ac:dyDescent="0.25">
      <c r="A731" t="s">
        <v>518</v>
      </c>
      <c r="B731" t="s">
        <v>637</v>
      </c>
      <c r="C731" t="s">
        <v>2231</v>
      </c>
      <c r="D731" t="s">
        <v>1269</v>
      </c>
      <c r="E731" t="s">
        <v>234</v>
      </c>
      <c r="F731" s="5">
        <v>500</v>
      </c>
      <c r="G731" t="s">
        <v>2224</v>
      </c>
      <c r="H731" s="3">
        <v>15</v>
      </c>
      <c r="I731" s="3">
        <v>15</v>
      </c>
      <c r="J731" s="3">
        <v>25</v>
      </c>
      <c r="K731" s="3">
        <v>5.6249999999999998E-3</v>
      </c>
      <c r="L731">
        <f t="shared" si="112"/>
        <v>5.6249999999999998E-3</v>
      </c>
      <c r="M731">
        <f t="shared" si="105"/>
        <v>0.22499999999999998</v>
      </c>
      <c r="N731" s="8">
        <v>40</v>
      </c>
      <c r="O731" s="14">
        <f t="shared" si="113"/>
        <v>20000</v>
      </c>
      <c r="P731" s="8">
        <v>20</v>
      </c>
      <c r="Q731" s="8">
        <f>N731/P731</f>
        <v>2</v>
      </c>
      <c r="R731" s="8">
        <f>(N731/30)*P731</f>
        <v>26.666666666666664</v>
      </c>
      <c r="S731" s="8">
        <f t="shared" si="114"/>
        <v>28.666666666666664</v>
      </c>
      <c r="T731" s="22">
        <f t="shared" si="108"/>
        <v>14.803410705826623</v>
      </c>
      <c r="U731" s="19">
        <f t="shared" si="109"/>
        <v>4354.5009770251054</v>
      </c>
      <c r="V731" s="25" t="s">
        <v>2987</v>
      </c>
    </row>
    <row r="732" spans="1:22" ht="15" customHeight="1" x14ac:dyDescent="0.25">
      <c r="A732" t="s">
        <v>518</v>
      </c>
      <c r="B732" t="s">
        <v>1090</v>
      </c>
      <c r="C732" t="s">
        <v>2424</v>
      </c>
      <c r="D732" t="s">
        <v>2418</v>
      </c>
      <c r="E732" t="s">
        <v>234</v>
      </c>
      <c r="F732" s="5">
        <v>4000</v>
      </c>
      <c r="G732" t="s">
        <v>140</v>
      </c>
      <c r="H732" s="3">
        <v>42</v>
      </c>
      <c r="I732" s="3">
        <v>160</v>
      </c>
      <c r="J732" s="3">
        <v>50</v>
      </c>
      <c r="K732" s="3">
        <v>9</v>
      </c>
      <c r="L732">
        <f t="shared" si="112"/>
        <v>0.33600000000000002</v>
      </c>
      <c r="M732">
        <f t="shared" si="105"/>
        <v>1.6800000000000002</v>
      </c>
      <c r="N732" s="8">
        <v>5</v>
      </c>
      <c r="O732" s="14">
        <f t="shared" si="113"/>
        <v>20000</v>
      </c>
      <c r="P732" s="8">
        <v>20</v>
      </c>
      <c r="Q732" s="8">
        <f>N732/P732</f>
        <v>0.25</v>
      </c>
      <c r="R732" s="8">
        <f>(N732/30)*P732</f>
        <v>3.333333333333333</v>
      </c>
      <c r="S732" s="8">
        <f t="shared" si="114"/>
        <v>3.583333333333333</v>
      </c>
      <c r="T732" s="22">
        <f t="shared" si="108"/>
        <v>14.803410705826623</v>
      </c>
      <c r="U732" s="19">
        <f t="shared" si="109"/>
        <v>4369.3043877309319</v>
      </c>
      <c r="V732" s="25" t="s">
        <v>2987</v>
      </c>
    </row>
    <row r="733" spans="1:22" ht="15" customHeight="1" x14ac:dyDescent="0.25">
      <c r="A733" t="s">
        <v>518</v>
      </c>
      <c r="B733" t="s">
        <v>519</v>
      </c>
      <c r="C733" t="s">
        <v>607</v>
      </c>
      <c r="D733" t="s">
        <v>608</v>
      </c>
      <c r="E733" t="s">
        <v>234</v>
      </c>
      <c r="F733" s="5">
        <v>50</v>
      </c>
      <c r="G733" t="s">
        <v>562</v>
      </c>
      <c r="H733" s="3">
        <v>10</v>
      </c>
      <c r="I733" s="3">
        <v>15</v>
      </c>
      <c r="J733" s="3">
        <v>10</v>
      </c>
      <c r="K733" s="3">
        <v>1</v>
      </c>
      <c r="L733">
        <f t="shared" si="112"/>
        <v>1.5E-3</v>
      </c>
      <c r="M733">
        <f t="shared" si="105"/>
        <v>0.6</v>
      </c>
      <c r="N733" s="8">
        <v>400</v>
      </c>
      <c r="O733" s="14">
        <f t="shared" si="113"/>
        <v>20000</v>
      </c>
      <c r="P733" s="8">
        <v>25</v>
      </c>
      <c r="Q733" s="8">
        <f>P733/N733</f>
        <v>6.25E-2</v>
      </c>
      <c r="R733" s="8">
        <f>P733+Q733</f>
        <v>25.0625</v>
      </c>
      <c r="S733" s="8">
        <f t="shared" si="114"/>
        <v>25.125</v>
      </c>
      <c r="T733" s="22">
        <f t="shared" si="108"/>
        <v>14.803410705826623</v>
      </c>
      <c r="U733" s="19">
        <f t="shared" si="109"/>
        <v>4384.1077984367585</v>
      </c>
      <c r="V733" s="27" t="s">
        <v>2982</v>
      </c>
    </row>
    <row r="734" spans="1:22" ht="15" customHeight="1" x14ac:dyDescent="0.25">
      <c r="A734" t="s">
        <v>518</v>
      </c>
      <c r="B734" t="s">
        <v>637</v>
      </c>
      <c r="C734" t="s">
        <v>2293</v>
      </c>
      <c r="D734" t="s">
        <v>705</v>
      </c>
      <c r="E734" t="s">
        <v>234</v>
      </c>
      <c r="F734" s="5">
        <v>499</v>
      </c>
      <c r="G734" t="s">
        <v>706</v>
      </c>
      <c r="H734" s="3">
        <v>50</v>
      </c>
      <c r="I734" s="3">
        <v>50</v>
      </c>
      <c r="J734" s="3">
        <v>50</v>
      </c>
      <c r="K734" s="3">
        <v>10</v>
      </c>
      <c r="L734">
        <f t="shared" si="112"/>
        <v>0.125</v>
      </c>
      <c r="M734">
        <f t="shared" si="105"/>
        <v>5</v>
      </c>
      <c r="N734" s="8">
        <v>40</v>
      </c>
      <c r="O734" s="14">
        <f t="shared" si="113"/>
        <v>19960</v>
      </c>
      <c r="P734" s="8">
        <v>20</v>
      </c>
      <c r="Q734" s="8">
        <f t="shared" ref="Q734:Q744" si="115">N734/P734</f>
        <v>2</v>
      </c>
      <c r="R734" s="8">
        <f t="shared" ref="R734:R744" si="116">(N734/30)*P734</f>
        <v>26.666666666666664</v>
      </c>
      <c r="S734" s="8">
        <f t="shared" si="114"/>
        <v>28.666666666666664</v>
      </c>
      <c r="T734" s="22">
        <f t="shared" si="108"/>
        <v>14.773803884414969</v>
      </c>
      <c r="U734" s="19">
        <f t="shared" si="109"/>
        <v>4398.881602321173</v>
      </c>
      <c r="V734" s="27" t="s">
        <v>2982</v>
      </c>
    </row>
    <row r="735" spans="1:22" ht="15" customHeight="1" x14ac:dyDescent="0.25">
      <c r="A735" t="s">
        <v>518</v>
      </c>
      <c r="B735" t="s">
        <v>637</v>
      </c>
      <c r="C735" t="s">
        <v>2293</v>
      </c>
      <c r="D735" t="s">
        <v>708</v>
      </c>
      <c r="E735" t="s">
        <v>234</v>
      </c>
      <c r="F735" s="5">
        <v>499</v>
      </c>
      <c r="G735" t="s">
        <v>706</v>
      </c>
      <c r="H735" s="3">
        <v>50</v>
      </c>
      <c r="I735" s="3">
        <v>50</v>
      </c>
      <c r="J735" s="3">
        <v>50</v>
      </c>
      <c r="K735" s="3">
        <v>10</v>
      </c>
      <c r="L735">
        <f t="shared" si="112"/>
        <v>0.125</v>
      </c>
      <c r="M735">
        <f t="shared" si="105"/>
        <v>5</v>
      </c>
      <c r="N735" s="8">
        <v>40</v>
      </c>
      <c r="O735" s="14">
        <f t="shared" si="113"/>
        <v>19960</v>
      </c>
      <c r="P735" s="8">
        <v>20</v>
      </c>
      <c r="Q735" s="8">
        <f t="shared" si="115"/>
        <v>2</v>
      </c>
      <c r="R735" s="8">
        <f t="shared" si="116"/>
        <v>26.666666666666664</v>
      </c>
      <c r="S735" s="8">
        <f t="shared" si="114"/>
        <v>28.666666666666664</v>
      </c>
      <c r="T735" s="22">
        <f t="shared" si="108"/>
        <v>14.773803884414969</v>
      </c>
      <c r="U735" s="19">
        <f t="shared" si="109"/>
        <v>4413.6554062055875</v>
      </c>
      <c r="V735" s="27" t="s">
        <v>2982</v>
      </c>
    </row>
    <row r="736" spans="1:22" ht="15" customHeight="1" x14ac:dyDescent="0.25">
      <c r="A736" t="s">
        <v>518</v>
      </c>
      <c r="B736" t="s">
        <v>637</v>
      </c>
      <c r="C736" t="s">
        <v>2293</v>
      </c>
      <c r="D736" t="s">
        <v>709</v>
      </c>
      <c r="E736" t="s">
        <v>234</v>
      </c>
      <c r="F736" s="5">
        <v>499</v>
      </c>
      <c r="G736" t="s">
        <v>706</v>
      </c>
      <c r="H736" s="3">
        <v>50</v>
      </c>
      <c r="I736" s="3">
        <v>50</v>
      </c>
      <c r="J736" s="3">
        <v>50</v>
      </c>
      <c r="K736" s="3">
        <v>10</v>
      </c>
      <c r="L736">
        <f t="shared" si="112"/>
        <v>0.125</v>
      </c>
      <c r="M736">
        <f t="shared" si="105"/>
        <v>5</v>
      </c>
      <c r="N736" s="8">
        <v>40</v>
      </c>
      <c r="O736" s="14">
        <f t="shared" si="113"/>
        <v>19960</v>
      </c>
      <c r="P736" s="8">
        <v>20</v>
      </c>
      <c r="Q736" s="8">
        <f t="shared" si="115"/>
        <v>2</v>
      </c>
      <c r="R736" s="8">
        <f t="shared" si="116"/>
        <v>26.666666666666664</v>
      </c>
      <c r="S736" s="8">
        <f t="shared" si="114"/>
        <v>28.666666666666664</v>
      </c>
      <c r="T736" s="22">
        <f t="shared" si="108"/>
        <v>14.773803884414969</v>
      </c>
      <c r="U736" s="19">
        <f t="shared" si="109"/>
        <v>4428.429210090002</v>
      </c>
      <c r="V736" s="27" t="s">
        <v>2982</v>
      </c>
    </row>
    <row r="737" spans="1:22" ht="15" customHeight="1" x14ac:dyDescent="0.25">
      <c r="A737" t="s">
        <v>518</v>
      </c>
      <c r="B737" t="s">
        <v>637</v>
      </c>
      <c r="C737" t="s">
        <v>2284</v>
      </c>
      <c r="D737" t="s">
        <v>2289</v>
      </c>
      <c r="E737" t="s">
        <v>24</v>
      </c>
      <c r="F737" s="5">
        <v>399</v>
      </c>
      <c r="G737" t="s">
        <v>679</v>
      </c>
      <c r="H737" s="3">
        <v>10</v>
      </c>
      <c r="I737" s="3">
        <v>15</v>
      </c>
      <c r="J737" s="3">
        <v>10</v>
      </c>
      <c r="K737" s="3">
        <v>2</v>
      </c>
      <c r="L737">
        <f t="shared" si="112"/>
        <v>1.5E-3</v>
      </c>
      <c r="M737">
        <f t="shared" si="105"/>
        <v>7.4999999999999997E-2</v>
      </c>
      <c r="N737" s="8">
        <v>50</v>
      </c>
      <c r="O737" s="14">
        <f t="shared" si="113"/>
        <v>19950</v>
      </c>
      <c r="P737" s="8">
        <v>20</v>
      </c>
      <c r="Q737" s="8">
        <f t="shared" si="115"/>
        <v>2.5</v>
      </c>
      <c r="R737" s="8">
        <f t="shared" si="116"/>
        <v>33.333333333333336</v>
      </c>
      <c r="S737" s="8">
        <f t="shared" si="114"/>
        <v>35.833333333333336</v>
      </c>
      <c r="T737" s="22">
        <f t="shared" si="108"/>
        <v>14.766402179062057</v>
      </c>
      <c r="U737" s="19">
        <f t="shared" si="109"/>
        <v>4443.1956122690644</v>
      </c>
      <c r="V737" s="27" t="s">
        <v>2982</v>
      </c>
    </row>
    <row r="738" spans="1:22" ht="15" customHeight="1" x14ac:dyDescent="0.25">
      <c r="A738" t="s">
        <v>518</v>
      </c>
      <c r="B738" t="s">
        <v>1090</v>
      </c>
      <c r="C738" t="s">
        <v>2477</v>
      </c>
      <c r="D738" t="s">
        <v>2478</v>
      </c>
      <c r="E738" t="s">
        <v>234</v>
      </c>
      <c r="F738" s="5">
        <v>3950</v>
      </c>
      <c r="G738" t="s">
        <v>140</v>
      </c>
      <c r="H738" s="3">
        <v>38</v>
      </c>
      <c r="I738" s="3">
        <v>25</v>
      </c>
      <c r="J738" s="3">
        <v>36</v>
      </c>
      <c r="K738" s="3">
        <v>35</v>
      </c>
      <c r="L738">
        <f t="shared" si="112"/>
        <v>3.4200000000000001E-2</v>
      </c>
      <c r="M738">
        <f t="shared" si="105"/>
        <v>0.17100000000000001</v>
      </c>
      <c r="N738" s="8">
        <v>5</v>
      </c>
      <c r="O738" s="14">
        <f t="shared" si="113"/>
        <v>19750</v>
      </c>
      <c r="P738" s="8">
        <v>20</v>
      </c>
      <c r="Q738" s="8">
        <f t="shared" si="115"/>
        <v>0.25</v>
      </c>
      <c r="R738" s="8">
        <f t="shared" si="116"/>
        <v>3.333333333333333</v>
      </c>
      <c r="S738" s="8">
        <f t="shared" si="114"/>
        <v>3.583333333333333</v>
      </c>
      <c r="T738" s="22">
        <f t="shared" si="108"/>
        <v>14.61836807200379</v>
      </c>
      <c r="U738" s="19">
        <f t="shared" si="109"/>
        <v>4457.8139803410686</v>
      </c>
      <c r="V738" s="27" t="s">
        <v>2982</v>
      </c>
    </row>
    <row r="739" spans="1:22" ht="15" customHeight="1" x14ac:dyDescent="0.25">
      <c r="A739" t="s">
        <v>518</v>
      </c>
      <c r="B739" t="s">
        <v>1090</v>
      </c>
      <c r="C739" t="s">
        <v>2440</v>
      </c>
      <c r="D739" t="s">
        <v>2414</v>
      </c>
      <c r="E739" t="s">
        <v>234</v>
      </c>
      <c r="F739" s="5">
        <v>3900</v>
      </c>
      <c r="G739" t="s">
        <v>2408</v>
      </c>
      <c r="H739" s="3">
        <v>55</v>
      </c>
      <c r="I739" s="3">
        <v>30</v>
      </c>
      <c r="J739" s="3">
        <v>55</v>
      </c>
      <c r="K739" s="3">
        <v>10</v>
      </c>
      <c r="L739">
        <f t="shared" si="112"/>
        <v>9.0749999999999997E-2</v>
      </c>
      <c r="M739">
        <f t="shared" si="105"/>
        <v>0.45374999999999999</v>
      </c>
      <c r="N739" s="8">
        <v>5</v>
      </c>
      <c r="O739" s="14">
        <f t="shared" si="113"/>
        <v>19500</v>
      </c>
      <c r="P739" s="8">
        <v>20</v>
      </c>
      <c r="Q739" s="8">
        <f t="shared" si="115"/>
        <v>0.25</v>
      </c>
      <c r="R739" s="8">
        <f t="shared" si="116"/>
        <v>3.333333333333333</v>
      </c>
      <c r="S739" s="8">
        <f t="shared" si="114"/>
        <v>3.583333333333333</v>
      </c>
      <c r="T739" s="22">
        <f t="shared" si="108"/>
        <v>14.433325438180958</v>
      </c>
      <c r="U739" s="19">
        <f t="shared" si="109"/>
        <v>4472.2473057792495</v>
      </c>
      <c r="V739" s="27" t="s">
        <v>2982</v>
      </c>
    </row>
    <row r="740" spans="1:22" ht="15" customHeight="1" x14ac:dyDescent="0.25">
      <c r="A740" t="s">
        <v>518</v>
      </c>
      <c r="B740" t="s">
        <v>1090</v>
      </c>
      <c r="C740" t="s">
        <v>765</v>
      </c>
      <c r="D740" t="s">
        <v>530</v>
      </c>
      <c r="E740" t="s">
        <v>234</v>
      </c>
      <c r="F740" s="5">
        <v>3829</v>
      </c>
      <c r="G740" t="s">
        <v>140</v>
      </c>
      <c r="H740" s="3">
        <v>60</v>
      </c>
      <c r="I740" s="3">
        <v>40</v>
      </c>
      <c r="J740" s="3">
        <v>62</v>
      </c>
      <c r="K740" s="3">
        <v>51.9</v>
      </c>
      <c r="L740">
        <f t="shared" si="112"/>
        <v>0.14879999999999999</v>
      </c>
      <c r="M740">
        <f t="shared" si="105"/>
        <v>0.74399999999999999</v>
      </c>
      <c r="N740" s="8">
        <v>5</v>
      </c>
      <c r="O740" s="14">
        <f t="shared" si="113"/>
        <v>19145</v>
      </c>
      <c r="P740" s="8">
        <v>20</v>
      </c>
      <c r="Q740" s="8">
        <f t="shared" si="115"/>
        <v>0.25</v>
      </c>
      <c r="R740" s="8">
        <f t="shared" si="116"/>
        <v>3.333333333333333</v>
      </c>
      <c r="S740" s="8">
        <f t="shared" si="114"/>
        <v>3.583333333333333</v>
      </c>
      <c r="T740" s="22">
        <f t="shared" si="108"/>
        <v>14.170564898152534</v>
      </c>
      <c r="U740" s="19">
        <f t="shared" si="109"/>
        <v>4486.4178706774019</v>
      </c>
      <c r="V740" s="27" t="s">
        <v>2982</v>
      </c>
    </row>
    <row r="741" spans="1:22" ht="15" customHeight="1" x14ac:dyDescent="0.25">
      <c r="A741" t="s">
        <v>518</v>
      </c>
      <c r="B741" t="s">
        <v>1091</v>
      </c>
      <c r="C741" t="s">
        <v>2117</v>
      </c>
      <c r="D741" t="s">
        <v>2118</v>
      </c>
      <c r="E741" t="s">
        <v>234</v>
      </c>
      <c r="F741" s="5">
        <v>201</v>
      </c>
      <c r="G741" t="s">
        <v>819</v>
      </c>
      <c r="H741" s="3">
        <v>30</v>
      </c>
      <c r="I741" s="3">
        <v>25</v>
      </c>
      <c r="J741" s="3">
        <v>25</v>
      </c>
      <c r="K741" s="3">
        <v>2.5</v>
      </c>
      <c r="L741">
        <f t="shared" si="112"/>
        <v>1.8749999999999999E-2</v>
      </c>
      <c r="M741">
        <f t="shared" si="105"/>
        <v>1.78125</v>
      </c>
      <c r="N741" s="8">
        <v>95</v>
      </c>
      <c r="O741" s="14">
        <f t="shared" si="113"/>
        <v>19095</v>
      </c>
      <c r="P741" s="8">
        <v>20</v>
      </c>
      <c r="Q741" s="8">
        <f t="shared" si="115"/>
        <v>4.75</v>
      </c>
      <c r="R741" s="8">
        <f t="shared" si="116"/>
        <v>63.333333333333329</v>
      </c>
      <c r="S741" s="8">
        <f t="shared" si="114"/>
        <v>68.083333333333329</v>
      </c>
      <c r="T741" s="22">
        <f t="shared" si="108"/>
        <v>14.133556371387968</v>
      </c>
      <c r="U741" s="19">
        <f t="shared" si="109"/>
        <v>4500.5514270487902</v>
      </c>
      <c r="V741" s="27" t="s">
        <v>2982</v>
      </c>
    </row>
    <row r="742" spans="1:22" ht="15" customHeight="1" x14ac:dyDescent="0.25">
      <c r="A742" t="s">
        <v>518</v>
      </c>
      <c r="B742" t="s">
        <v>1090</v>
      </c>
      <c r="C742" t="s">
        <v>765</v>
      </c>
      <c r="D742" t="s">
        <v>521</v>
      </c>
      <c r="E742" t="s">
        <v>234</v>
      </c>
      <c r="F742" s="5">
        <v>4698</v>
      </c>
      <c r="G742" t="s">
        <v>678</v>
      </c>
      <c r="H742" s="3">
        <v>40</v>
      </c>
      <c r="I742" s="3">
        <v>50</v>
      </c>
      <c r="J742" s="3">
        <v>72</v>
      </c>
      <c r="K742" s="3">
        <v>25.8</v>
      </c>
      <c r="L742">
        <f t="shared" si="112"/>
        <v>0.14399999999999999</v>
      </c>
      <c r="M742">
        <f t="shared" si="105"/>
        <v>0.57599999999999996</v>
      </c>
      <c r="N742" s="8">
        <v>4</v>
      </c>
      <c r="O742" s="14">
        <f t="shared" si="113"/>
        <v>18792</v>
      </c>
      <c r="P742" s="8">
        <v>20</v>
      </c>
      <c r="Q742" s="8">
        <f t="shared" si="115"/>
        <v>0.2</v>
      </c>
      <c r="R742" s="8">
        <f t="shared" si="116"/>
        <v>2.6666666666666665</v>
      </c>
      <c r="S742" s="8">
        <f t="shared" si="114"/>
        <v>2.8666666666666667</v>
      </c>
      <c r="T742" s="22">
        <f t="shared" si="108"/>
        <v>13.909284699194695</v>
      </c>
      <c r="U742" s="19">
        <f t="shared" si="109"/>
        <v>4514.4607117479845</v>
      </c>
      <c r="V742" s="27" t="s">
        <v>2982</v>
      </c>
    </row>
    <row r="743" spans="1:22" ht="15" customHeight="1" x14ac:dyDescent="0.25">
      <c r="A743" t="s">
        <v>518</v>
      </c>
      <c r="B743" t="s">
        <v>876</v>
      </c>
      <c r="C743" t="s">
        <v>2503</v>
      </c>
      <c r="D743" t="s">
        <v>902</v>
      </c>
      <c r="E743" t="s">
        <v>234</v>
      </c>
      <c r="F743" s="5">
        <v>170</v>
      </c>
      <c r="G743" t="s">
        <v>903</v>
      </c>
      <c r="H743" s="3">
        <v>20</v>
      </c>
      <c r="I743" s="3">
        <v>25</v>
      </c>
      <c r="J743" s="3">
        <v>15</v>
      </c>
      <c r="K743">
        <v>0.5</v>
      </c>
      <c r="L743">
        <f t="shared" si="112"/>
        <v>7.4999999999999997E-3</v>
      </c>
      <c r="M743">
        <f t="shared" si="105"/>
        <v>0.82499999999999996</v>
      </c>
      <c r="N743" s="8">
        <v>110</v>
      </c>
      <c r="O743" s="14">
        <f t="shared" si="113"/>
        <v>18700</v>
      </c>
      <c r="P743" s="8">
        <v>25</v>
      </c>
      <c r="Q743" s="8">
        <f t="shared" si="115"/>
        <v>4.4000000000000004</v>
      </c>
      <c r="R743" s="8">
        <f t="shared" si="116"/>
        <v>91.666666666666657</v>
      </c>
      <c r="S743" s="8">
        <f t="shared" si="114"/>
        <v>96.066666666666663</v>
      </c>
      <c r="T743" s="22">
        <f t="shared" si="108"/>
        <v>13.841189009947893</v>
      </c>
      <c r="U743" s="19">
        <f t="shared" si="109"/>
        <v>4528.3019007579323</v>
      </c>
      <c r="V743" s="27" t="s">
        <v>2982</v>
      </c>
    </row>
    <row r="744" spans="1:22" ht="15" customHeight="1" x14ac:dyDescent="0.25">
      <c r="A744" t="s">
        <v>518</v>
      </c>
      <c r="B744" t="s">
        <v>1090</v>
      </c>
      <c r="C744" t="s">
        <v>2431</v>
      </c>
      <c r="D744" t="s">
        <v>2418</v>
      </c>
      <c r="E744" t="s">
        <v>234</v>
      </c>
      <c r="F744" s="5">
        <v>3700</v>
      </c>
      <c r="G744" t="s">
        <v>140</v>
      </c>
      <c r="H744" s="3">
        <v>35</v>
      </c>
      <c r="I744" s="3">
        <v>25</v>
      </c>
      <c r="J744" s="3">
        <v>33</v>
      </c>
      <c r="K744" s="3">
        <v>40</v>
      </c>
      <c r="L744">
        <f t="shared" si="112"/>
        <v>2.8875000000000001E-2</v>
      </c>
      <c r="M744">
        <f t="shared" si="105"/>
        <v>0.144375</v>
      </c>
      <c r="N744" s="8">
        <v>5</v>
      </c>
      <c r="O744" s="14">
        <f t="shared" si="113"/>
        <v>18500</v>
      </c>
      <c r="P744" s="8">
        <v>20</v>
      </c>
      <c r="Q744" s="8">
        <f t="shared" si="115"/>
        <v>0.25</v>
      </c>
      <c r="R744" s="8">
        <f t="shared" si="116"/>
        <v>3.333333333333333</v>
      </c>
      <c r="S744" s="8">
        <f t="shared" si="114"/>
        <v>3.583333333333333</v>
      </c>
      <c r="T744" s="22">
        <f t="shared" si="108"/>
        <v>13.693154902889626</v>
      </c>
      <c r="U744" s="19">
        <f t="shared" si="109"/>
        <v>4541.9950556608219</v>
      </c>
      <c r="V744" s="27" t="s">
        <v>2982</v>
      </c>
    </row>
    <row r="745" spans="1:22" ht="15" customHeight="1" x14ac:dyDescent="0.25">
      <c r="A745" t="s">
        <v>518</v>
      </c>
      <c r="B745" t="s">
        <v>519</v>
      </c>
      <c r="C745" t="s">
        <v>618</v>
      </c>
      <c r="D745" t="s">
        <v>619</v>
      </c>
      <c r="E745" t="s">
        <v>234</v>
      </c>
      <c r="F745" s="5">
        <v>45.5</v>
      </c>
      <c r="G745" t="s">
        <v>611</v>
      </c>
      <c r="H745" s="3">
        <v>10</v>
      </c>
      <c r="I745" s="3">
        <v>15</v>
      </c>
      <c r="J745" s="3">
        <v>10</v>
      </c>
      <c r="K745" s="3">
        <v>1</v>
      </c>
      <c r="L745">
        <f t="shared" si="112"/>
        <v>1.5E-3</v>
      </c>
      <c r="M745">
        <f t="shared" si="105"/>
        <v>0.6</v>
      </c>
      <c r="N745" s="8">
        <v>400</v>
      </c>
      <c r="O745" s="14">
        <f t="shared" si="113"/>
        <v>18200</v>
      </c>
      <c r="P745" s="8">
        <v>25</v>
      </c>
      <c r="Q745" s="8">
        <f>P745/N745</f>
        <v>6.25E-2</v>
      </c>
      <c r="R745" s="8">
        <f>P745+Q745</f>
        <v>25.0625</v>
      </c>
      <c r="S745" s="8">
        <f t="shared" si="114"/>
        <v>25.125</v>
      </c>
      <c r="T745" s="22">
        <f t="shared" si="108"/>
        <v>13.471103742302226</v>
      </c>
      <c r="U745" s="19">
        <f t="shared" si="109"/>
        <v>4555.466159403124</v>
      </c>
      <c r="V745" s="27" t="s">
        <v>2982</v>
      </c>
    </row>
    <row r="746" spans="1:22" ht="15" customHeight="1" x14ac:dyDescent="0.25">
      <c r="A746" t="s">
        <v>518</v>
      </c>
      <c r="B746" t="s">
        <v>1090</v>
      </c>
      <c r="C746" t="s">
        <v>775</v>
      </c>
      <c r="D746" t="s">
        <v>579</v>
      </c>
      <c r="E746" t="s">
        <v>234</v>
      </c>
      <c r="F746" s="5">
        <v>3599</v>
      </c>
      <c r="G746" t="s">
        <v>140</v>
      </c>
      <c r="H746" s="3">
        <v>105</v>
      </c>
      <c r="I746" s="3">
        <v>100</v>
      </c>
      <c r="J746" s="3">
        <v>40</v>
      </c>
      <c r="K746" s="3">
        <v>19</v>
      </c>
      <c r="L746">
        <f t="shared" si="112"/>
        <v>0.42</v>
      </c>
      <c r="M746">
        <f t="shared" si="105"/>
        <v>2.1</v>
      </c>
      <c r="N746" s="8">
        <v>5</v>
      </c>
      <c r="O746" s="14">
        <f t="shared" si="113"/>
        <v>17995</v>
      </c>
      <c r="P746" s="8">
        <v>20</v>
      </c>
      <c r="Q746" s="8">
        <f>N746/P746</f>
        <v>0.25</v>
      </c>
      <c r="R746" s="8">
        <f>(N746/30)*P746</f>
        <v>3.333333333333333</v>
      </c>
      <c r="S746" s="8">
        <f t="shared" si="114"/>
        <v>3.583333333333333</v>
      </c>
      <c r="T746" s="22">
        <f t="shared" si="108"/>
        <v>13.319368782567503</v>
      </c>
      <c r="U746" s="19">
        <f t="shared" si="109"/>
        <v>4568.7855281856919</v>
      </c>
      <c r="V746" s="27" t="s">
        <v>2982</v>
      </c>
    </row>
    <row r="747" spans="1:22" ht="15" customHeight="1" x14ac:dyDescent="0.25">
      <c r="A747" t="s">
        <v>518</v>
      </c>
      <c r="B747" t="s">
        <v>637</v>
      </c>
      <c r="C747" t="s">
        <v>2319</v>
      </c>
      <c r="D747" t="s">
        <v>2320</v>
      </c>
      <c r="E747" t="s">
        <v>234</v>
      </c>
      <c r="F747" s="5">
        <v>449</v>
      </c>
      <c r="G747" t="s">
        <v>711</v>
      </c>
      <c r="H747" s="3">
        <v>40</v>
      </c>
      <c r="I747" s="3">
        <v>40</v>
      </c>
      <c r="J747" s="3">
        <v>40</v>
      </c>
      <c r="K747" s="3">
        <v>20</v>
      </c>
      <c r="L747">
        <f t="shared" si="112"/>
        <v>6.4000000000000001E-2</v>
      </c>
      <c r="M747">
        <f t="shared" si="105"/>
        <v>2.56</v>
      </c>
      <c r="N747" s="8">
        <v>40</v>
      </c>
      <c r="O747" s="14">
        <f t="shared" si="113"/>
        <v>17960</v>
      </c>
      <c r="P747" s="8">
        <v>20</v>
      </c>
      <c r="Q747" s="8">
        <f>N747/P747</f>
        <v>2</v>
      </c>
      <c r="R747" s="8">
        <f>(N747/30)*P747</f>
        <v>26.666666666666664</v>
      </c>
      <c r="S747" s="8">
        <f t="shared" si="114"/>
        <v>28.666666666666664</v>
      </c>
      <c r="T747" s="22">
        <f t="shared" si="108"/>
        <v>13.293462813832308</v>
      </c>
      <c r="U747" s="19">
        <f t="shared" si="109"/>
        <v>4582.0789909995237</v>
      </c>
      <c r="V747" s="27" t="s">
        <v>2982</v>
      </c>
    </row>
    <row r="748" spans="1:22" ht="15" customHeight="1" x14ac:dyDescent="0.25">
      <c r="A748" t="s">
        <v>518</v>
      </c>
      <c r="B748" t="s">
        <v>1090</v>
      </c>
      <c r="C748" t="s">
        <v>2482</v>
      </c>
      <c r="D748" t="s">
        <v>2483</v>
      </c>
      <c r="E748" t="s">
        <v>234</v>
      </c>
      <c r="F748" s="5">
        <v>3550</v>
      </c>
      <c r="G748" t="s">
        <v>2463</v>
      </c>
      <c r="H748" s="3">
        <v>45</v>
      </c>
      <c r="I748" s="3">
        <v>30</v>
      </c>
      <c r="J748" s="3">
        <v>35</v>
      </c>
      <c r="K748" s="3">
        <v>20</v>
      </c>
      <c r="L748">
        <f t="shared" si="112"/>
        <v>4.725E-2</v>
      </c>
      <c r="M748">
        <f t="shared" si="105"/>
        <v>0.23625000000000002</v>
      </c>
      <c r="N748" s="8">
        <v>5</v>
      </c>
      <c r="O748" s="14">
        <f t="shared" si="113"/>
        <v>17750</v>
      </c>
      <c r="P748" s="8">
        <v>20</v>
      </c>
      <c r="Q748" s="8">
        <f>N748/P748</f>
        <v>0.25</v>
      </c>
      <c r="R748" s="8">
        <f>(N748/30)*P748</f>
        <v>3.333333333333333</v>
      </c>
      <c r="S748" s="8">
        <f t="shared" si="114"/>
        <v>3.583333333333333</v>
      </c>
      <c r="T748" s="22">
        <f t="shared" si="108"/>
        <v>13.138027001421127</v>
      </c>
      <c r="U748" s="19">
        <f t="shared" si="109"/>
        <v>4595.2170180009452</v>
      </c>
      <c r="V748" s="27" t="s">
        <v>2982</v>
      </c>
    </row>
    <row r="749" spans="1:22" ht="15" customHeight="1" x14ac:dyDescent="0.25">
      <c r="A749" t="s">
        <v>518</v>
      </c>
      <c r="B749" t="s">
        <v>1090</v>
      </c>
      <c r="C749" t="s">
        <v>2352</v>
      </c>
      <c r="D749" t="s">
        <v>2355</v>
      </c>
      <c r="E749" t="s">
        <v>234</v>
      </c>
      <c r="F749" s="5">
        <v>3500</v>
      </c>
      <c r="G749" t="s">
        <v>2354</v>
      </c>
      <c r="H749" s="3">
        <v>100</v>
      </c>
      <c r="I749" s="3">
        <v>100</v>
      </c>
      <c r="J749" s="3">
        <v>100</v>
      </c>
      <c r="K749" s="3">
        <v>48</v>
      </c>
      <c r="L749">
        <f t="shared" si="112"/>
        <v>1</v>
      </c>
      <c r="M749">
        <f t="shared" si="105"/>
        <v>5</v>
      </c>
      <c r="N749" s="8">
        <v>5</v>
      </c>
      <c r="O749" s="14">
        <f t="shared" si="113"/>
        <v>17500</v>
      </c>
      <c r="P749" s="8">
        <v>20</v>
      </c>
      <c r="Q749" s="8">
        <f>N749/P749</f>
        <v>0.25</v>
      </c>
      <c r="R749" s="8">
        <f>(N749/30)*P749</f>
        <v>3.333333333333333</v>
      </c>
      <c r="S749" s="8">
        <f t="shared" si="114"/>
        <v>3.583333333333333</v>
      </c>
      <c r="T749" s="22">
        <f t="shared" si="108"/>
        <v>12.952984367598296</v>
      </c>
      <c r="U749" s="19">
        <f t="shared" si="109"/>
        <v>4608.1700023685435</v>
      </c>
      <c r="V749" s="27" t="s">
        <v>2982</v>
      </c>
    </row>
    <row r="750" spans="1:22" ht="15" customHeight="1" x14ac:dyDescent="0.25">
      <c r="A750" t="s">
        <v>518</v>
      </c>
      <c r="B750" t="s">
        <v>519</v>
      </c>
      <c r="C750" t="s">
        <v>599</v>
      </c>
      <c r="D750" t="s">
        <v>601</v>
      </c>
      <c r="E750" t="s">
        <v>234</v>
      </c>
      <c r="F750" s="5">
        <v>50</v>
      </c>
      <c r="G750" t="s">
        <v>588</v>
      </c>
      <c r="H750" s="3">
        <v>10</v>
      </c>
      <c r="I750" s="3">
        <v>15</v>
      </c>
      <c r="J750" s="3">
        <v>10</v>
      </c>
      <c r="K750" s="3">
        <v>1</v>
      </c>
      <c r="L750">
        <f t="shared" si="112"/>
        <v>1.5E-3</v>
      </c>
      <c r="M750">
        <f t="shared" ref="M750:M813" si="117">L750*N750</f>
        <v>0.52500000000000002</v>
      </c>
      <c r="N750" s="8">
        <v>350</v>
      </c>
      <c r="O750" s="14">
        <f t="shared" si="113"/>
        <v>17500</v>
      </c>
      <c r="P750" s="8">
        <v>25</v>
      </c>
      <c r="Q750" s="8">
        <f>P750/N750</f>
        <v>7.1428571428571425E-2</v>
      </c>
      <c r="R750" s="8">
        <f>P750+Q750</f>
        <v>25.071428571428573</v>
      </c>
      <c r="S750" s="8">
        <f t="shared" si="114"/>
        <v>25.142857142857146</v>
      </c>
      <c r="T750" s="22">
        <f t="shared" si="108"/>
        <v>12.952984367598296</v>
      </c>
      <c r="U750" s="19">
        <f t="shared" si="109"/>
        <v>4621.1229867361417</v>
      </c>
      <c r="V750" s="27" t="s">
        <v>2982</v>
      </c>
    </row>
    <row r="751" spans="1:22" ht="15" customHeight="1" x14ac:dyDescent="0.25">
      <c r="A751" t="s">
        <v>518</v>
      </c>
      <c r="B751" t="s">
        <v>637</v>
      </c>
      <c r="C751" t="s">
        <v>2284</v>
      </c>
      <c r="D751" t="s">
        <v>2288</v>
      </c>
      <c r="E751" t="s">
        <v>24</v>
      </c>
      <c r="F751" s="5">
        <v>349</v>
      </c>
      <c r="G751" t="s">
        <v>679</v>
      </c>
      <c r="H751" s="3">
        <v>10</v>
      </c>
      <c r="I751" s="3">
        <v>15</v>
      </c>
      <c r="J751" s="3">
        <v>10</v>
      </c>
      <c r="K751" s="3">
        <v>2</v>
      </c>
      <c r="L751">
        <f t="shared" si="112"/>
        <v>1.5E-3</v>
      </c>
      <c r="M751">
        <f t="shared" si="117"/>
        <v>7.4999999999999997E-2</v>
      </c>
      <c r="N751" s="8">
        <v>50</v>
      </c>
      <c r="O751" s="14">
        <f t="shared" si="113"/>
        <v>17450</v>
      </c>
      <c r="P751" s="8">
        <v>20</v>
      </c>
      <c r="Q751" s="8">
        <f>N751/P751</f>
        <v>2.5</v>
      </c>
      <c r="R751" s="8">
        <f>(N751/30)*P751</f>
        <v>33.333333333333336</v>
      </c>
      <c r="S751" s="8">
        <f t="shared" si="114"/>
        <v>35.833333333333336</v>
      </c>
      <c r="T751" s="22">
        <f t="shared" si="108"/>
        <v>12.915975840833729</v>
      </c>
      <c r="U751" s="19">
        <f t="shared" si="109"/>
        <v>4634.0389625769758</v>
      </c>
      <c r="V751" s="27" t="s">
        <v>2982</v>
      </c>
    </row>
    <row r="752" spans="1:22" ht="15" customHeight="1" x14ac:dyDescent="0.25">
      <c r="A752" t="s">
        <v>518</v>
      </c>
      <c r="B752" t="s">
        <v>519</v>
      </c>
      <c r="C752" t="s">
        <v>626</v>
      </c>
      <c r="D752" t="s">
        <v>630</v>
      </c>
      <c r="E752" t="s">
        <v>234</v>
      </c>
      <c r="F752" s="5">
        <v>49.4</v>
      </c>
      <c r="G752" t="s">
        <v>611</v>
      </c>
      <c r="H752" s="3">
        <v>20</v>
      </c>
      <c r="I752" s="3">
        <v>15</v>
      </c>
      <c r="J752" s="3">
        <v>40</v>
      </c>
      <c r="K752" s="3">
        <v>1</v>
      </c>
      <c r="L752">
        <f t="shared" si="112"/>
        <v>1.2E-2</v>
      </c>
      <c r="M752">
        <f t="shared" si="117"/>
        <v>4.2</v>
      </c>
      <c r="N752" s="8">
        <v>350</v>
      </c>
      <c r="O752" s="14">
        <f t="shared" si="113"/>
        <v>17290</v>
      </c>
      <c r="P752" s="8">
        <v>25</v>
      </c>
      <c r="Q752" s="8">
        <f>P752/N752</f>
        <v>7.1428571428571425E-2</v>
      </c>
      <c r="R752" s="8">
        <f>P752+Q752</f>
        <v>25.071428571428573</v>
      </c>
      <c r="S752" s="8">
        <f t="shared" si="114"/>
        <v>25.142857142857146</v>
      </c>
      <c r="T752" s="22">
        <f t="shared" si="108"/>
        <v>12.797548555187115</v>
      </c>
      <c r="U752" s="19">
        <f t="shared" si="109"/>
        <v>4646.8365111321627</v>
      </c>
      <c r="V752" s="27" t="s">
        <v>2982</v>
      </c>
    </row>
    <row r="753" spans="1:22" ht="15" customHeight="1" x14ac:dyDescent="0.25">
      <c r="A753" t="s">
        <v>518</v>
      </c>
      <c r="B753" t="s">
        <v>1091</v>
      </c>
      <c r="C753" t="s">
        <v>2110</v>
      </c>
      <c r="D753" t="s">
        <v>2113</v>
      </c>
      <c r="E753" t="s">
        <v>234</v>
      </c>
      <c r="F753" s="5">
        <v>178</v>
      </c>
      <c r="G753" t="s">
        <v>512</v>
      </c>
      <c r="H753" s="3">
        <v>30</v>
      </c>
      <c r="I753" s="3">
        <v>35</v>
      </c>
      <c r="J753" s="3">
        <v>20</v>
      </c>
      <c r="K753" s="3">
        <v>1.5</v>
      </c>
      <c r="L753">
        <f t="shared" si="112"/>
        <v>2.1000000000000001E-2</v>
      </c>
      <c r="M753">
        <f t="shared" si="117"/>
        <v>1.9950000000000001</v>
      </c>
      <c r="N753" s="8">
        <v>95</v>
      </c>
      <c r="O753" s="14">
        <f t="shared" si="113"/>
        <v>16910</v>
      </c>
      <c r="P753" s="8">
        <v>20</v>
      </c>
      <c r="Q753" s="8">
        <f>N753/P753</f>
        <v>4.75</v>
      </c>
      <c r="R753" s="8">
        <f>(N753/30)*P753</f>
        <v>63.333333333333329</v>
      </c>
      <c r="S753" s="8">
        <f t="shared" si="114"/>
        <v>68.083333333333329</v>
      </c>
      <c r="T753" s="22">
        <f t="shared" si="108"/>
        <v>12.51628375177641</v>
      </c>
      <c r="U753" s="19">
        <f t="shared" si="109"/>
        <v>4659.3527948839392</v>
      </c>
      <c r="V753" s="27" t="s">
        <v>2982</v>
      </c>
    </row>
    <row r="754" spans="1:22" ht="15" customHeight="1" x14ac:dyDescent="0.25">
      <c r="A754" t="s">
        <v>518</v>
      </c>
      <c r="B754" t="s">
        <v>1091</v>
      </c>
      <c r="C754" t="s">
        <v>2117</v>
      </c>
      <c r="D754" t="s">
        <v>817</v>
      </c>
      <c r="E754" t="s">
        <v>234</v>
      </c>
      <c r="F754" s="5">
        <v>177</v>
      </c>
      <c r="G754" t="s">
        <v>812</v>
      </c>
      <c r="H754" s="3">
        <v>30</v>
      </c>
      <c r="I754" s="3">
        <v>25</v>
      </c>
      <c r="J754" s="3">
        <v>25</v>
      </c>
      <c r="K754" s="3">
        <v>2.5</v>
      </c>
      <c r="L754">
        <f t="shared" si="112"/>
        <v>1.8749999999999999E-2</v>
      </c>
      <c r="M754">
        <f t="shared" si="117"/>
        <v>1.78125</v>
      </c>
      <c r="N754" s="8">
        <v>95</v>
      </c>
      <c r="O754" s="14">
        <f t="shared" si="113"/>
        <v>16815</v>
      </c>
      <c r="P754" s="8">
        <v>20</v>
      </c>
      <c r="Q754" s="8">
        <f>N754/P754</f>
        <v>4.75</v>
      </c>
      <c r="R754" s="8">
        <f>(N754/30)*P754</f>
        <v>63.333333333333329</v>
      </c>
      <c r="S754" s="8">
        <f t="shared" si="114"/>
        <v>68.083333333333329</v>
      </c>
      <c r="T754" s="22">
        <f t="shared" si="108"/>
        <v>12.445967550923733</v>
      </c>
      <c r="U754" s="19">
        <f t="shared" si="109"/>
        <v>4671.7987624348625</v>
      </c>
      <c r="V754" s="27" t="s">
        <v>2982</v>
      </c>
    </row>
    <row r="755" spans="1:22" ht="15" customHeight="1" x14ac:dyDescent="0.25">
      <c r="A755" t="s">
        <v>518</v>
      </c>
      <c r="B755" t="s">
        <v>637</v>
      </c>
      <c r="C755" t="s">
        <v>2284</v>
      </c>
      <c r="D755" t="s">
        <v>2285</v>
      </c>
      <c r="E755" t="s">
        <v>24</v>
      </c>
      <c r="F755" s="5">
        <v>209</v>
      </c>
      <c r="G755" t="s">
        <v>678</v>
      </c>
      <c r="H755" s="3">
        <v>3</v>
      </c>
      <c r="I755" s="3">
        <v>40</v>
      </c>
      <c r="J755" s="3">
        <v>10</v>
      </c>
      <c r="K755" s="3">
        <v>2</v>
      </c>
      <c r="L755">
        <f t="shared" si="112"/>
        <v>1.1999999999999999E-3</v>
      </c>
      <c r="M755">
        <f t="shared" si="117"/>
        <v>9.5999999999999988E-2</v>
      </c>
      <c r="N755" s="8">
        <v>80</v>
      </c>
      <c r="O755" s="14">
        <f t="shared" si="113"/>
        <v>16720</v>
      </c>
      <c r="P755" s="8">
        <v>20</v>
      </c>
      <c r="Q755" s="8">
        <f>N755/P755</f>
        <v>4</v>
      </c>
      <c r="R755" s="8">
        <f>(N755/30)*P755</f>
        <v>53.333333333333329</v>
      </c>
      <c r="S755" s="8">
        <f t="shared" si="114"/>
        <v>57.333333333333329</v>
      </c>
      <c r="T755" s="22">
        <f t="shared" si="108"/>
        <v>12.375651350071056</v>
      </c>
      <c r="U755" s="19">
        <f t="shared" si="109"/>
        <v>4684.1744137849337</v>
      </c>
      <c r="V755" s="27" t="s">
        <v>2982</v>
      </c>
    </row>
    <row r="756" spans="1:22" ht="15" customHeight="1" x14ac:dyDescent="0.25">
      <c r="A756" t="s">
        <v>518</v>
      </c>
      <c r="B756" t="s">
        <v>519</v>
      </c>
      <c r="C756" t="s">
        <v>626</v>
      </c>
      <c r="D756" t="s">
        <v>636</v>
      </c>
      <c r="E756" t="s">
        <v>234</v>
      </c>
      <c r="F756" s="5">
        <v>47.5</v>
      </c>
      <c r="G756" t="s">
        <v>606</v>
      </c>
      <c r="H756" s="3">
        <v>20</v>
      </c>
      <c r="I756" s="3">
        <v>15</v>
      </c>
      <c r="J756" s="3">
        <v>40</v>
      </c>
      <c r="K756" s="3">
        <v>1</v>
      </c>
      <c r="L756">
        <f t="shared" si="112"/>
        <v>1.2E-2</v>
      </c>
      <c r="M756">
        <f t="shared" si="117"/>
        <v>4.2</v>
      </c>
      <c r="N756" s="8">
        <v>350</v>
      </c>
      <c r="O756" s="14">
        <f t="shared" si="113"/>
        <v>16625</v>
      </c>
      <c r="P756" s="8">
        <v>25</v>
      </c>
      <c r="Q756" s="8">
        <f>P756/N756</f>
        <v>7.1428571428571425E-2</v>
      </c>
      <c r="R756" s="8">
        <f>P756+Q756</f>
        <v>25.071428571428573</v>
      </c>
      <c r="S756" s="8">
        <f t="shared" si="114"/>
        <v>25.142857142857146</v>
      </c>
      <c r="T756" s="22">
        <f t="shared" si="108"/>
        <v>12.305335149218381</v>
      </c>
      <c r="U756" s="19">
        <f t="shared" si="109"/>
        <v>4696.4797489341518</v>
      </c>
      <c r="V756" s="27" t="s">
        <v>2982</v>
      </c>
    </row>
    <row r="757" spans="1:22" ht="15" customHeight="1" x14ac:dyDescent="0.25">
      <c r="A757" t="s">
        <v>518</v>
      </c>
      <c r="B757" t="s">
        <v>1091</v>
      </c>
      <c r="C757" t="s">
        <v>2110</v>
      </c>
      <c r="D757" t="s">
        <v>2114</v>
      </c>
      <c r="E757" t="s">
        <v>234</v>
      </c>
      <c r="F757" s="5">
        <v>174</v>
      </c>
      <c r="G757" t="s">
        <v>512</v>
      </c>
      <c r="H757" s="3">
        <v>30</v>
      </c>
      <c r="I757" s="3">
        <v>35</v>
      </c>
      <c r="J757" s="3">
        <v>20</v>
      </c>
      <c r="K757" s="3">
        <v>1.5</v>
      </c>
      <c r="L757">
        <f t="shared" si="112"/>
        <v>2.1000000000000001E-2</v>
      </c>
      <c r="M757">
        <f t="shared" si="117"/>
        <v>1.9950000000000001</v>
      </c>
      <c r="N757" s="8">
        <v>95</v>
      </c>
      <c r="O757" s="14">
        <f t="shared" si="113"/>
        <v>16530</v>
      </c>
      <c r="P757" s="8">
        <v>20</v>
      </c>
      <c r="Q757" s="8">
        <f>N757/P757</f>
        <v>4.75</v>
      </c>
      <c r="R757" s="8">
        <f>(N757/30)*P757</f>
        <v>63.333333333333329</v>
      </c>
      <c r="S757" s="8">
        <f t="shared" si="114"/>
        <v>68.083333333333329</v>
      </c>
      <c r="T757" s="22">
        <f t="shared" ref="T757:T820" si="118">O757/O$1749</f>
        <v>12.235018948365704</v>
      </c>
      <c r="U757" s="19">
        <f t="shared" ref="U757:U820" si="119">U756+T757</f>
        <v>4708.7147678825177</v>
      </c>
      <c r="V757" s="27" t="s">
        <v>2982</v>
      </c>
    </row>
    <row r="758" spans="1:22" ht="15" customHeight="1" x14ac:dyDescent="0.25">
      <c r="A758" t="s">
        <v>518</v>
      </c>
      <c r="B758" t="s">
        <v>876</v>
      </c>
      <c r="C758" t="s">
        <v>2493</v>
      </c>
      <c r="D758" t="s">
        <v>2495</v>
      </c>
      <c r="E758" t="s">
        <v>893</v>
      </c>
      <c r="F758" s="5">
        <v>150</v>
      </c>
      <c r="G758" t="s">
        <v>895</v>
      </c>
      <c r="H758" s="3">
        <v>15</v>
      </c>
      <c r="I758" s="3">
        <v>25</v>
      </c>
      <c r="J758" s="3">
        <v>20</v>
      </c>
      <c r="K758" s="3">
        <v>1</v>
      </c>
      <c r="L758">
        <f t="shared" si="112"/>
        <v>7.4999999999999997E-3</v>
      </c>
      <c r="M758">
        <f t="shared" si="117"/>
        <v>0.82499999999999996</v>
      </c>
      <c r="N758" s="8">
        <v>110</v>
      </c>
      <c r="O758" s="14">
        <f t="shared" si="113"/>
        <v>16500</v>
      </c>
      <c r="P758" s="8">
        <v>25</v>
      </c>
      <c r="Q758" s="8">
        <f>N758/P758</f>
        <v>4.4000000000000004</v>
      </c>
      <c r="R758" s="8">
        <f>(N758/30)*P758</f>
        <v>91.666666666666657</v>
      </c>
      <c r="S758" s="8">
        <f t="shared" si="114"/>
        <v>96.066666666666663</v>
      </c>
      <c r="T758" s="22">
        <f t="shared" si="118"/>
        <v>12.212813832306963</v>
      </c>
      <c r="U758" s="19">
        <f t="shared" si="119"/>
        <v>4720.9275817148246</v>
      </c>
      <c r="V758" s="27" t="s">
        <v>2982</v>
      </c>
    </row>
    <row r="759" spans="1:22" ht="15" customHeight="1" x14ac:dyDescent="0.25">
      <c r="A759" t="s">
        <v>518</v>
      </c>
      <c r="B759" t="s">
        <v>876</v>
      </c>
      <c r="C759" t="s">
        <v>2503</v>
      </c>
      <c r="D759" t="s">
        <v>900</v>
      </c>
      <c r="E759" t="s">
        <v>234</v>
      </c>
      <c r="F759" s="5">
        <v>150</v>
      </c>
      <c r="G759" t="s">
        <v>901</v>
      </c>
      <c r="H759" s="3">
        <v>20</v>
      </c>
      <c r="I759" s="3">
        <v>25</v>
      </c>
      <c r="J759" s="3">
        <v>15</v>
      </c>
      <c r="K759">
        <v>0.5</v>
      </c>
      <c r="L759">
        <f t="shared" si="112"/>
        <v>7.4999999999999997E-3</v>
      </c>
      <c r="M759">
        <f t="shared" si="117"/>
        <v>0.82499999999999996</v>
      </c>
      <c r="N759" s="8">
        <v>110</v>
      </c>
      <c r="O759" s="14">
        <f t="shared" si="113"/>
        <v>16500</v>
      </c>
      <c r="P759" s="8">
        <v>25</v>
      </c>
      <c r="Q759" s="8">
        <f>N759/P759</f>
        <v>4.4000000000000004</v>
      </c>
      <c r="R759" s="8">
        <f>(N759/30)*P759</f>
        <v>91.666666666666657</v>
      </c>
      <c r="S759" s="8">
        <f t="shared" si="114"/>
        <v>96.066666666666663</v>
      </c>
      <c r="T759" s="22">
        <f t="shared" si="118"/>
        <v>12.212813832306963</v>
      </c>
      <c r="U759" s="19">
        <f t="shared" si="119"/>
        <v>4733.1403955471314</v>
      </c>
      <c r="V759" s="27" t="s">
        <v>2982</v>
      </c>
    </row>
    <row r="760" spans="1:22" ht="15" customHeight="1" x14ac:dyDescent="0.25">
      <c r="A760" t="s">
        <v>518</v>
      </c>
      <c r="B760" t="s">
        <v>519</v>
      </c>
      <c r="C760" t="s">
        <v>626</v>
      </c>
      <c r="D760" t="s">
        <v>631</v>
      </c>
      <c r="E760" t="s">
        <v>234</v>
      </c>
      <c r="F760" s="5">
        <v>46</v>
      </c>
      <c r="G760" t="s">
        <v>606</v>
      </c>
      <c r="H760" s="3">
        <v>15</v>
      </c>
      <c r="I760" s="3">
        <v>20</v>
      </c>
      <c r="J760" s="3">
        <v>10</v>
      </c>
      <c r="K760" s="3">
        <v>1</v>
      </c>
      <c r="L760">
        <f t="shared" si="112"/>
        <v>3.0000000000000001E-3</v>
      </c>
      <c r="M760">
        <f t="shared" si="117"/>
        <v>1.05</v>
      </c>
      <c r="N760" s="8">
        <v>350</v>
      </c>
      <c r="O760" s="14">
        <f t="shared" si="113"/>
        <v>16100</v>
      </c>
      <c r="P760" s="8">
        <v>25</v>
      </c>
      <c r="Q760" s="8">
        <f>P760/N760</f>
        <v>7.1428571428571425E-2</v>
      </c>
      <c r="R760" s="8">
        <f>P760+Q760</f>
        <v>25.071428571428573</v>
      </c>
      <c r="S760" s="8">
        <f t="shared" si="114"/>
        <v>25.142857142857146</v>
      </c>
      <c r="T760" s="22">
        <f t="shared" si="118"/>
        <v>11.916745618190431</v>
      </c>
      <c r="U760" s="19">
        <f t="shared" si="119"/>
        <v>4745.0571411653218</v>
      </c>
      <c r="V760" s="27" t="s">
        <v>2982</v>
      </c>
    </row>
    <row r="761" spans="1:22" ht="15" customHeight="1" x14ac:dyDescent="0.25">
      <c r="A761" t="s">
        <v>518</v>
      </c>
      <c r="B761" t="s">
        <v>519</v>
      </c>
      <c r="C761" t="s">
        <v>620</v>
      </c>
      <c r="D761" t="s">
        <v>621</v>
      </c>
      <c r="E761" t="s">
        <v>234</v>
      </c>
      <c r="F761" s="5">
        <v>40</v>
      </c>
      <c r="G761" t="s">
        <v>611</v>
      </c>
      <c r="H761" s="3">
        <v>10</v>
      </c>
      <c r="I761" s="3">
        <v>15</v>
      </c>
      <c r="J761" s="3">
        <v>10</v>
      </c>
      <c r="K761" s="3">
        <v>1</v>
      </c>
      <c r="L761">
        <f t="shared" si="112"/>
        <v>1.5E-3</v>
      </c>
      <c r="M761">
        <f t="shared" si="117"/>
        <v>0.6</v>
      </c>
      <c r="N761" s="8">
        <v>400</v>
      </c>
      <c r="O761" s="14">
        <f t="shared" si="113"/>
        <v>16000</v>
      </c>
      <c r="P761" s="8">
        <v>25</v>
      </c>
      <c r="Q761" s="8">
        <f>P761/N761</f>
        <v>6.25E-2</v>
      </c>
      <c r="R761" s="8">
        <f>P761+Q761</f>
        <v>25.0625</v>
      </c>
      <c r="S761" s="8">
        <f t="shared" si="114"/>
        <v>25.125</v>
      </c>
      <c r="T761" s="22">
        <f t="shared" si="118"/>
        <v>11.842728564661298</v>
      </c>
      <c r="U761" s="19">
        <f t="shared" si="119"/>
        <v>4756.899869729983</v>
      </c>
      <c r="V761" s="27" t="s">
        <v>2982</v>
      </c>
    </row>
    <row r="762" spans="1:22" ht="15" customHeight="1" x14ac:dyDescent="0.25">
      <c r="A762" t="s">
        <v>518</v>
      </c>
      <c r="B762" t="s">
        <v>637</v>
      </c>
      <c r="C762" t="s">
        <v>2253</v>
      </c>
      <c r="D762" t="s">
        <v>641</v>
      </c>
      <c r="E762" t="s">
        <v>234</v>
      </c>
      <c r="F762" s="5">
        <v>195</v>
      </c>
      <c r="G762" t="s">
        <v>512</v>
      </c>
      <c r="H762" s="3">
        <v>15</v>
      </c>
      <c r="I762" s="3">
        <v>20</v>
      </c>
      <c r="J762" s="3">
        <v>25</v>
      </c>
      <c r="K762" s="3">
        <v>5</v>
      </c>
      <c r="L762">
        <f t="shared" si="112"/>
        <v>7.4999999999999997E-3</v>
      </c>
      <c r="M762">
        <f t="shared" si="117"/>
        <v>0.6</v>
      </c>
      <c r="N762" s="8">
        <v>80</v>
      </c>
      <c r="O762" s="14">
        <f t="shared" si="113"/>
        <v>15600</v>
      </c>
      <c r="P762" s="8">
        <v>20</v>
      </c>
      <c r="Q762" s="8">
        <f>N762/P762</f>
        <v>4</v>
      </c>
      <c r="R762" s="8">
        <f>(N762/30)*P762</f>
        <v>53.333333333333329</v>
      </c>
      <c r="S762" s="8">
        <f t="shared" si="114"/>
        <v>57.333333333333329</v>
      </c>
      <c r="T762" s="22">
        <f t="shared" si="118"/>
        <v>11.546660350544766</v>
      </c>
      <c r="U762" s="19">
        <f t="shared" si="119"/>
        <v>4768.4465300805277</v>
      </c>
      <c r="V762" s="27" t="s">
        <v>2982</v>
      </c>
    </row>
    <row r="763" spans="1:22" ht="15" customHeight="1" x14ac:dyDescent="0.25">
      <c r="A763" t="s">
        <v>518</v>
      </c>
      <c r="B763" t="s">
        <v>1090</v>
      </c>
      <c r="C763" t="s">
        <v>2479</v>
      </c>
      <c r="D763" t="s">
        <v>2480</v>
      </c>
      <c r="E763" t="s">
        <v>234</v>
      </c>
      <c r="F763" s="5">
        <v>3100</v>
      </c>
      <c r="G763" t="s">
        <v>2408</v>
      </c>
      <c r="H763" s="3">
        <v>20</v>
      </c>
      <c r="I763" s="3">
        <v>36</v>
      </c>
      <c r="J763" s="3">
        <v>25</v>
      </c>
      <c r="K763" s="3">
        <v>20</v>
      </c>
      <c r="L763">
        <f t="shared" si="112"/>
        <v>1.7999999999999999E-2</v>
      </c>
      <c r="M763">
        <f t="shared" si="117"/>
        <v>0.09</v>
      </c>
      <c r="N763" s="8">
        <v>5</v>
      </c>
      <c r="O763" s="14">
        <f t="shared" si="113"/>
        <v>15500</v>
      </c>
      <c r="P763" s="8">
        <v>20</v>
      </c>
      <c r="Q763" s="8">
        <f>N763/P763</f>
        <v>0.25</v>
      </c>
      <c r="R763" s="8">
        <f>(N763/30)*P763</f>
        <v>3.333333333333333</v>
      </c>
      <c r="S763" s="8">
        <f t="shared" si="114"/>
        <v>3.583333333333333</v>
      </c>
      <c r="T763" s="22">
        <f t="shared" si="118"/>
        <v>11.472643297015633</v>
      </c>
      <c r="U763" s="19">
        <f t="shared" si="119"/>
        <v>4779.9191733775433</v>
      </c>
      <c r="V763" s="27" t="s">
        <v>2982</v>
      </c>
    </row>
    <row r="764" spans="1:22" ht="15" customHeight="1" x14ac:dyDescent="0.25">
      <c r="A764" t="s">
        <v>518</v>
      </c>
      <c r="B764" t="s">
        <v>519</v>
      </c>
      <c r="C764" t="s">
        <v>626</v>
      </c>
      <c r="D764" t="s">
        <v>635</v>
      </c>
      <c r="E764" t="s">
        <v>234</v>
      </c>
      <c r="F764" s="5">
        <v>43.2</v>
      </c>
      <c r="G764" t="s">
        <v>562</v>
      </c>
      <c r="H764" s="3">
        <v>20</v>
      </c>
      <c r="I764" s="3">
        <v>15</v>
      </c>
      <c r="J764" s="3">
        <v>20</v>
      </c>
      <c r="K764" s="3">
        <v>1</v>
      </c>
      <c r="L764">
        <f t="shared" si="112"/>
        <v>6.0000000000000001E-3</v>
      </c>
      <c r="M764">
        <f t="shared" si="117"/>
        <v>2.1</v>
      </c>
      <c r="N764" s="8">
        <v>350</v>
      </c>
      <c r="O764" s="14">
        <f t="shared" si="113"/>
        <v>15120.000000000002</v>
      </c>
      <c r="P764" s="8">
        <v>25</v>
      </c>
      <c r="Q764" s="8">
        <f>P764/N764</f>
        <v>7.1428571428571425E-2</v>
      </c>
      <c r="R764" s="8">
        <f>P764+Q764</f>
        <v>25.071428571428573</v>
      </c>
      <c r="S764" s="8">
        <f t="shared" si="114"/>
        <v>25.142857142857146</v>
      </c>
      <c r="T764" s="22">
        <f t="shared" si="118"/>
        <v>11.191378493604928</v>
      </c>
      <c r="U764" s="19">
        <f t="shared" si="119"/>
        <v>4791.1105518711483</v>
      </c>
      <c r="V764" s="27" t="s">
        <v>2982</v>
      </c>
    </row>
    <row r="765" spans="1:22" ht="15" customHeight="1" x14ac:dyDescent="0.25">
      <c r="A765" t="s">
        <v>518</v>
      </c>
      <c r="B765" t="s">
        <v>519</v>
      </c>
      <c r="C765" t="s">
        <v>622</v>
      </c>
      <c r="D765" t="s">
        <v>623</v>
      </c>
      <c r="E765" t="s">
        <v>234</v>
      </c>
      <c r="F765" s="5">
        <v>37.6</v>
      </c>
      <c r="G765" t="s">
        <v>611</v>
      </c>
      <c r="H765" s="3">
        <v>10</v>
      </c>
      <c r="I765" s="3">
        <v>15</v>
      </c>
      <c r="J765" s="3">
        <v>10</v>
      </c>
      <c r="K765" s="3">
        <v>1</v>
      </c>
      <c r="L765">
        <f t="shared" si="112"/>
        <v>1.5E-3</v>
      </c>
      <c r="M765">
        <f t="shared" si="117"/>
        <v>0.6</v>
      </c>
      <c r="N765" s="8">
        <v>400</v>
      </c>
      <c r="O765" s="14">
        <f t="shared" si="113"/>
        <v>15040</v>
      </c>
      <c r="P765" s="8">
        <v>25</v>
      </c>
      <c r="Q765" s="8">
        <f>P765/N765</f>
        <v>6.25E-2</v>
      </c>
      <c r="R765" s="8">
        <f>P765+Q765</f>
        <v>25.0625</v>
      </c>
      <c r="S765" s="8">
        <f t="shared" si="114"/>
        <v>25.125</v>
      </c>
      <c r="T765" s="22">
        <f t="shared" si="118"/>
        <v>11.132164850781621</v>
      </c>
      <c r="U765" s="19">
        <f t="shared" si="119"/>
        <v>4802.2427167219303</v>
      </c>
      <c r="V765" s="27" t="s">
        <v>2982</v>
      </c>
    </row>
    <row r="766" spans="1:22" ht="15" customHeight="1" x14ac:dyDescent="0.25">
      <c r="A766" t="s">
        <v>518</v>
      </c>
      <c r="B766" t="s">
        <v>637</v>
      </c>
      <c r="C766" t="s">
        <v>2212</v>
      </c>
      <c r="D766" t="s">
        <v>1248</v>
      </c>
      <c r="E766" t="s">
        <v>2213</v>
      </c>
      <c r="F766" s="5">
        <v>200</v>
      </c>
      <c r="G766" t="s">
        <v>2215</v>
      </c>
      <c r="H766" s="3">
        <v>50</v>
      </c>
      <c r="I766" s="3">
        <v>500</v>
      </c>
      <c r="J766" s="3">
        <v>0.55000000000000004</v>
      </c>
      <c r="K766" s="3">
        <v>1.375E-2</v>
      </c>
      <c r="L766">
        <f t="shared" si="112"/>
        <v>1.375E-2</v>
      </c>
      <c r="M766">
        <f t="shared" si="117"/>
        <v>1.03125</v>
      </c>
      <c r="N766" s="8">
        <v>75</v>
      </c>
      <c r="O766" s="14">
        <f t="shared" si="113"/>
        <v>15000</v>
      </c>
      <c r="P766" s="8">
        <v>20</v>
      </c>
      <c r="Q766" s="8">
        <f t="shared" ref="Q766:Q773" si="120">N766/P766</f>
        <v>3.75</v>
      </c>
      <c r="R766" s="8">
        <f t="shared" ref="R766:R773" si="121">(N766/30)*P766</f>
        <v>50</v>
      </c>
      <c r="S766" s="8">
        <f t="shared" si="114"/>
        <v>53.75</v>
      </c>
      <c r="T766" s="22">
        <f t="shared" si="118"/>
        <v>11.102558029369968</v>
      </c>
      <c r="U766" s="19">
        <f t="shared" si="119"/>
        <v>4813.3452747513002</v>
      </c>
      <c r="V766" s="27" t="s">
        <v>2982</v>
      </c>
    </row>
    <row r="767" spans="1:22" ht="15" customHeight="1" x14ac:dyDescent="0.25">
      <c r="A767" t="s">
        <v>518</v>
      </c>
      <c r="B767" t="s">
        <v>637</v>
      </c>
      <c r="C767" t="s">
        <v>2229</v>
      </c>
      <c r="D767" t="s">
        <v>1267</v>
      </c>
      <c r="E767" t="s">
        <v>234</v>
      </c>
      <c r="F767" s="5">
        <v>200</v>
      </c>
      <c r="G767" t="s">
        <v>2224</v>
      </c>
      <c r="H767" s="3">
        <v>20</v>
      </c>
      <c r="I767" s="3">
        <v>25</v>
      </c>
      <c r="J767" s="3">
        <v>25</v>
      </c>
      <c r="K767" s="3">
        <v>1.2500000000000001E-2</v>
      </c>
      <c r="L767">
        <f t="shared" si="112"/>
        <v>1.2500000000000001E-2</v>
      </c>
      <c r="M767">
        <f t="shared" si="117"/>
        <v>0.9375</v>
      </c>
      <c r="N767" s="8">
        <v>75</v>
      </c>
      <c r="O767" s="14">
        <f t="shared" si="113"/>
        <v>15000</v>
      </c>
      <c r="P767" s="8">
        <v>20</v>
      </c>
      <c r="Q767" s="8">
        <f t="shared" si="120"/>
        <v>3.75</v>
      </c>
      <c r="R767" s="8">
        <f t="shared" si="121"/>
        <v>50</v>
      </c>
      <c r="S767" s="8">
        <f t="shared" si="114"/>
        <v>53.75</v>
      </c>
      <c r="T767" s="22">
        <f t="shared" si="118"/>
        <v>11.102558029369968</v>
      </c>
      <c r="U767" s="19">
        <f t="shared" si="119"/>
        <v>4824.4478327806701</v>
      </c>
      <c r="V767" s="27" t="s">
        <v>2982</v>
      </c>
    </row>
    <row r="768" spans="1:22" ht="15" customHeight="1" x14ac:dyDescent="0.25">
      <c r="A768" t="s">
        <v>518</v>
      </c>
      <c r="B768" t="s">
        <v>1090</v>
      </c>
      <c r="C768" t="s">
        <v>2449</v>
      </c>
      <c r="D768" t="s">
        <v>2414</v>
      </c>
      <c r="E768" t="s">
        <v>234</v>
      </c>
      <c r="F768" s="5">
        <v>3000</v>
      </c>
      <c r="G768" t="s">
        <v>2421</v>
      </c>
      <c r="H768" s="3">
        <v>40</v>
      </c>
      <c r="I768" s="3">
        <v>30</v>
      </c>
      <c r="J768" s="3">
        <v>40</v>
      </c>
      <c r="K768" s="3">
        <v>13</v>
      </c>
      <c r="L768">
        <f t="shared" si="112"/>
        <v>4.8000000000000001E-2</v>
      </c>
      <c r="M768">
        <f t="shared" si="117"/>
        <v>0.24</v>
      </c>
      <c r="N768" s="8">
        <v>5</v>
      </c>
      <c r="O768" s="14">
        <f t="shared" si="113"/>
        <v>15000</v>
      </c>
      <c r="P768" s="8">
        <v>20</v>
      </c>
      <c r="Q768" s="8">
        <f t="shared" si="120"/>
        <v>0.25</v>
      </c>
      <c r="R768" s="8">
        <f t="shared" si="121"/>
        <v>3.333333333333333</v>
      </c>
      <c r="S768" s="8">
        <f t="shared" si="114"/>
        <v>3.583333333333333</v>
      </c>
      <c r="T768" s="22">
        <f t="shared" si="118"/>
        <v>11.102558029369968</v>
      </c>
      <c r="U768" s="19">
        <f t="shared" si="119"/>
        <v>4835.55039081004</v>
      </c>
      <c r="V768" s="27" t="s">
        <v>2982</v>
      </c>
    </row>
    <row r="769" spans="1:22" ht="15" customHeight="1" x14ac:dyDescent="0.25">
      <c r="A769" t="s">
        <v>518</v>
      </c>
      <c r="B769" t="s">
        <v>637</v>
      </c>
      <c r="C769" t="s">
        <v>2284</v>
      </c>
      <c r="D769" t="s">
        <v>2290</v>
      </c>
      <c r="E769" t="s">
        <v>24</v>
      </c>
      <c r="F769" s="5">
        <v>299</v>
      </c>
      <c r="G769" t="s">
        <v>679</v>
      </c>
      <c r="H769" s="3">
        <v>10</v>
      </c>
      <c r="I769" s="3">
        <v>15</v>
      </c>
      <c r="J769" s="3">
        <v>10</v>
      </c>
      <c r="K769" s="3">
        <v>2</v>
      </c>
      <c r="L769">
        <f t="shared" si="112"/>
        <v>1.5E-3</v>
      </c>
      <c r="M769">
        <f t="shared" si="117"/>
        <v>7.4999999999999997E-2</v>
      </c>
      <c r="N769" s="8">
        <v>50</v>
      </c>
      <c r="O769" s="14">
        <f t="shared" si="113"/>
        <v>14950</v>
      </c>
      <c r="P769" s="8">
        <v>20</v>
      </c>
      <c r="Q769" s="8">
        <f t="shared" si="120"/>
        <v>2.5</v>
      </c>
      <c r="R769" s="8">
        <f t="shared" si="121"/>
        <v>33.333333333333336</v>
      </c>
      <c r="S769" s="8">
        <f t="shared" si="114"/>
        <v>35.833333333333336</v>
      </c>
      <c r="T769" s="22">
        <f t="shared" si="118"/>
        <v>11.0655495026054</v>
      </c>
      <c r="U769" s="19">
        <f t="shared" si="119"/>
        <v>4846.6159403126458</v>
      </c>
      <c r="V769" s="27" t="s">
        <v>2982</v>
      </c>
    </row>
    <row r="770" spans="1:22" ht="15" customHeight="1" x14ac:dyDescent="0.25">
      <c r="A770" t="s">
        <v>518</v>
      </c>
      <c r="B770" t="s">
        <v>1090</v>
      </c>
      <c r="C770" t="s">
        <v>2441</v>
      </c>
      <c r="D770" t="s">
        <v>2414</v>
      </c>
      <c r="E770" t="s">
        <v>234</v>
      </c>
      <c r="F770" s="5">
        <v>2950</v>
      </c>
      <c r="G770" t="s">
        <v>140</v>
      </c>
      <c r="H770" s="3">
        <v>50</v>
      </c>
      <c r="I770" s="3">
        <v>30</v>
      </c>
      <c r="J770" s="3">
        <v>50</v>
      </c>
      <c r="K770" s="3">
        <v>13</v>
      </c>
      <c r="L770">
        <f t="shared" ref="L770:L833" si="122">J770*I770*H770/1000000</f>
        <v>7.4999999999999997E-2</v>
      </c>
      <c r="M770">
        <f t="shared" si="117"/>
        <v>0.375</v>
      </c>
      <c r="N770" s="8">
        <v>5</v>
      </c>
      <c r="O770" s="14">
        <f t="shared" ref="O770:O833" si="123">N770*F770</f>
        <v>14750</v>
      </c>
      <c r="P770" s="8">
        <v>20</v>
      </c>
      <c r="Q770" s="8">
        <f t="shared" si="120"/>
        <v>0.25</v>
      </c>
      <c r="R770" s="8">
        <f t="shared" si="121"/>
        <v>3.333333333333333</v>
      </c>
      <c r="S770" s="8">
        <f t="shared" ref="S770:S833" si="124">Q770+R770</f>
        <v>3.583333333333333</v>
      </c>
      <c r="T770" s="22">
        <f t="shared" si="118"/>
        <v>10.917515395547134</v>
      </c>
      <c r="U770" s="19">
        <f t="shared" si="119"/>
        <v>4857.5334557081933</v>
      </c>
      <c r="V770" s="27" t="s">
        <v>2982</v>
      </c>
    </row>
    <row r="771" spans="1:22" ht="15" customHeight="1" x14ac:dyDescent="0.25">
      <c r="A771" t="s">
        <v>518</v>
      </c>
      <c r="B771" t="s">
        <v>1090</v>
      </c>
      <c r="C771" t="s">
        <v>2436</v>
      </c>
      <c r="D771" t="s">
        <v>2418</v>
      </c>
      <c r="E771" t="s">
        <v>234</v>
      </c>
      <c r="F771" s="5">
        <v>2900</v>
      </c>
      <c r="G771" t="s">
        <v>2437</v>
      </c>
      <c r="H771" s="3">
        <v>75</v>
      </c>
      <c r="I771" s="3">
        <v>20</v>
      </c>
      <c r="J771" s="3">
        <v>30</v>
      </c>
      <c r="K771" s="3">
        <v>18</v>
      </c>
      <c r="L771">
        <f t="shared" si="122"/>
        <v>4.4999999999999998E-2</v>
      </c>
      <c r="M771">
        <f t="shared" si="117"/>
        <v>0.22499999999999998</v>
      </c>
      <c r="N771" s="8">
        <v>5</v>
      </c>
      <c r="O771" s="14">
        <f t="shared" si="123"/>
        <v>14500</v>
      </c>
      <c r="P771" s="8">
        <v>20</v>
      </c>
      <c r="Q771" s="8">
        <f t="shared" si="120"/>
        <v>0.25</v>
      </c>
      <c r="R771" s="8">
        <f t="shared" si="121"/>
        <v>3.333333333333333</v>
      </c>
      <c r="S771" s="8">
        <f t="shared" si="124"/>
        <v>3.583333333333333</v>
      </c>
      <c r="T771" s="22">
        <f t="shared" si="118"/>
        <v>10.732472761724301</v>
      </c>
      <c r="U771" s="19">
        <f t="shared" si="119"/>
        <v>4868.2659284699175</v>
      </c>
      <c r="V771" s="27" t="s">
        <v>2982</v>
      </c>
    </row>
    <row r="772" spans="1:22" ht="15" customHeight="1" x14ac:dyDescent="0.25">
      <c r="A772" t="s">
        <v>518</v>
      </c>
      <c r="B772" t="s">
        <v>637</v>
      </c>
      <c r="C772" t="s">
        <v>2232</v>
      </c>
      <c r="D772" t="s">
        <v>1270</v>
      </c>
      <c r="E772" t="s">
        <v>234</v>
      </c>
      <c r="F772" s="5">
        <v>400</v>
      </c>
      <c r="G772" t="s">
        <v>2224</v>
      </c>
      <c r="H772" s="3">
        <v>15</v>
      </c>
      <c r="I772" s="3">
        <v>20</v>
      </c>
      <c r="J772" s="3">
        <v>35</v>
      </c>
      <c r="K772" s="3">
        <v>1.0500000000000001E-2</v>
      </c>
      <c r="L772">
        <f t="shared" si="122"/>
        <v>1.0500000000000001E-2</v>
      </c>
      <c r="M772">
        <f t="shared" si="117"/>
        <v>0.378</v>
      </c>
      <c r="N772" s="8">
        <v>36</v>
      </c>
      <c r="O772" s="14">
        <f t="shared" si="123"/>
        <v>14400</v>
      </c>
      <c r="P772" s="8">
        <v>20</v>
      </c>
      <c r="Q772" s="8">
        <f t="shared" si="120"/>
        <v>1.8</v>
      </c>
      <c r="R772" s="8">
        <f t="shared" si="121"/>
        <v>24</v>
      </c>
      <c r="S772" s="8">
        <f t="shared" si="124"/>
        <v>25.8</v>
      </c>
      <c r="T772" s="22">
        <f t="shared" si="118"/>
        <v>10.658455708195168</v>
      </c>
      <c r="U772" s="19">
        <f t="shared" si="119"/>
        <v>4878.9243841781126</v>
      </c>
      <c r="V772" s="27" t="s">
        <v>2982</v>
      </c>
    </row>
    <row r="773" spans="1:22" ht="15" customHeight="1" x14ac:dyDescent="0.25">
      <c r="A773" t="s">
        <v>518</v>
      </c>
      <c r="B773" t="s">
        <v>637</v>
      </c>
      <c r="C773" t="s">
        <v>1277</v>
      </c>
      <c r="D773" t="s">
        <v>1278</v>
      </c>
      <c r="E773" t="s">
        <v>234</v>
      </c>
      <c r="F773" s="5">
        <v>180</v>
      </c>
      <c r="G773" t="s">
        <v>683</v>
      </c>
      <c r="H773" s="3">
        <v>20</v>
      </c>
      <c r="I773" s="3">
        <v>20</v>
      </c>
      <c r="J773" s="3">
        <v>7</v>
      </c>
      <c r="K773" s="3">
        <v>2.8E-3</v>
      </c>
      <c r="L773">
        <f t="shared" si="122"/>
        <v>2.8E-3</v>
      </c>
      <c r="M773">
        <f t="shared" si="117"/>
        <v>0.224</v>
      </c>
      <c r="N773" s="8">
        <v>80</v>
      </c>
      <c r="O773" s="14">
        <f t="shared" si="123"/>
        <v>14400</v>
      </c>
      <c r="P773" s="8">
        <v>20</v>
      </c>
      <c r="Q773" s="8">
        <f t="shared" si="120"/>
        <v>4</v>
      </c>
      <c r="R773" s="8">
        <f t="shared" si="121"/>
        <v>53.333333333333329</v>
      </c>
      <c r="S773" s="8">
        <f t="shared" si="124"/>
        <v>57.333333333333329</v>
      </c>
      <c r="T773" s="22">
        <f t="shared" si="118"/>
        <v>10.658455708195168</v>
      </c>
      <c r="U773" s="19">
        <f t="shared" si="119"/>
        <v>4889.5828398863077</v>
      </c>
      <c r="V773" s="27" t="s">
        <v>2982</v>
      </c>
    </row>
    <row r="774" spans="1:22" ht="15" customHeight="1" x14ac:dyDescent="0.25">
      <c r="A774" t="s">
        <v>518</v>
      </c>
      <c r="B774" t="s">
        <v>519</v>
      </c>
      <c r="C774" t="s">
        <v>599</v>
      </c>
      <c r="D774" t="s">
        <v>602</v>
      </c>
      <c r="E774" t="s">
        <v>234</v>
      </c>
      <c r="F774" s="5">
        <v>41</v>
      </c>
      <c r="G774" t="s">
        <v>588</v>
      </c>
      <c r="H774" s="3">
        <v>10</v>
      </c>
      <c r="I774" s="3">
        <v>15</v>
      </c>
      <c r="J774" s="3">
        <v>10</v>
      </c>
      <c r="K774" s="3">
        <v>1</v>
      </c>
      <c r="L774">
        <f t="shared" si="122"/>
        <v>1.5E-3</v>
      </c>
      <c r="M774">
        <f t="shared" si="117"/>
        <v>0.52500000000000002</v>
      </c>
      <c r="N774" s="8">
        <v>350</v>
      </c>
      <c r="O774" s="14">
        <f t="shared" si="123"/>
        <v>14350</v>
      </c>
      <c r="P774" s="8">
        <v>25</v>
      </c>
      <c r="Q774" s="8">
        <f>P774/N774</f>
        <v>7.1428571428571425E-2</v>
      </c>
      <c r="R774" s="8">
        <f>P774+Q774</f>
        <v>25.071428571428573</v>
      </c>
      <c r="S774" s="8">
        <f t="shared" si="124"/>
        <v>25.142857142857146</v>
      </c>
      <c r="T774" s="22">
        <f t="shared" si="118"/>
        <v>10.621447181430602</v>
      </c>
      <c r="U774" s="19">
        <f t="shared" si="119"/>
        <v>4900.2042870677387</v>
      </c>
      <c r="V774" s="27" t="s">
        <v>2982</v>
      </c>
    </row>
    <row r="775" spans="1:22" ht="15" customHeight="1" x14ac:dyDescent="0.25">
      <c r="A775" t="s">
        <v>518</v>
      </c>
      <c r="B775" t="s">
        <v>637</v>
      </c>
      <c r="C775" t="s">
        <v>2227</v>
      </c>
      <c r="D775" t="s">
        <v>1265</v>
      </c>
      <c r="E775" t="s">
        <v>234</v>
      </c>
      <c r="F775" s="5">
        <v>150</v>
      </c>
      <c r="G775" t="s">
        <v>2224</v>
      </c>
      <c r="H775" s="3">
        <v>30</v>
      </c>
      <c r="I775" s="3">
        <v>24</v>
      </c>
      <c r="J775" s="3">
        <v>30</v>
      </c>
      <c r="K775" s="3">
        <v>2.1600000000000001E-2</v>
      </c>
      <c r="L775">
        <f t="shared" si="122"/>
        <v>2.1600000000000001E-2</v>
      </c>
      <c r="M775">
        <f t="shared" si="117"/>
        <v>2.052</v>
      </c>
      <c r="N775" s="8">
        <v>95</v>
      </c>
      <c r="O775" s="14">
        <f t="shared" si="123"/>
        <v>14250</v>
      </c>
      <c r="P775" s="8">
        <v>20</v>
      </c>
      <c r="Q775" s="8">
        <f>N775/P775</f>
        <v>4.75</v>
      </c>
      <c r="R775" s="8">
        <f>(N775/30)*P775</f>
        <v>63.333333333333329</v>
      </c>
      <c r="S775" s="8">
        <f t="shared" si="124"/>
        <v>68.083333333333329</v>
      </c>
      <c r="T775" s="22">
        <f t="shared" si="118"/>
        <v>10.547430127901469</v>
      </c>
      <c r="U775" s="19">
        <f t="shared" si="119"/>
        <v>4910.7517171956406</v>
      </c>
      <c r="V775" s="27" t="s">
        <v>2982</v>
      </c>
    </row>
    <row r="776" spans="1:22" ht="15" customHeight="1" x14ac:dyDescent="0.25">
      <c r="A776" t="s">
        <v>518</v>
      </c>
      <c r="B776" t="s">
        <v>637</v>
      </c>
      <c r="C776" t="s">
        <v>2212</v>
      </c>
      <c r="D776" t="s">
        <v>1246</v>
      </c>
      <c r="E776" t="s">
        <v>2213</v>
      </c>
      <c r="F776" s="5">
        <v>150</v>
      </c>
      <c r="G776" t="s">
        <v>2215</v>
      </c>
      <c r="H776" s="3">
        <v>75</v>
      </c>
      <c r="I776" s="3">
        <v>475</v>
      </c>
      <c r="J776" s="3">
        <v>0.5</v>
      </c>
      <c r="K776" s="3">
        <v>1.7812499999999998E-2</v>
      </c>
      <c r="L776">
        <f t="shared" si="122"/>
        <v>1.7812499999999998E-2</v>
      </c>
      <c r="M776">
        <f t="shared" si="117"/>
        <v>1.6921875</v>
      </c>
      <c r="N776" s="8">
        <v>95</v>
      </c>
      <c r="O776" s="14">
        <f t="shared" si="123"/>
        <v>14250</v>
      </c>
      <c r="P776" s="8">
        <v>20</v>
      </c>
      <c r="Q776" s="8">
        <f>N776/P776</f>
        <v>4.75</v>
      </c>
      <c r="R776" s="8">
        <f>(N776/30)*P776</f>
        <v>63.333333333333329</v>
      </c>
      <c r="S776" s="8">
        <f t="shared" si="124"/>
        <v>68.083333333333329</v>
      </c>
      <c r="T776" s="22">
        <f t="shared" si="118"/>
        <v>10.547430127901469</v>
      </c>
      <c r="U776" s="19">
        <f t="shared" si="119"/>
        <v>4921.2991473235425</v>
      </c>
      <c r="V776" s="27" t="s">
        <v>2982</v>
      </c>
    </row>
    <row r="777" spans="1:22" ht="15" customHeight="1" x14ac:dyDescent="0.25">
      <c r="A777" t="s">
        <v>518</v>
      </c>
      <c r="B777" t="s">
        <v>519</v>
      </c>
      <c r="C777" t="s">
        <v>626</v>
      </c>
      <c r="D777" t="s">
        <v>627</v>
      </c>
      <c r="E777" t="s">
        <v>234</v>
      </c>
      <c r="F777" s="5">
        <v>40</v>
      </c>
      <c r="G777" t="s">
        <v>562</v>
      </c>
      <c r="H777" s="3">
        <v>20</v>
      </c>
      <c r="I777" s="3">
        <v>15</v>
      </c>
      <c r="J777" s="3">
        <v>40</v>
      </c>
      <c r="K777" s="3">
        <v>1</v>
      </c>
      <c r="L777">
        <f t="shared" si="122"/>
        <v>1.2E-2</v>
      </c>
      <c r="M777">
        <f t="shared" si="117"/>
        <v>4.2</v>
      </c>
      <c r="N777" s="8">
        <v>350</v>
      </c>
      <c r="O777" s="14">
        <f t="shared" si="123"/>
        <v>14000</v>
      </c>
      <c r="P777" s="8">
        <v>25</v>
      </c>
      <c r="Q777" s="8">
        <f>P777/N777</f>
        <v>7.1428571428571425E-2</v>
      </c>
      <c r="R777" s="8">
        <f>P777+Q777</f>
        <v>25.071428571428573</v>
      </c>
      <c r="S777" s="8">
        <f t="shared" si="124"/>
        <v>25.142857142857146</v>
      </c>
      <c r="T777" s="22">
        <f t="shared" si="118"/>
        <v>10.362387494078636</v>
      </c>
      <c r="U777" s="19">
        <f t="shared" si="119"/>
        <v>4931.661534817621</v>
      </c>
      <c r="V777" s="27" t="s">
        <v>2982</v>
      </c>
    </row>
    <row r="778" spans="1:22" ht="15" customHeight="1" x14ac:dyDescent="0.25">
      <c r="A778" t="s">
        <v>518</v>
      </c>
      <c r="B778" t="s">
        <v>1091</v>
      </c>
      <c r="C778" t="s">
        <v>2117</v>
      </c>
      <c r="D778" t="s">
        <v>815</v>
      </c>
      <c r="E778" t="s">
        <v>234</v>
      </c>
      <c r="F778" s="5">
        <v>147</v>
      </c>
      <c r="G778" t="s">
        <v>812</v>
      </c>
      <c r="H778" s="3">
        <v>30</v>
      </c>
      <c r="I778" s="3">
        <v>25</v>
      </c>
      <c r="J778" s="3">
        <v>25</v>
      </c>
      <c r="K778" s="3">
        <v>2.5</v>
      </c>
      <c r="L778">
        <f t="shared" si="122"/>
        <v>1.8749999999999999E-2</v>
      </c>
      <c r="M778">
        <f t="shared" si="117"/>
        <v>1.78125</v>
      </c>
      <c r="N778" s="8">
        <v>95</v>
      </c>
      <c r="O778" s="14">
        <f t="shared" si="123"/>
        <v>13965</v>
      </c>
      <c r="P778" s="8">
        <v>20</v>
      </c>
      <c r="Q778" s="8">
        <f t="shared" ref="Q778:Q786" si="125">N778/P778</f>
        <v>4.75</v>
      </c>
      <c r="R778" s="8">
        <f t="shared" ref="R778:R786" si="126">(N778/30)*P778</f>
        <v>63.333333333333329</v>
      </c>
      <c r="S778" s="8">
        <f t="shared" si="124"/>
        <v>68.083333333333329</v>
      </c>
      <c r="T778" s="22">
        <f t="shared" si="118"/>
        <v>10.336481525343439</v>
      </c>
      <c r="U778" s="19">
        <f t="shared" si="119"/>
        <v>4941.9980163429645</v>
      </c>
      <c r="V778" s="27" t="s">
        <v>2982</v>
      </c>
    </row>
    <row r="779" spans="1:22" ht="15" customHeight="1" x14ac:dyDescent="0.25">
      <c r="A779" t="s">
        <v>518</v>
      </c>
      <c r="B779" t="s">
        <v>637</v>
      </c>
      <c r="C779" t="s">
        <v>2284</v>
      </c>
      <c r="D779" t="s">
        <v>2291</v>
      </c>
      <c r="E779" t="s">
        <v>24</v>
      </c>
      <c r="F779" s="5">
        <v>349</v>
      </c>
      <c r="G779" t="s">
        <v>679</v>
      </c>
      <c r="H779" s="3">
        <v>10</v>
      </c>
      <c r="I779" s="3">
        <v>15</v>
      </c>
      <c r="J779" s="3">
        <v>10</v>
      </c>
      <c r="K779" s="3">
        <v>2</v>
      </c>
      <c r="L779">
        <f t="shared" si="122"/>
        <v>1.5E-3</v>
      </c>
      <c r="M779">
        <f t="shared" si="117"/>
        <v>0.06</v>
      </c>
      <c r="N779" s="8">
        <v>40</v>
      </c>
      <c r="O779" s="14">
        <f t="shared" si="123"/>
        <v>13960</v>
      </c>
      <c r="P779" s="8">
        <v>20</v>
      </c>
      <c r="Q779" s="8">
        <f t="shared" si="125"/>
        <v>2</v>
      </c>
      <c r="R779" s="8">
        <f t="shared" si="126"/>
        <v>26.666666666666664</v>
      </c>
      <c r="S779" s="8">
        <f t="shared" si="124"/>
        <v>28.666666666666664</v>
      </c>
      <c r="T779" s="22">
        <f t="shared" si="118"/>
        <v>10.332780672666983</v>
      </c>
      <c r="U779" s="19">
        <f t="shared" si="119"/>
        <v>4952.3307970156311</v>
      </c>
      <c r="V779" s="27" t="s">
        <v>2982</v>
      </c>
    </row>
    <row r="780" spans="1:22" ht="15" customHeight="1" x14ac:dyDescent="0.25">
      <c r="A780" t="s">
        <v>518</v>
      </c>
      <c r="B780" t="s">
        <v>637</v>
      </c>
      <c r="C780" t="s">
        <v>1285</v>
      </c>
      <c r="D780" t="s">
        <v>1286</v>
      </c>
      <c r="E780" t="s">
        <v>234</v>
      </c>
      <c r="F780" s="5">
        <v>173</v>
      </c>
      <c r="G780" t="s">
        <v>683</v>
      </c>
      <c r="H780" s="3">
        <v>23</v>
      </c>
      <c r="I780" s="3">
        <v>23</v>
      </c>
      <c r="J780" s="3">
        <v>8.5</v>
      </c>
      <c r="K780" s="3">
        <v>4.4964999999999996E-3</v>
      </c>
      <c r="L780">
        <f t="shared" si="122"/>
        <v>4.4964999999999996E-3</v>
      </c>
      <c r="M780">
        <f t="shared" si="117"/>
        <v>0.35971999999999998</v>
      </c>
      <c r="N780" s="8">
        <v>80</v>
      </c>
      <c r="O780" s="14">
        <f t="shared" si="123"/>
        <v>13840</v>
      </c>
      <c r="P780" s="8">
        <v>20</v>
      </c>
      <c r="Q780" s="8">
        <f t="shared" si="125"/>
        <v>4</v>
      </c>
      <c r="R780" s="8">
        <f t="shared" si="126"/>
        <v>53.333333333333329</v>
      </c>
      <c r="S780" s="8">
        <f t="shared" si="124"/>
        <v>57.333333333333329</v>
      </c>
      <c r="T780" s="22">
        <f t="shared" si="118"/>
        <v>10.243960208432023</v>
      </c>
      <c r="U780" s="19">
        <f t="shared" si="119"/>
        <v>4962.5747572240634</v>
      </c>
      <c r="V780" s="27" t="s">
        <v>2982</v>
      </c>
    </row>
    <row r="781" spans="1:22" ht="15" customHeight="1" x14ac:dyDescent="0.25">
      <c r="A781" t="s">
        <v>518</v>
      </c>
      <c r="B781" t="s">
        <v>1090</v>
      </c>
      <c r="C781" t="s">
        <v>781</v>
      </c>
      <c r="D781" t="s">
        <v>625</v>
      </c>
      <c r="E781" t="s">
        <v>234</v>
      </c>
      <c r="F781" s="5">
        <v>2727</v>
      </c>
      <c r="G781" t="s">
        <v>140</v>
      </c>
      <c r="H781" s="3">
        <v>25</v>
      </c>
      <c r="I781" s="3">
        <v>18</v>
      </c>
      <c r="J781" s="3">
        <v>6</v>
      </c>
      <c r="K781" s="3">
        <v>1.08</v>
      </c>
      <c r="L781">
        <f t="shared" si="122"/>
        <v>2.7000000000000001E-3</v>
      </c>
      <c r="M781">
        <f t="shared" si="117"/>
        <v>1.3500000000000002E-2</v>
      </c>
      <c r="N781" s="8">
        <v>5</v>
      </c>
      <c r="O781" s="14">
        <f t="shared" si="123"/>
        <v>13635</v>
      </c>
      <c r="P781" s="8">
        <v>20</v>
      </c>
      <c r="Q781" s="8">
        <f t="shared" si="125"/>
        <v>0.25</v>
      </c>
      <c r="R781" s="8">
        <f t="shared" si="126"/>
        <v>3.333333333333333</v>
      </c>
      <c r="S781" s="8">
        <f t="shared" si="124"/>
        <v>3.583333333333333</v>
      </c>
      <c r="T781" s="22">
        <f t="shared" si="118"/>
        <v>10.0922252486973</v>
      </c>
      <c r="U781" s="19">
        <f t="shared" si="119"/>
        <v>4972.6669824727605</v>
      </c>
      <c r="V781" s="27" t="s">
        <v>2982</v>
      </c>
    </row>
    <row r="782" spans="1:22" ht="15" customHeight="1" x14ac:dyDescent="0.25">
      <c r="A782" t="s">
        <v>518</v>
      </c>
      <c r="B782" t="s">
        <v>1090</v>
      </c>
      <c r="C782" t="s">
        <v>2433</v>
      </c>
      <c r="D782" t="s">
        <v>2414</v>
      </c>
      <c r="E782" t="s">
        <v>234</v>
      </c>
      <c r="F782" s="5">
        <v>2700</v>
      </c>
      <c r="G782" t="s">
        <v>2408</v>
      </c>
      <c r="H782" s="3">
        <v>18</v>
      </c>
      <c r="I782" s="3">
        <v>30</v>
      </c>
      <c r="J782" s="3">
        <v>30</v>
      </c>
      <c r="K782" s="3">
        <v>44</v>
      </c>
      <c r="L782">
        <f t="shared" si="122"/>
        <v>1.6199999999999999E-2</v>
      </c>
      <c r="M782">
        <f t="shared" si="117"/>
        <v>8.0999999999999989E-2</v>
      </c>
      <c r="N782" s="8">
        <v>5</v>
      </c>
      <c r="O782" s="14">
        <f t="shared" si="123"/>
        <v>13500</v>
      </c>
      <c r="P782" s="8">
        <v>20</v>
      </c>
      <c r="Q782" s="8">
        <f t="shared" si="125"/>
        <v>0.25</v>
      </c>
      <c r="R782" s="8">
        <f t="shared" si="126"/>
        <v>3.333333333333333</v>
      </c>
      <c r="S782" s="8">
        <f t="shared" si="124"/>
        <v>3.583333333333333</v>
      </c>
      <c r="T782" s="22">
        <f t="shared" si="118"/>
        <v>9.9923022264329706</v>
      </c>
      <c r="U782" s="19">
        <f t="shared" si="119"/>
        <v>4982.6592846991934</v>
      </c>
      <c r="V782" s="27" t="s">
        <v>2982</v>
      </c>
    </row>
    <row r="783" spans="1:22" ht="15" customHeight="1" x14ac:dyDescent="0.25">
      <c r="A783" t="s">
        <v>518</v>
      </c>
      <c r="B783" t="s">
        <v>1090</v>
      </c>
      <c r="C783" t="s">
        <v>2430</v>
      </c>
      <c r="D783" t="s">
        <v>2414</v>
      </c>
      <c r="E783" t="s">
        <v>234</v>
      </c>
      <c r="F783" s="5">
        <v>2700</v>
      </c>
      <c r="G783" t="s">
        <v>140</v>
      </c>
      <c r="H783" s="3">
        <v>50</v>
      </c>
      <c r="I783" s="3">
        <v>20</v>
      </c>
      <c r="J783" s="3">
        <v>30</v>
      </c>
      <c r="K783" s="3">
        <v>36</v>
      </c>
      <c r="L783">
        <f t="shared" si="122"/>
        <v>0.03</v>
      </c>
      <c r="M783">
        <f t="shared" si="117"/>
        <v>0.15</v>
      </c>
      <c r="N783" s="8">
        <v>5</v>
      </c>
      <c r="O783" s="14">
        <f t="shared" si="123"/>
        <v>13500</v>
      </c>
      <c r="P783" s="8">
        <v>20</v>
      </c>
      <c r="Q783" s="8">
        <f t="shared" si="125"/>
        <v>0.25</v>
      </c>
      <c r="R783" s="8">
        <f t="shared" si="126"/>
        <v>3.333333333333333</v>
      </c>
      <c r="S783" s="8">
        <f t="shared" si="124"/>
        <v>3.583333333333333</v>
      </c>
      <c r="T783" s="22">
        <f t="shared" si="118"/>
        <v>9.9923022264329706</v>
      </c>
      <c r="U783" s="19">
        <f t="shared" si="119"/>
        <v>4992.6515869256264</v>
      </c>
      <c r="V783" s="27" t="s">
        <v>2982</v>
      </c>
    </row>
    <row r="784" spans="1:22" ht="15" customHeight="1" x14ac:dyDescent="0.25">
      <c r="A784" t="s">
        <v>518</v>
      </c>
      <c r="B784" t="s">
        <v>1090</v>
      </c>
      <c r="C784" t="s">
        <v>2422</v>
      </c>
      <c r="D784" t="s">
        <v>2418</v>
      </c>
      <c r="E784" t="s">
        <v>234</v>
      </c>
      <c r="F784" s="5">
        <v>2700</v>
      </c>
      <c r="G784" t="s">
        <v>2408</v>
      </c>
      <c r="H784" s="3">
        <v>45</v>
      </c>
      <c r="I784" s="3">
        <v>25</v>
      </c>
      <c r="J784" s="3">
        <v>50</v>
      </c>
      <c r="K784" s="3">
        <v>9</v>
      </c>
      <c r="L784">
        <f t="shared" si="122"/>
        <v>5.6250000000000001E-2</v>
      </c>
      <c r="M784">
        <f t="shared" si="117"/>
        <v>0.28125</v>
      </c>
      <c r="N784" s="8">
        <v>5</v>
      </c>
      <c r="O784" s="14">
        <f t="shared" si="123"/>
        <v>13500</v>
      </c>
      <c r="P784" s="8">
        <v>20</v>
      </c>
      <c r="Q784" s="8">
        <f t="shared" si="125"/>
        <v>0.25</v>
      </c>
      <c r="R784" s="8">
        <f t="shared" si="126"/>
        <v>3.333333333333333</v>
      </c>
      <c r="S784" s="8">
        <f t="shared" si="124"/>
        <v>3.583333333333333</v>
      </c>
      <c r="T784" s="22">
        <f t="shared" si="118"/>
        <v>9.9923022264329706</v>
      </c>
      <c r="U784" s="19">
        <f t="shared" si="119"/>
        <v>5002.6438891520593</v>
      </c>
      <c r="V784" s="27" t="s">
        <v>2982</v>
      </c>
    </row>
    <row r="785" spans="1:22" ht="15" customHeight="1" x14ac:dyDescent="0.25">
      <c r="A785" t="s">
        <v>518</v>
      </c>
      <c r="B785" t="s">
        <v>1090</v>
      </c>
      <c r="C785" t="s">
        <v>765</v>
      </c>
      <c r="D785" t="s">
        <v>532</v>
      </c>
      <c r="E785" t="s">
        <v>234</v>
      </c>
      <c r="F785" s="5">
        <v>2669</v>
      </c>
      <c r="G785" t="s">
        <v>140</v>
      </c>
      <c r="H785" s="3">
        <v>60</v>
      </c>
      <c r="I785" s="3">
        <v>40</v>
      </c>
      <c r="J785" s="3">
        <v>62</v>
      </c>
      <c r="K785" s="3">
        <v>51.9</v>
      </c>
      <c r="L785">
        <f t="shared" si="122"/>
        <v>0.14879999999999999</v>
      </c>
      <c r="M785">
        <f t="shared" si="117"/>
        <v>0.74399999999999999</v>
      </c>
      <c r="N785" s="8">
        <v>5</v>
      </c>
      <c r="O785" s="14">
        <f t="shared" si="123"/>
        <v>13345</v>
      </c>
      <c r="P785" s="8">
        <v>20</v>
      </c>
      <c r="Q785" s="8">
        <f t="shared" si="125"/>
        <v>0.25</v>
      </c>
      <c r="R785" s="8">
        <f t="shared" si="126"/>
        <v>3.333333333333333</v>
      </c>
      <c r="S785" s="8">
        <f t="shared" si="124"/>
        <v>3.583333333333333</v>
      </c>
      <c r="T785" s="22">
        <f t="shared" si="118"/>
        <v>9.8775757934628139</v>
      </c>
      <c r="U785" s="19">
        <f t="shared" si="119"/>
        <v>5012.521464945522</v>
      </c>
      <c r="V785" s="27" t="s">
        <v>2982</v>
      </c>
    </row>
    <row r="786" spans="1:22" ht="15" customHeight="1" x14ac:dyDescent="0.25">
      <c r="A786" t="s">
        <v>518</v>
      </c>
      <c r="B786" t="s">
        <v>637</v>
      </c>
      <c r="C786" t="s">
        <v>2226</v>
      </c>
      <c r="D786" t="s">
        <v>1264</v>
      </c>
      <c r="E786" t="s">
        <v>234</v>
      </c>
      <c r="F786" s="5">
        <v>140</v>
      </c>
      <c r="G786" t="s">
        <v>2224</v>
      </c>
      <c r="H786" s="3">
        <v>25</v>
      </c>
      <c r="I786" s="3">
        <v>24</v>
      </c>
      <c r="J786" s="3">
        <v>30</v>
      </c>
      <c r="K786" s="3">
        <v>1.7999999999999999E-2</v>
      </c>
      <c r="L786">
        <f t="shared" si="122"/>
        <v>1.7999999999999999E-2</v>
      </c>
      <c r="M786">
        <f t="shared" si="117"/>
        <v>1.71</v>
      </c>
      <c r="N786" s="8">
        <v>95</v>
      </c>
      <c r="O786" s="14">
        <f t="shared" si="123"/>
        <v>13300</v>
      </c>
      <c r="P786" s="8">
        <v>20</v>
      </c>
      <c r="Q786" s="8">
        <f t="shared" si="125"/>
        <v>4.75</v>
      </c>
      <c r="R786" s="8">
        <f t="shared" si="126"/>
        <v>63.333333333333329</v>
      </c>
      <c r="S786" s="8">
        <f t="shared" si="124"/>
        <v>68.083333333333329</v>
      </c>
      <c r="T786" s="22">
        <f t="shared" si="118"/>
        <v>9.8442681193747035</v>
      </c>
      <c r="U786" s="19">
        <f t="shared" si="119"/>
        <v>5022.3657330648966</v>
      </c>
      <c r="V786" s="27" t="s">
        <v>2982</v>
      </c>
    </row>
    <row r="787" spans="1:22" ht="15" customHeight="1" x14ac:dyDescent="0.25">
      <c r="A787" t="s">
        <v>518</v>
      </c>
      <c r="B787" t="s">
        <v>519</v>
      </c>
      <c r="C787" t="s">
        <v>626</v>
      </c>
      <c r="D787" t="s">
        <v>634</v>
      </c>
      <c r="E787" t="s">
        <v>234</v>
      </c>
      <c r="F787" s="5">
        <v>38</v>
      </c>
      <c r="G787" t="s">
        <v>611</v>
      </c>
      <c r="H787" s="3">
        <v>10</v>
      </c>
      <c r="I787" s="3">
        <v>15</v>
      </c>
      <c r="J787" s="3">
        <v>10</v>
      </c>
      <c r="K787" s="3">
        <v>1</v>
      </c>
      <c r="L787">
        <f t="shared" si="122"/>
        <v>1.5E-3</v>
      </c>
      <c r="M787">
        <f t="shared" si="117"/>
        <v>0.52500000000000002</v>
      </c>
      <c r="N787" s="8">
        <v>350</v>
      </c>
      <c r="O787" s="14">
        <f t="shared" si="123"/>
        <v>13300</v>
      </c>
      <c r="P787" s="8">
        <v>25</v>
      </c>
      <c r="Q787" s="8">
        <f>P787/N787</f>
        <v>7.1428571428571425E-2</v>
      </c>
      <c r="R787" s="8">
        <f>P787+Q787</f>
        <v>25.071428571428573</v>
      </c>
      <c r="S787" s="8">
        <f t="shared" si="124"/>
        <v>25.142857142857146</v>
      </c>
      <c r="T787" s="22">
        <f t="shared" si="118"/>
        <v>9.8442681193747035</v>
      </c>
      <c r="U787" s="19">
        <f t="shared" si="119"/>
        <v>5032.2100011842713</v>
      </c>
      <c r="V787" s="27" t="s">
        <v>2982</v>
      </c>
    </row>
    <row r="788" spans="1:22" ht="15" customHeight="1" x14ac:dyDescent="0.25">
      <c r="A788" t="s">
        <v>518</v>
      </c>
      <c r="B788" t="s">
        <v>1090</v>
      </c>
      <c r="C788" t="s">
        <v>2456</v>
      </c>
      <c r="D788" t="s">
        <v>2457</v>
      </c>
      <c r="E788" t="s">
        <v>234</v>
      </c>
      <c r="F788" s="5">
        <v>2600</v>
      </c>
      <c r="G788" t="s">
        <v>140</v>
      </c>
      <c r="H788" s="3">
        <v>62</v>
      </c>
      <c r="I788" s="3">
        <v>30</v>
      </c>
      <c r="J788" s="3">
        <v>62</v>
      </c>
      <c r="K788" s="3">
        <v>77</v>
      </c>
      <c r="L788">
        <f t="shared" si="122"/>
        <v>0.11532000000000001</v>
      </c>
      <c r="M788">
        <f t="shared" si="117"/>
        <v>0.5766</v>
      </c>
      <c r="N788" s="8">
        <v>5</v>
      </c>
      <c r="O788" s="14">
        <f t="shared" si="123"/>
        <v>13000</v>
      </c>
      <c r="P788" s="8">
        <v>20</v>
      </c>
      <c r="Q788" s="8">
        <f>N788/P788</f>
        <v>0.25</v>
      </c>
      <c r="R788" s="8">
        <f>(N788/30)*P788</f>
        <v>3.333333333333333</v>
      </c>
      <c r="S788" s="8">
        <f t="shared" si="124"/>
        <v>3.583333333333333</v>
      </c>
      <c r="T788" s="22">
        <f t="shared" si="118"/>
        <v>9.6222169587873054</v>
      </c>
      <c r="U788" s="19">
        <f t="shared" si="119"/>
        <v>5041.8322181430585</v>
      </c>
      <c r="V788" s="27" t="s">
        <v>2982</v>
      </c>
    </row>
    <row r="789" spans="1:22" ht="15" customHeight="1" x14ac:dyDescent="0.25">
      <c r="A789" t="s">
        <v>518</v>
      </c>
      <c r="B789" t="s">
        <v>1090</v>
      </c>
      <c r="C789" t="s">
        <v>2435</v>
      </c>
      <c r="D789" t="s">
        <v>2414</v>
      </c>
      <c r="E789" t="s">
        <v>234</v>
      </c>
      <c r="F789" s="5">
        <v>2600</v>
      </c>
      <c r="G789" t="s">
        <v>140</v>
      </c>
      <c r="H789" s="3">
        <v>50</v>
      </c>
      <c r="I789" s="3">
        <v>25</v>
      </c>
      <c r="J789" s="3">
        <v>60</v>
      </c>
      <c r="K789" s="3">
        <v>48</v>
      </c>
      <c r="L789">
        <f t="shared" si="122"/>
        <v>7.4999999999999997E-2</v>
      </c>
      <c r="M789">
        <f t="shared" si="117"/>
        <v>0.375</v>
      </c>
      <c r="N789" s="8">
        <v>5</v>
      </c>
      <c r="O789" s="14">
        <f t="shared" si="123"/>
        <v>13000</v>
      </c>
      <c r="P789" s="8">
        <v>20</v>
      </c>
      <c r="Q789" s="8">
        <f>N789/P789</f>
        <v>0.25</v>
      </c>
      <c r="R789" s="8">
        <f>(N789/30)*P789</f>
        <v>3.333333333333333</v>
      </c>
      <c r="S789" s="8">
        <f t="shared" si="124"/>
        <v>3.583333333333333</v>
      </c>
      <c r="T789" s="22">
        <f t="shared" si="118"/>
        <v>9.6222169587873054</v>
      </c>
      <c r="U789" s="19">
        <f t="shared" si="119"/>
        <v>5051.4544351018458</v>
      </c>
      <c r="V789" s="27" t="s">
        <v>2982</v>
      </c>
    </row>
    <row r="790" spans="1:22" ht="15" customHeight="1" x14ac:dyDescent="0.25">
      <c r="A790" t="s">
        <v>518</v>
      </c>
      <c r="B790" t="s">
        <v>1090</v>
      </c>
      <c r="C790" t="s">
        <v>2447</v>
      </c>
      <c r="D790" t="s">
        <v>2414</v>
      </c>
      <c r="E790" t="s">
        <v>234</v>
      </c>
      <c r="F790" s="5">
        <v>2600</v>
      </c>
      <c r="G790" t="s">
        <v>140</v>
      </c>
      <c r="H790" s="3">
        <v>30</v>
      </c>
      <c r="I790" s="3">
        <v>30</v>
      </c>
      <c r="J790" s="3">
        <v>30</v>
      </c>
      <c r="K790" s="3">
        <v>15</v>
      </c>
      <c r="L790">
        <f t="shared" si="122"/>
        <v>2.7E-2</v>
      </c>
      <c r="M790">
        <f t="shared" si="117"/>
        <v>0.13500000000000001</v>
      </c>
      <c r="N790" s="8">
        <v>5</v>
      </c>
      <c r="O790" s="14">
        <f t="shared" si="123"/>
        <v>13000</v>
      </c>
      <c r="P790" s="8">
        <v>20</v>
      </c>
      <c r="Q790" s="8">
        <f>N790/P790</f>
        <v>0.25</v>
      </c>
      <c r="R790" s="8">
        <f>(N790/30)*P790</f>
        <v>3.333333333333333</v>
      </c>
      <c r="S790" s="8">
        <f t="shared" si="124"/>
        <v>3.583333333333333</v>
      </c>
      <c r="T790" s="22">
        <f t="shared" si="118"/>
        <v>9.6222169587873054</v>
      </c>
      <c r="U790" s="19">
        <f t="shared" si="119"/>
        <v>5061.076652060633</v>
      </c>
      <c r="V790" s="27" t="s">
        <v>2982</v>
      </c>
    </row>
    <row r="791" spans="1:22" ht="15" customHeight="1" x14ac:dyDescent="0.25">
      <c r="A791" t="s">
        <v>518</v>
      </c>
      <c r="B791" t="s">
        <v>637</v>
      </c>
      <c r="C791" t="s">
        <v>2293</v>
      </c>
      <c r="D791" t="s">
        <v>704</v>
      </c>
      <c r="E791" t="s">
        <v>234</v>
      </c>
      <c r="F791" s="5">
        <v>324.89999999999998</v>
      </c>
      <c r="G791" t="s">
        <v>678</v>
      </c>
      <c r="H791" s="3">
        <v>50</v>
      </c>
      <c r="I791" s="3">
        <v>50</v>
      </c>
      <c r="J791" s="3">
        <v>50</v>
      </c>
      <c r="K791" s="3">
        <v>10</v>
      </c>
      <c r="L791">
        <f t="shared" si="122"/>
        <v>0.125</v>
      </c>
      <c r="M791">
        <f t="shared" si="117"/>
        <v>5</v>
      </c>
      <c r="N791" s="8">
        <v>40</v>
      </c>
      <c r="O791" s="14">
        <f t="shared" si="123"/>
        <v>12996</v>
      </c>
      <c r="P791" s="8">
        <v>20</v>
      </c>
      <c r="Q791" s="8">
        <f>N791/P791</f>
        <v>2</v>
      </c>
      <c r="R791" s="8">
        <f>(N791/30)*P791</f>
        <v>26.666666666666664</v>
      </c>
      <c r="S791" s="8">
        <f t="shared" si="124"/>
        <v>28.666666666666664</v>
      </c>
      <c r="T791" s="22">
        <f t="shared" si="118"/>
        <v>9.6192562766461389</v>
      </c>
      <c r="U791" s="19">
        <f t="shared" si="119"/>
        <v>5070.6959083372794</v>
      </c>
      <c r="V791" s="27" t="s">
        <v>2982</v>
      </c>
    </row>
    <row r="792" spans="1:22" ht="15" customHeight="1" x14ac:dyDescent="0.25">
      <c r="A792" t="s">
        <v>518</v>
      </c>
      <c r="B792" t="s">
        <v>637</v>
      </c>
      <c r="C792" t="s">
        <v>2228</v>
      </c>
      <c r="D792" t="s">
        <v>1266</v>
      </c>
      <c r="E792" t="s">
        <v>234</v>
      </c>
      <c r="F792" s="5">
        <v>135</v>
      </c>
      <c r="G792" t="s">
        <v>2224</v>
      </c>
      <c r="H792" s="3">
        <v>25</v>
      </c>
      <c r="I792" s="3">
        <v>30</v>
      </c>
      <c r="J792" s="3">
        <v>25</v>
      </c>
      <c r="K792" s="3">
        <v>1.8749999999999999E-2</v>
      </c>
      <c r="L792">
        <f t="shared" si="122"/>
        <v>1.8749999999999999E-2</v>
      </c>
      <c r="M792">
        <f t="shared" si="117"/>
        <v>1.78125</v>
      </c>
      <c r="N792" s="8">
        <v>95</v>
      </c>
      <c r="O792" s="14">
        <f t="shared" si="123"/>
        <v>12825</v>
      </c>
      <c r="P792" s="8">
        <v>20</v>
      </c>
      <c r="Q792" s="8">
        <f>N792/P792</f>
        <v>4.75</v>
      </c>
      <c r="R792" s="8">
        <f>(N792/30)*P792</f>
        <v>63.333333333333329</v>
      </c>
      <c r="S792" s="8">
        <f t="shared" si="124"/>
        <v>68.083333333333329</v>
      </c>
      <c r="T792" s="22">
        <f t="shared" si="118"/>
        <v>9.4926871151113215</v>
      </c>
      <c r="U792" s="19">
        <f t="shared" si="119"/>
        <v>5080.1885954523905</v>
      </c>
      <c r="V792" s="27" t="s">
        <v>2982</v>
      </c>
    </row>
    <row r="793" spans="1:22" ht="15" customHeight="1" x14ac:dyDescent="0.25">
      <c r="A793" t="s">
        <v>518</v>
      </c>
      <c r="B793" t="s">
        <v>519</v>
      </c>
      <c r="C793" t="s">
        <v>593</v>
      </c>
      <c r="D793" t="s">
        <v>594</v>
      </c>
      <c r="E793" t="s">
        <v>234</v>
      </c>
      <c r="F793" s="5">
        <v>35.4</v>
      </c>
      <c r="G793" t="s">
        <v>588</v>
      </c>
      <c r="H793" s="3">
        <v>10</v>
      </c>
      <c r="I793" s="3">
        <v>15</v>
      </c>
      <c r="J793" s="3">
        <v>10</v>
      </c>
      <c r="K793" s="3">
        <v>1</v>
      </c>
      <c r="L793">
        <f t="shared" si="122"/>
        <v>1.5E-3</v>
      </c>
      <c r="M793">
        <f t="shared" si="117"/>
        <v>0.52500000000000002</v>
      </c>
      <c r="N793" s="8">
        <v>350</v>
      </c>
      <c r="O793" s="14">
        <f t="shared" si="123"/>
        <v>12390</v>
      </c>
      <c r="P793" s="8">
        <v>25</v>
      </c>
      <c r="Q793" s="8">
        <f>P793/N793</f>
        <v>7.1428571428571425E-2</v>
      </c>
      <c r="R793" s="8">
        <f>P793+Q793</f>
        <v>25.071428571428573</v>
      </c>
      <c r="S793" s="8">
        <f t="shared" si="124"/>
        <v>25.142857142857146</v>
      </c>
      <c r="T793" s="22">
        <f t="shared" si="118"/>
        <v>9.1707129322595922</v>
      </c>
      <c r="U793" s="19">
        <f t="shared" si="119"/>
        <v>5089.3593083846499</v>
      </c>
      <c r="V793" s="27" t="s">
        <v>2982</v>
      </c>
    </row>
    <row r="794" spans="1:22" ht="15" customHeight="1" x14ac:dyDescent="0.25">
      <c r="A794" t="s">
        <v>518</v>
      </c>
      <c r="B794" t="s">
        <v>1090</v>
      </c>
      <c r="C794" t="s">
        <v>783</v>
      </c>
      <c r="D794" t="s">
        <v>632</v>
      </c>
      <c r="E794" t="s">
        <v>234</v>
      </c>
      <c r="F794" s="5">
        <v>2427</v>
      </c>
      <c r="G794" t="s">
        <v>757</v>
      </c>
      <c r="H794" s="3">
        <v>5</v>
      </c>
      <c r="I794" s="3">
        <v>3</v>
      </c>
      <c r="J794" s="3">
        <v>8</v>
      </c>
      <c r="K794" s="3">
        <v>28.05</v>
      </c>
      <c r="L794">
        <f t="shared" si="122"/>
        <v>1.2E-4</v>
      </c>
      <c r="M794">
        <f t="shared" si="117"/>
        <v>6.0000000000000006E-4</v>
      </c>
      <c r="N794" s="8">
        <v>5</v>
      </c>
      <c r="O794" s="14">
        <f t="shared" si="123"/>
        <v>12135</v>
      </c>
      <c r="P794" s="8">
        <v>20</v>
      </c>
      <c r="Q794" s="8">
        <f t="shared" ref="Q794:Q799" si="127">N794/P794</f>
        <v>0.25</v>
      </c>
      <c r="R794" s="8">
        <f t="shared" ref="R794:R799" si="128">(N794/30)*P794</f>
        <v>3.333333333333333</v>
      </c>
      <c r="S794" s="8">
        <f t="shared" si="124"/>
        <v>3.583333333333333</v>
      </c>
      <c r="T794" s="22">
        <f t="shared" si="118"/>
        <v>8.9819694457603028</v>
      </c>
      <c r="U794" s="19">
        <f t="shared" si="119"/>
        <v>5098.34127783041</v>
      </c>
      <c r="V794" s="27" t="s">
        <v>2982</v>
      </c>
    </row>
    <row r="795" spans="1:22" ht="15" customHeight="1" x14ac:dyDescent="0.25">
      <c r="A795" t="s">
        <v>518</v>
      </c>
      <c r="B795" t="s">
        <v>637</v>
      </c>
      <c r="C795" t="s">
        <v>1287</v>
      </c>
      <c r="D795" t="s">
        <v>1288</v>
      </c>
      <c r="E795" t="s">
        <v>234</v>
      </c>
      <c r="F795" s="5">
        <v>150.5</v>
      </c>
      <c r="G795" t="s">
        <v>683</v>
      </c>
      <c r="H795" s="3">
        <v>25</v>
      </c>
      <c r="I795" s="3">
        <v>25</v>
      </c>
      <c r="J795" s="3">
        <v>7</v>
      </c>
      <c r="K795" s="3">
        <v>4.3750000000000004E-3</v>
      </c>
      <c r="L795">
        <f t="shared" si="122"/>
        <v>4.3750000000000004E-3</v>
      </c>
      <c r="M795">
        <f t="shared" si="117"/>
        <v>0.35000000000000003</v>
      </c>
      <c r="N795" s="8">
        <v>80</v>
      </c>
      <c r="O795" s="14">
        <f t="shared" si="123"/>
        <v>12040</v>
      </c>
      <c r="P795" s="8">
        <v>20</v>
      </c>
      <c r="Q795" s="8">
        <f t="shared" si="127"/>
        <v>4</v>
      </c>
      <c r="R795" s="8">
        <f t="shared" si="128"/>
        <v>53.333333333333329</v>
      </c>
      <c r="S795" s="8">
        <f t="shared" si="124"/>
        <v>57.333333333333329</v>
      </c>
      <c r="T795" s="22">
        <f t="shared" si="118"/>
        <v>8.9116532449076278</v>
      </c>
      <c r="U795" s="19">
        <f t="shared" si="119"/>
        <v>5107.252931075318</v>
      </c>
      <c r="V795" s="27" t="s">
        <v>2982</v>
      </c>
    </row>
    <row r="796" spans="1:22" ht="15" customHeight="1" x14ac:dyDescent="0.25">
      <c r="A796" t="s">
        <v>518</v>
      </c>
      <c r="B796" t="s">
        <v>1091</v>
      </c>
      <c r="C796" t="s">
        <v>2110</v>
      </c>
      <c r="D796" t="s">
        <v>2112</v>
      </c>
      <c r="E796" t="s">
        <v>234</v>
      </c>
      <c r="F796" s="5">
        <v>240</v>
      </c>
      <c r="G796" t="s">
        <v>512</v>
      </c>
      <c r="H796" s="3">
        <v>30</v>
      </c>
      <c r="I796" s="3">
        <v>35</v>
      </c>
      <c r="J796" s="3">
        <v>20</v>
      </c>
      <c r="K796" s="3">
        <v>1.5</v>
      </c>
      <c r="L796">
        <f t="shared" si="122"/>
        <v>2.1000000000000001E-2</v>
      </c>
      <c r="M796">
        <f t="shared" si="117"/>
        <v>1.05</v>
      </c>
      <c r="N796" s="8">
        <v>50</v>
      </c>
      <c r="O796" s="14">
        <f t="shared" si="123"/>
        <v>12000</v>
      </c>
      <c r="P796" s="8">
        <v>20</v>
      </c>
      <c r="Q796" s="8">
        <f t="shared" si="127"/>
        <v>2.5</v>
      </c>
      <c r="R796" s="8">
        <f t="shared" si="128"/>
        <v>33.333333333333336</v>
      </c>
      <c r="S796" s="8">
        <f t="shared" si="124"/>
        <v>35.833333333333336</v>
      </c>
      <c r="T796" s="22">
        <f t="shared" si="118"/>
        <v>8.8820464234959733</v>
      </c>
      <c r="U796" s="19">
        <f t="shared" si="119"/>
        <v>5116.1349774988139</v>
      </c>
      <c r="V796" s="27" t="s">
        <v>2982</v>
      </c>
    </row>
    <row r="797" spans="1:22" ht="15" customHeight="1" x14ac:dyDescent="0.25">
      <c r="A797" t="s">
        <v>518</v>
      </c>
      <c r="B797" t="s">
        <v>637</v>
      </c>
      <c r="C797" t="s">
        <v>2253</v>
      </c>
      <c r="D797" t="s">
        <v>641</v>
      </c>
      <c r="E797" t="s">
        <v>234</v>
      </c>
      <c r="F797" s="5">
        <v>150</v>
      </c>
      <c r="G797" t="s">
        <v>512</v>
      </c>
      <c r="H797" s="3">
        <v>15</v>
      </c>
      <c r="I797" s="3">
        <v>20</v>
      </c>
      <c r="J797" s="3">
        <v>25</v>
      </c>
      <c r="K797" s="3">
        <v>4</v>
      </c>
      <c r="L797">
        <f t="shared" si="122"/>
        <v>7.4999999999999997E-3</v>
      </c>
      <c r="M797">
        <f t="shared" si="117"/>
        <v>0.6</v>
      </c>
      <c r="N797" s="8">
        <v>80</v>
      </c>
      <c r="O797" s="14">
        <f t="shared" si="123"/>
        <v>12000</v>
      </c>
      <c r="P797" s="8">
        <v>20</v>
      </c>
      <c r="Q797" s="8">
        <f t="shared" si="127"/>
        <v>4</v>
      </c>
      <c r="R797" s="8">
        <f t="shared" si="128"/>
        <v>53.333333333333329</v>
      </c>
      <c r="S797" s="8">
        <f t="shared" si="124"/>
        <v>57.333333333333329</v>
      </c>
      <c r="T797" s="22">
        <f t="shared" si="118"/>
        <v>8.8820464234959733</v>
      </c>
      <c r="U797" s="19">
        <f t="shared" si="119"/>
        <v>5125.0170239223098</v>
      </c>
      <c r="V797" s="27" t="s">
        <v>2982</v>
      </c>
    </row>
    <row r="798" spans="1:22" ht="15" customHeight="1" x14ac:dyDescent="0.25">
      <c r="A798" t="s">
        <v>518</v>
      </c>
      <c r="B798" t="s">
        <v>637</v>
      </c>
      <c r="C798" t="s">
        <v>1271</v>
      </c>
      <c r="D798" t="s">
        <v>1272</v>
      </c>
      <c r="E798" t="s">
        <v>234</v>
      </c>
      <c r="F798" s="5">
        <v>150</v>
      </c>
      <c r="G798" t="s">
        <v>683</v>
      </c>
      <c r="H798" s="3">
        <v>24</v>
      </c>
      <c r="I798" s="3">
        <v>25</v>
      </c>
      <c r="J798" s="3">
        <v>8.5</v>
      </c>
      <c r="K798" s="3">
        <v>5.1000000000000004E-3</v>
      </c>
      <c r="L798">
        <f t="shared" si="122"/>
        <v>5.1000000000000004E-3</v>
      </c>
      <c r="M798">
        <f t="shared" si="117"/>
        <v>0.40800000000000003</v>
      </c>
      <c r="N798" s="8">
        <v>80</v>
      </c>
      <c r="O798" s="14">
        <f t="shared" si="123"/>
        <v>12000</v>
      </c>
      <c r="P798" s="8">
        <v>20</v>
      </c>
      <c r="Q798" s="8">
        <f t="shared" si="127"/>
        <v>4</v>
      </c>
      <c r="R798" s="8">
        <f t="shared" si="128"/>
        <v>53.333333333333329</v>
      </c>
      <c r="S798" s="8">
        <f t="shared" si="124"/>
        <v>57.333333333333329</v>
      </c>
      <c r="T798" s="22">
        <f t="shared" si="118"/>
        <v>8.8820464234959733</v>
      </c>
      <c r="U798" s="19">
        <f t="shared" si="119"/>
        <v>5133.8990703458057</v>
      </c>
      <c r="V798" s="27" t="s">
        <v>2982</v>
      </c>
    </row>
    <row r="799" spans="1:22" ht="15" customHeight="1" x14ac:dyDescent="0.25">
      <c r="A799" t="s">
        <v>518</v>
      </c>
      <c r="B799" t="s">
        <v>637</v>
      </c>
      <c r="C799" t="s">
        <v>1281</v>
      </c>
      <c r="D799" t="s">
        <v>1282</v>
      </c>
      <c r="E799" t="s">
        <v>234</v>
      </c>
      <c r="F799" s="5">
        <v>150</v>
      </c>
      <c r="G799" t="s">
        <v>683</v>
      </c>
      <c r="H799" s="3">
        <v>25</v>
      </c>
      <c r="I799" s="3">
        <v>25</v>
      </c>
      <c r="J799" s="3">
        <v>6.5</v>
      </c>
      <c r="K799" s="3">
        <v>4.0625000000000001E-3</v>
      </c>
      <c r="L799">
        <f t="shared" si="122"/>
        <v>4.0625000000000001E-3</v>
      </c>
      <c r="M799">
        <f t="shared" si="117"/>
        <v>0.32500000000000001</v>
      </c>
      <c r="N799" s="8">
        <v>80</v>
      </c>
      <c r="O799" s="14">
        <f t="shared" si="123"/>
        <v>12000</v>
      </c>
      <c r="P799" s="8">
        <v>20</v>
      </c>
      <c r="Q799" s="8">
        <f t="shared" si="127"/>
        <v>4</v>
      </c>
      <c r="R799" s="8">
        <f t="shared" si="128"/>
        <v>53.333333333333329</v>
      </c>
      <c r="S799" s="8">
        <f t="shared" si="124"/>
        <v>57.333333333333329</v>
      </c>
      <c r="T799" s="22">
        <f t="shared" si="118"/>
        <v>8.8820464234959733</v>
      </c>
      <c r="U799" s="19">
        <f t="shared" si="119"/>
        <v>5142.7811167693017</v>
      </c>
      <c r="V799" s="27" t="s">
        <v>2982</v>
      </c>
    </row>
    <row r="800" spans="1:22" ht="15" customHeight="1" x14ac:dyDescent="0.25">
      <c r="A800" t="s">
        <v>518</v>
      </c>
      <c r="B800" t="s">
        <v>519</v>
      </c>
      <c r="C800" t="s">
        <v>614</v>
      </c>
      <c r="D800" t="s">
        <v>615</v>
      </c>
      <c r="E800" t="s">
        <v>234</v>
      </c>
      <c r="F800" s="5">
        <v>30</v>
      </c>
      <c r="G800" t="s">
        <v>611</v>
      </c>
      <c r="H800" s="3">
        <v>10</v>
      </c>
      <c r="I800" s="3">
        <v>15</v>
      </c>
      <c r="J800" s="3">
        <v>10</v>
      </c>
      <c r="K800" s="3">
        <v>1</v>
      </c>
      <c r="L800">
        <f t="shared" si="122"/>
        <v>1.5E-3</v>
      </c>
      <c r="M800">
        <f t="shared" si="117"/>
        <v>0.6</v>
      </c>
      <c r="N800" s="8">
        <v>400</v>
      </c>
      <c r="O800" s="14">
        <f t="shared" si="123"/>
        <v>12000</v>
      </c>
      <c r="P800" s="8">
        <v>25</v>
      </c>
      <c r="Q800" s="8">
        <f>P800/N800</f>
        <v>6.25E-2</v>
      </c>
      <c r="R800" s="8">
        <f>P800+Q800</f>
        <v>25.0625</v>
      </c>
      <c r="S800" s="8">
        <f t="shared" si="124"/>
        <v>25.125</v>
      </c>
      <c r="T800" s="22">
        <f t="shared" si="118"/>
        <v>8.8820464234959733</v>
      </c>
      <c r="U800" s="19">
        <f t="shared" si="119"/>
        <v>5151.6631631927976</v>
      </c>
      <c r="V800" s="27" t="s">
        <v>2982</v>
      </c>
    </row>
    <row r="801" spans="1:22" ht="15" customHeight="1" x14ac:dyDescent="0.25">
      <c r="A801" t="s">
        <v>518</v>
      </c>
      <c r="B801" t="s">
        <v>519</v>
      </c>
      <c r="C801" t="s">
        <v>599</v>
      </c>
      <c r="D801" t="s">
        <v>603</v>
      </c>
      <c r="E801" t="s">
        <v>234</v>
      </c>
      <c r="F801" s="5">
        <v>29.9</v>
      </c>
      <c r="G801" t="s">
        <v>588</v>
      </c>
      <c r="H801" s="3">
        <v>10</v>
      </c>
      <c r="I801" s="3">
        <v>15</v>
      </c>
      <c r="J801" s="3">
        <v>10</v>
      </c>
      <c r="K801" s="3">
        <v>1</v>
      </c>
      <c r="L801">
        <f t="shared" si="122"/>
        <v>1.5E-3</v>
      </c>
      <c r="M801">
        <f t="shared" si="117"/>
        <v>0.6</v>
      </c>
      <c r="N801" s="8">
        <v>400</v>
      </c>
      <c r="O801" s="14">
        <f t="shared" si="123"/>
        <v>11960</v>
      </c>
      <c r="P801" s="8">
        <v>25</v>
      </c>
      <c r="Q801" s="8">
        <f>P801/N801</f>
        <v>6.25E-2</v>
      </c>
      <c r="R801" s="8">
        <f>P801+Q801</f>
        <v>25.0625</v>
      </c>
      <c r="S801" s="8">
        <f t="shared" si="124"/>
        <v>25.125</v>
      </c>
      <c r="T801" s="22">
        <f t="shared" si="118"/>
        <v>8.8524396020843206</v>
      </c>
      <c r="U801" s="19">
        <f t="shared" si="119"/>
        <v>5160.5156027948815</v>
      </c>
      <c r="V801" s="27" t="s">
        <v>2982</v>
      </c>
    </row>
    <row r="802" spans="1:22" ht="15" customHeight="1" x14ac:dyDescent="0.25">
      <c r="A802" t="s">
        <v>518</v>
      </c>
      <c r="B802" t="s">
        <v>1090</v>
      </c>
      <c r="C802" t="s">
        <v>775</v>
      </c>
      <c r="D802" t="s">
        <v>570</v>
      </c>
      <c r="E802" t="s">
        <v>234</v>
      </c>
      <c r="F802" s="5">
        <v>2359</v>
      </c>
      <c r="G802" t="s">
        <v>678</v>
      </c>
      <c r="H802" s="3">
        <v>55</v>
      </c>
      <c r="I802" s="3">
        <v>115</v>
      </c>
      <c r="J802" s="3">
        <v>49</v>
      </c>
      <c r="K802" s="3">
        <v>10.5</v>
      </c>
      <c r="L802">
        <f t="shared" si="122"/>
        <v>0.30992500000000001</v>
      </c>
      <c r="M802">
        <f t="shared" si="117"/>
        <v>1.549625</v>
      </c>
      <c r="N802" s="8">
        <v>5</v>
      </c>
      <c r="O802" s="14">
        <f t="shared" si="123"/>
        <v>11795</v>
      </c>
      <c r="P802" s="8">
        <v>20</v>
      </c>
      <c r="Q802" s="8">
        <f>N802/P802</f>
        <v>0.25</v>
      </c>
      <c r="R802" s="8">
        <f>(N802/30)*P802</f>
        <v>3.333333333333333</v>
      </c>
      <c r="S802" s="8">
        <f t="shared" si="124"/>
        <v>3.583333333333333</v>
      </c>
      <c r="T802" s="22">
        <f t="shared" si="118"/>
        <v>8.7303114637612502</v>
      </c>
      <c r="U802" s="19">
        <f t="shared" si="119"/>
        <v>5169.2459142586431</v>
      </c>
      <c r="V802" s="27" t="s">
        <v>2982</v>
      </c>
    </row>
    <row r="803" spans="1:22" ht="15" customHeight="1" x14ac:dyDescent="0.25">
      <c r="A803" t="s">
        <v>518</v>
      </c>
      <c r="B803" t="s">
        <v>637</v>
      </c>
      <c r="C803" t="s">
        <v>2253</v>
      </c>
      <c r="D803" t="s">
        <v>641</v>
      </c>
      <c r="E803" t="s">
        <v>234</v>
      </c>
      <c r="F803" s="5">
        <v>147</v>
      </c>
      <c r="G803" t="s">
        <v>512</v>
      </c>
      <c r="H803" s="3">
        <v>15</v>
      </c>
      <c r="I803" s="3">
        <v>20</v>
      </c>
      <c r="J803" s="3">
        <v>25</v>
      </c>
      <c r="K803" s="3">
        <v>5</v>
      </c>
      <c r="L803">
        <f t="shared" si="122"/>
        <v>7.4999999999999997E-3</v>
      </c>
      <c r="M803">
        <f t="shared" si="117"/>
        <v>0.6</v>
      </c>
      <c r="N803" s="8">
        <v>80</v>
      </c>
      <c r="O803" s="14">
        <f t="shared" si="123"/>
        <v>11760</v>
      </c>
      <c r="P803" s="8">
        <v>20</v>
      </c>
      <c r="Q803" s="8">
        <f>N803/P803</f>
        <v>4</v>
      </c>
      <c r="R803" s="8">
        <f>(N803/30)*P803</f>
        <v>53.333333333333329</v>
      </c>
      <c r="S803" s="8">
        <f t="shared" si="124"/>
        <v>57.333333333333329</v>
      </c>
      <c r="T803" s="22">
        <f t="shared" si="118"/>
        <v>8.7044054950260534</v>
      </c>
      <c r="U803" s="19">
        <f t="shared" si="119"/>
        <v>5177.9503197536687</v>
      </c>
      <c r="V803" s="27" t="s">
        <v>2982</v>
      </c>
    </row>
    <row r="804" spans="1:22" ht="15" customHeight="1" x14ac:dyDescent="0.25">
      <c r="A804" t="s">
        <v>518</v>
      </c>
      <c r="B804" t="s">
        <v>1090</v>
      </c>
      <c r="C804" t="s">
        <v>783</v>
      </c>
      <c r="D804" t="s">
        <v>633</v>
      </c>
      <c r="E804" t="s">
        <v>234</v>
      </c>
      <c r="F804" s="5">
        <v>2307</v>
      </c>
      <c r="G804" t="s">
        <v>757</v>
      </c>
      <c r="H804" s="3">
        <v>5</v>
      </c>
      <c r="I804" s="3">
        <v>3</v>
      </c>
      <c r="J804" s="3">
        <v>4</v>
      </c>
      <c r="K804" s="3">
        <v>30.6</v>
      </c>
      <c r="L804">
        <f t="shared" si="122"/>
        <v>6.0000000000000002E-5</v>
      </c>
      <c r="M804">
        <f t="shared" si="117"/>
        <v>3.0000000000000003E-4</v>
      </c>
      <c r="N804" s="8">
        <v>5</v>
      </c>
      <c r="O804" s="14">
        <f t="shared" si="123"/>
        <v>11535</v>
      </c>
      <c r="P804" s="8">
        <v>20</v>
      </c>
      <c r="Q804" s="8">
        <f>N804/P804</f>
        <v>0.25</v>
      </c>
      <c r="R804" s="8">
        <f>(N804/30)*P804</f>
        <v>3.333333333333333</v>
      </c>
      <c r="S804" s="8">
        <f t="shared" si="124"/>
        <v>3.583333333333333</v>
      </c>
      <c r="T804" s="22">
        <f t="shared" si="118"/>
        <v>8.5378671245855049</v>
      </c>
      <c r="U804" s="19">
        <f t="shared" si="119"/>
        <v>5186.4881868782541</v>
      </c>
      <c r="V804" s="27" t="s">
        <v>2982</v>
      </c>
    </row>
    <row r="805" spans="1:22" ht="15" customHeight="1" x14ac:dyDescent="0.25">
      <c r="A805" t="s">
        <v>518</v>
      </c>
      <c r="B805" t="s">
        <v>1090</v>
      </c>
      <c r="C805" t="s">
        <v>2461</v>
      </c>
      <c r="D805" t="s">
        <v>2462</v>
      </c>
      <c r="E805" t="s">
        <v>234</v>
      </c>
      <c r="F805" s="5">
        <v>2255</v>
      </c>
      <c r="G805" t="s">
        <v>2463</v>
      </c>
      <c r="H805" s="3">
        <v>45</v>
      </c>
      <c r="I805" s="3">
        <v>30</v>
      </c>
      <c r="J805" s="3">
        <v>40</v>
      </c>
      <c r="K805" s="3">
        <v>17</v>
      </c>
      <c r="L805">
        <f t="shared" si="122"/>
        <v>5.3999999999999999E-2</v>
      </c>
      <c r="M805">
        <f t="shared" si="117"/>
        <v>0.27</v>
      </c>
      <c r="N805" s="8">
        <v>5</v>
      </c>
      <c r="O805" s="14">
        <f t="shared" si="123"/>
        <v>11275</v>
      </c>
      <c r="P805" s="8">
        <v>20</v>
      </c>
      <c r="Q805" s="8">
        <f>N805/P805</f>
        <v>0.25</v>
      </c>
      <c r="R805" s="8">
        <f>(N805/30)*P805</f>
        <v>3.333333333333333</v>
      </c>
      <c r="S805" s="8">
        <f t="shared" si="124"/>
        <v>3.583333333333333</v>
      </c>
      <c r="T805" s="22">
        <f t="shared" si="118"/>
        <v>8.3454227854097578</v>
      </c>
      <c r="U805" s="19">
        <f t="shared" si="119"/>
        <v>5194.833609663664</v>
      </c>
      <c r="V805" s="27" t="s">
        <v>2982</v>
      </c>
    </row>
    <row r="806" spans="1:22" ht="15" customHeight="1" x14ac:dyDescent="0.25">
      <c r="A806" t="s">
        <v>518</v>
      </c>
      <c r="B806" t="s">
        <v>519</v>
      </c>
      <c r="C806" t="s">
        <v>616</v>
      </c>
      <c r="D806" t="s">
        <v>617</v>
      </c>
      <c r="E806" t="s">
        <v>234</v>
      </c>
      <c r="F806" s="5">
        <v>27.9</v>
      </c>
      <c r="G806" t="s">
        <v>611</v>
      </c>
      <c r="H806" s="3">
        <v>10</v>
      </c>
      <c r="I806" s="3">
        <v>15</v>
      </c>
      <c r="J806" s="3">
        <v>10</v>
      </c>
      <c r="K806" s="3">
        <v>1</v>
      </c>
      <c r="L806">
        <f t="shared" si="122"/>
        <v>1.5E-3</v>
      </c>
      <c r="M806">
        <f t="shared" si="117"/>
        <v>0.6</v>
      </c>
      <c r="N806" s="8">
        <v>400</v>
      </c>
      <c r="O806" s="14">
        <f t="shared" si="123"/>
        <v>11160</v>
      </c>
      <c r="P806" s="8">
        <v>25</v>
      </c>
      <c r="Q806" s="8">
        <f>P806/N806</f>
        <v>6.25E-2</v>
      </c>
      <c r="R806" s="8">
        <f>P806+Q806</f>
        <v>25.0625</v>
      </c>
      <c r="S806" s="8">
        <f t="shared" si="124"/>
        <v>25.125</v>
      </c>
      <c r="T806" s="22">
        <f t="shared" si="118"/>
        <v>8.2603031738512556</v>
      </c>
      <c r="U806" s="19">
        <f t="shared" si="119"/>
        <v>5203.0939128375148</v>
      </c>
      <c r="V806" s="27" t="s">
        <v>2982</v>
      </c>
    </row>
    <row r="807" spans="1:22" ht="15" customHeight="1" x14ac:dyDescent="0.25">
      <c r="A807" t="s">
        <v>518</v>
      </c>
      <c r="B807" t="s">
        <v>1090</v>
      </c>
      <c r="C807" t="s">
        <v>784</v>
      </c>
      <c r="D807" t="s">
        <v>634</v>
      </c>
      <c r="E807" t="s">
        <v>234</v>
      </c>
      <c r="F807" s="5">
        <v>2217</v>
      </c>
      <c r="G807" t="s">
        <v>140</v>
      </c>
      <c r="H807" s="3">
        <v>110</v>
      </c>
      <c r="I807" s="3">
        <v>150</v>
      </c>
      <c r="J807" s="3">
        <v>100</v>
      </c>
      <c r="K807" s="3">
        <v>13.5</v>
      </c>
      <c r="L807">
        <f t="shared" si="122"/>
        <v>1.65</v>
      </c>
      <c r="M807">
        <f t="shared" si="117"/>
        <v>8.25</v>
      </c>
      <c r="N807" s="8">
        <v>5</v>
      </c>
      <c r="O807" s="14">
        <f t="shared" si="123"/>
        <v>11085</v>
      </c>
      <c r="P807" s="8">
        <v>20</v>
      </c>
      <c r="Q807" s="8">
        <f t="shared" ref="Q807:Q818" si="129">N807/P807</f>
        <v>0.25</v>
      </c>
      <c r="R807" s="8">
        <f t="shared" ref="R807:R818" si="130">(N807/30)*P807</f>
        <v>3.333333333333333</v>
      </c>
      <c r="S807" s="8">
        <f t="shared" si="124"/>
        <v>3.583333333333333</v>
      </c>
      <c r="T807" s="22">
        <f t="shared" si="118"/>
        <v>8.2047903837044061</v>
      </c>
      <c r="U807" s="19">
        <f t="shared" si="119"/>
        <v>5211.2987032212195</v>
      </c>
      <c r="V807" s="27" t="s">
        <v>2982</v>
      </c>
    </row>
    <row r="808" spans="1:22" ht="15" customHeight="1" x14ac:dyDescent="0.25">
      <c r="A808" t="s">
        <v>518</v>
      </c>
      <c r="B808" t="s">
        <v>637</v>
      </c>
      <c r="C808" t="s">
        <v>2253</v>
      </c>
      <c r="D808" t="s">
        <v>641</v>
      </c>
      <c r="E808" t="s">
        <v>234</v>
      </c>
      <c r="F808" s="5">
        <v>137.69999999999999</v>
      </c>
      <c r="G808" t="s">
        <v>512</v>
      </c>
      <c r="H808" s="3">
        <v>15</v>
      </c>
      <c r="I808" s="3">
        <v>20</v>
      </c>
      <c r="J808" s="3">
        <v>25</v>
      </c>
      <c r="K808" s="3">
        <v>4</v>
      </c>
      <c r="L808">
        <f t="shared" si="122"/>
        <v>7.4999999999999997E-3</v>
      </c>
      <c r="M808">
        <f t="shared" si="117"/>
        <v>0.6</v>
      </c>
      <c r="N808" s="8">
        <v>80</v>
      </c>
      <c r="O808" s="14">
        <f t="shared" si="123"/>
        <v>11016</v>
      </c>
      <c r="P808" s="8">
        <v>20</v>
      </c>
      <c r="Q808" s="8">
        <f t="shared" si="129"/>
        <v>4</v>
      </c>
      <c r="R808" s="8">
        <f t="shared" si="130"/>
        <v>53.333333333333329</v>
      </c>
      <c r="S808" s="8">
        <f t="shared" si="124"/>
        <v>57.333333333333329</v>
      </c>
      <c r="T808" s="22">
        <f t="shared" si="118"/>
        <v>8.1537186167693037</v>
      </c>
      <c r="U808" s="19">
        <f t="shared" si="119"/>
        <v>5219.4524218379884</v>
      </c>
      <c r="V808" s="27" t="s">
        <v>2982</v>
      </c>
    </row>
    <row r="809" spans="1:22" ht="15" customHeight="1" x14ac:dyDescent="0.25">
      <c r="A809" t="s">
        <v>518</v>
      </c>
      <c r="B809" t="s">
        <v>876</v>
      </c>
      <c r="C809" t="s">
        <v>2493</v>
      </c>
      <c r="D809" t="s">
        <v>2497</v>
      </c>
      <c r="E809" t="s">
        <v>893</v>
      </c>
      <c r="F809" s="5">
        <v>100</v>
      </c>
      <c r="G809" t="s">
        <v>895</v>
      </c>
      <c r="H809" s="3">
        <v>15</v>
      </c>
      <c r="I809" s="3">
        <v>25</v>
      </c>
      <c r="J809" s="3">
        <v>20</v>
      </c>
      <c r="K809" s="3">
        <v>1</v>
      </c>
      <c r="L809">
        <f t="shared" si="122"/>
        <v>7.4999999999999997E-3</v>
      </c>
      <c r="M809">
        <f t="shared" si="117"/>
        <v>0.82499999999999996</v>
      </c>
      <c r="N809" s="8">
        <v>110</v>
      </c>
      <c r="O809" s="14">
        <f t="shared" si="123"/>
        <v>11000</v>
      </c>
      <c r="P809" s="8">
        <v>25</v>
      </c>
      <c r="Q809" s="8">
        <f t="shared" si="129"/>
        <v>4.4000000000000004</v>
      </c>
      <c r="R809" s="8">
        <f t="shared" si="130"/>
        <v>91.666666666666657</v>
      </c>
      <c r="S809" s="8">
        <f t="shared" si="124"/>
        <v>96.066666666666663</v>
      </c>
      <c r="T809" s="22">
        <f t="shared" si="118"/>
        <v>8.1418758882046429</v>
      </c>
      <c r="U809" s="19">
        <f t="shared" si="119"/>
        <v>5227.594297726193</v>
      </c>
      <c r="V809" s="27" t="s">
        <v>2982</v>
      </c>
    </row>
    <row r="810" spans="1:22" ht="15" customHeight="1" x14ac:dyDescent="0.25">
      <c r="A810" t="s">
        <v>518</v>
      </c>
      <c r="B810" t="s">
        <v>876</v>
      </c>
      <c r="C810" t="s">
        <v>2503</v>
      </c>
      <c r="D810" t="s">
        <v>897</v>
      </c>
      <c r="E810" t="s">
        <v>234</v>
      </c>
      <c r="F810" s="5">
        <v>100</v>
      </c>
      <c r="G810" t="s">
        <v>898</v>
      </c>
      <c r="H810" s="3">
        <v>20</v>
      </c>
      <c r="I810" s="3">
        <v>25</v>
      </c>
      <c r="J810" s="3">
        <v>15</v>
      </c>
      <c r="K810">
        <v>0.5</v>
      </c>
      <c r="L810">
        <f t="shared" si="122"/>
        <v>7.4999999999999997E-3</v>
      </c>
      <c r="M810">
        <f t="shared" si="117"/>
        <v>0.82499999999999996</v>
      </c>
      <c r="N810" s="8">
        <v>110</v>
      </c>
      <c r="O810" s="14">
        <f t="shared" si="123"/>
        <v>11000</v>
      </c>
      <c r="P810" s="8">
        <v>25</v>
      </c>
      <c r="Q810" s="8">
        <f t="shared" si="129"/>
        <v>4.4000000000000004</v>
      </c>
      <c r="R810" s="8">
        <f t="shared" si="130"/>
        <v>91.666666666666657</v>
      </c>
      <c r="S810" s="8">
        <f t="shared" si="124"/>
        <v>96.066666666666663</v>
      </c>
      <c r="T810" s="22">
        <f t="shared" si="118"/>
        <v>8.1418758882046429</v>
      </c>
      <c r="U810" s="19">
        <f t="shared" si="119"/>
        <v>5235.7361736143976</v>
      </c>
      <c r="V810" s="27" t="s">
        <v>2982</v>
      </c>
    </row>
    <row r="811" spans="1:22" ht="15" customHeight="1" x14ac:dyDescent="0.25">
      <c r="A811" t="s">
        <v>518</v>
      </c>
      <c r="B811" t="s">
        <v>876</v>
      </c>
      <c r="C811" t="s">
        <v>2503</v>
      </c>
      <c r="D811" t="s">
        <v>899</v>
      </c>
      <c r="E811" t="s">
        <v>234</v>
      </c>
      <c r="F811" s="5">
        <v>100</v>
      </c>
      <c r="G811" t="s">
        <v>898</v>
      </c>
      <c r="H811" s="3">
        <v>20</v>
      </c>
      <c r="I811" s="3">
        <v>25</v>
      </c>
      <c r="J811" s="3">
        <v>15</v>
      </c>
      <c r="K811">
        <v>0.5</v>
      </c>
      <c r="L811">
        <f t="shared" si="122"/>
        <v>7.4999999999999997E-3</v>
      </c>
      <c r="M811">
        <f t="shared" si="117"/>
        <v>0.82499999999999996</v>
      </c>
      <c r="N811" s="8">
        <v>110</v>
      </c>
      <c r="O811" s="14">
        <f t="shared" si="123"/>
        <v>11000</v>
      </c>
      <c r="P811" s="8">
        <v>25</v>
      </c>
      <c r="Q811" s="8">
        <f t="shared" si="129"/>
        <v>4.4000000000000004</v>
      </c>
      <c r="R811" s="8">
        <f t="shared" si="130"/>
        <v>91.666666666666657</v>
      </c>
      <c r="S811" s="8">
        <f t="shared" si="124"/>
        <v>96.066666666666663</v>
      </c>
      <c r="T811" s="22">
        <f t="shared" si="118"/>
        <v>8.1418758882046429</v>
      </c>
      <c r="U811" s="19">
        <f t="shared" si="119"/>
        <v>5243.8780495026022</v>
      </c>
      <c r="V811" s="27" t="s">
        <v>2982</v>
      </c>
    </row>
    <row r="812" spans="1:22" ht="15" customHeight="1" x14ac:dyDescent="0.25">
      <c r="A812" t="s">
        <v>518</v>
      </c>
      <c r="B812" t="s">
        <v>1091</v>
      </c>
      <c r="C812" t="s">
        <v>2110</v>
      </c>
      <c r="D812" t="s">
        <v>2111</v>
      </c>
      <c r="E812" t="s">
        <v>234</v>
      </c>
      <c r="F812" s="5">
        <v>218</v>
      </c>
      <c r="G812" t="s">
        <v>512</v>
      </c>
      <c r="H812" s="3">
        <v>30</v>
      </c>
      <c r="I812" s="3">
        <v>35</v>
      </c>
      <c r="J812" s="3">
        <v>20</v>
      </c>
      <c r="K812" s="3">
        <v>1.5</v>
      </c>
      <c r="L812">
        <f t="shared" si="122"/>
        <v>2.1000000000000001E-2</v>
      </c>
      <c r="M812">
        <f t="shared" si="117"/>
        <v>1.05</v>
      </c>
      <c r="N812" s="8">
        <v>50</v>
      </c>
      <c r="O812" s="14">
        <f t="shared" si="123"/>
        <v>10900</v>
      </c>
      <c r="P812" s="8">
        <v>20</v>
      </c>
      <c r="Q812" s="8">
        <f t="shared" si="129"/>
        <v>2.5</v>
      </c>
      <c r="R812" s="8">
        <f t="shared" si="130"/>
        <v>33.333333333333336</v>
      </c>
      <c r="S812" s="8">
        <f t="shared" si="124"/>
        <v>35.833333333333336</v>
      </c>
      <c r="T812" s="22">
        <f t="shared" si="118"/>
        <v>8.0678588346755102</v>
      </c>
      <c r="U812" s="19">
        <f t="shared" si="119"/>
        <v>5251.9459083372776</v>
      </c>
      <c r="V812" s="27" t="s">
        <v>2982</v>
      </c>
    </row>
    <row r="813" spans="1:22" ht="15" customHeight="1" x14ac:dyDescent="0.25">
      <c r="A813" t="s">
        <v>518</v>
      </c>
      <c r="B813" t="s">
        <v>1091</v>
      </c>
      <c r="C813" t="s">
        <v>2179</v>
      </c>
      <c r="D813" t="s">
        <v>2180</v>
      </c>
      <c r="E813" t="s">
        <v>234</v>
      </c>
      <c r="F813" s="5">
        <v>98.6</v>
      </c>
      <c r="G813" t="s">
        <v>867</v>
      </c>
      <c r="H813" s="3">
        <v>60</v>
      </c>
      <c r="I813" s="3">
        <v>80</v>
      </c>
      <c r="J813" s="3">
        <v>15</v>
      </c>
      <c r="K813" s="3">
        <v>1</v>
      </c>
      <c r="L813">
        <f t="shared" si="122"/>
        <v>7.1999999999999995E-2</v>
      </c>
      <c r="M813">
        <f t="shared" si="117"/>
        <v>7.919999999999999</v>
      </c>
      <c r="N813" s="8">
        <v>110</v>
      </c>
      <c r="O813" s="14">
        <f t="shared" si="123"/>
        <v>10846</v>
      </c>
      <c r="P813" s="8">
        <v>20</v>
      </c>
      <c r="Q813" s="8">
        <f t="shared" si="129"/>
        <v>5.5</v>
      </c>
      <c r="R813" s="8">
        <f t="shared" si="130"/>
        <v>73.333333333333329</v>
      </c>
      <c r="S813" s="8">
        <f t="shared" si="124"/>
        <v>78.833333333333329</v>
      </c>
      <c r="T813" s="22">
        <f t="shared" si="118"/>
        <v>8.0278896257697774</v>
      </c>
      <c r="U813" s="19">
        <f t="shared" si="119"/>
        <v>5259.9737979630472</v>
      </c>
      <c r="V813" s="27" t="s">
        <v>2982</v>
      </c>
    </row>
    <row r="814" spans="1:22" ht="15" customHeight="1" x14ac:dyDescent="0.25">
      <c r="A814" t="s">
        <v>518</v>
      </c>
      <c r="B814" t="s">
        <v>1091</v>
      </c>
      <c r="C814" t="s">
        <v>2181</v>
      </c>
      <c r="D814" t="s">
        <v>2180</v>
      </c>
      <c r="E814" t="s">
        <v>234</v>
      </c>
      <c r="F814" s="5">
        <v>98.6</v>
      </c>
      <c r="G814" t="s">
        <v>867</v>
      </c>
      <c r="H814" s="3">
        <v>60</v>
      </c>
      <c r="I814" s="3">
        <v>80</v>
      </c>
      <c r="J814" s="3">
        <v>15</v>
      </c>
      <c r="K814" s="3">
        <v>1</v>
      </c>
      <c r="L814">
        <f t="shared" si="122"/>
        <v>7.1999999999999995E-2</v>
      </c>
      <c r="M814">
        <f t="shared" ref="M814:M877" si="131">L814*N814</f>
        <v>7.919999999999999</v>
      </c>
      <c r="N814" s="8">
        <v>110</v>
      </c>
      <c r="O814" s="14">
        <f t="shared" si="123"/>
        <v>10846</v>
      </c>
      <c r="P814" s="8">
        <v>20</v>
      </c>
      <c r="Q814" s="8">
        <f t="shared" si="129"/>
        <v>5.5</v>
      </c>
      <c r="R814" s="8">
        <f t="shared" si="130"/>
        <v>73.333333333333329</v>
      </c>
      <c r="S814" s="8">
        <f t="shared" si="124"/>
        <v>78.833333333333329</v>
      </c>
      <c r="T814" s="22">
        <f t="shared" si="118"/>
        <v>8.0278896257697774</v>
      </c>
      <c r="U814" s="19">
        <f t="shared" si="119"/>
        <v>5268.0016875888168</v>
      </c>
      <c r="V814" s="27" t="s">
        <v>2982</v>
      </c>
    </row>
    <row r="815" spans="1:22" ht="15" customHeight="1" x14ac:dyDescent="0.25">
      <c r="A815" t="s">
        <v>518</v>
      </c>
      <c r="B815" t="s">
        <v>637</v>
      </c>
      <c r="C815" t="s">
        <v>2253</v>
      </c>
      <c r="D815" t="s">
        <v>2256</v>
      </c>
      <c r="E815" t="s">
        <v>234</v>
      </c>
      <c r="F815" s="5">
        <v>135</v>
      </c>
      <c r="G815" t="s">
        <v>639</v>
      </c>
      <c r="H815" s="3">
        <v>15</v>
      </c>
      <c r="I815" s="3">
        <v>20</v>
      </c>
      <c r="J815" s="3">
        <v>25</v>
      </c>
      <c r="K815" s="3">
        <v>5</v>
      </c>
      <c r="L815">
        <f t="shared" si="122"/>
        <v>7.4999999999999997E-3</v>
      </c>
      <c r="M815">
        <f t="shared" si="131"/>
        <v>0.6</v>
      </c>
      <c r="N815" s="8">
        <v>80</v>
      </c>
      <c r="O815" s="14">
        <f t="shared" si="123"/>
        <v>10800</v>
      </c>
      <c r="P815" s="8">
        <v>20</v>
      </c>
      <c r="Q815" s="8">
        <f t="shared" si="129"/>
        <v>4</v>
      </c>
      <c r="R815" s="8">
        <f t="shared" si="130"/>
        <v>53.333333333333329</v>
      </c>
      <c r="S815" s="8">
        <f t="shared" si="124"/>
        <v>57.333333333333329</v>
      </c>
      <c r="T815" s="22">
        <f t="shared" si="118"/>
        <v>7.9938417811463767</v>
      </c>
      <c r="U815" s="19">
        <f t="shared" si="119"/>
        <v>5275.9955293699632</v>
      </c>
      <c r="V815" s="27" t="s">
        <v>2982</v>
      </c>
    </row>
    <row r="816" spans="1:22" ht="15" customHeight="1" x14ac:dyDescent="0.25">
      <c r="A816" t="s">
        <v>518</v>
      </c>
      <c r="B816" t="s">
        <v>637</v>
      </c>
      <c r="C816" t="s">
        <v>2284</v>
      </c>
      <c r="D816" t="s">
        <v>2287</v>
      </c>
      <c r="E816" t="s">
        <v>24</v>
      </c>
      <c r="F816" s="5">
        <v>131.9</v>
      </c>
      <c r="G816" t="s">
        <v>693</v>
      </c>
      <c r="H816" s="3">
        <v>10</v>
      </c>
      <c r="I816" s="3">
        <v>15</v>
      </c>
      <c r="J816" s="3">
        <v>10</v>
      </c>
      <c r="K816" s="3">
        <v>2</v>
      </c>
      <c r="L816">
        <f t="shared" si="122"/>
        <v>1.5E-3</v>
      </c>
      <c r="M816">
        <f t="shared" si="131"/>
        <v>0.12</v>
      </c>
      <c r="N816" s="8">
        <v>80</v>
      </c>
      <c r="O816" s="14">
        <f t="shared" si="123"/>
        <v>10552</v>
      </c>
      <c r="P816" s="8">
        <v>20</v>
      </c>
      <c r="Q816" s="8">
        <f t="shared" si="129"/>
        <v>4</v>
      </c>
      <c r="R816" s="8">
        <f t="shared" si="130"/>
        <v>53.333333333333329</v>
      </c>
      <c r="S816" s="8">
        <f t="shared" si="124"/>
        <v>57.333333333333329</v>
      </c>
      <c r="T816" s="22">
        <f t="shared" si="118"/>
        <v>7.8102794883941264</v>
      </c>
      <c r="U816" s="19">
        <f t="shared" si="119"/>
        <v>5283.8058088583575</v>
      </c>
      <c r="V816" s="27" t="s">
        <v>2982</v>
      </c>
    </row>
    <row r="817" spans="1:22" ht="15" customHeight="1" x14ac:dyDescent="0.25">
      <c r="A817" t="s">
        <v>518</v>
      </c>
      <c r="B817" t="s">
        <v>1090</v>
      </c>
      <c r="C817" t="s">
        <v>2460</v>
      </c>
      <c r="D817" t="s">
        <v>742</v>
      </c>
      <c r="E817" t="s">
        <v>234</v>
      </c>
      <c r="F817" s="5">
        <v>2100</v>
      </c>
      <c r="G817" t="s">
        <v>2421</v>
      </c>
      <c r="H817" s="3">
        <v>40</v>
      </c>
      <c r="I817" s="3">
        <v>20</v>
      </c>
      <c r="J817" s="3">
        <v>40</v>
      </c>
      <c r="K817" s="3">
        <v>20</v>
      </c>
      <c r="L817">
        <f t="shared" si="122"/>
        <v>3.2000000000000001E-2</v>
      </c>
      <c r="M817">
        <f t="shared" si="131"/>
        <v>0.16</v>
      </c>
      <c r="N817" s="8">
        <v>5</v>
      </c>
      <c r="O817" s="14">
        <f t="shared" si="123"/>
        <v>10500</v>
      </c>
      <c r="P817" s="8">
        <v>20</v>
      </c>
      <c r="Q817" s="8">
        <f t="shared" si="129"/>
        <v>0.25</v>
      </c>
      <c r="R817" s="8">
        <f t="shared" si="130"/>
        <v>3.333333333333333</v>
      </c>
      <c r="S817" s="8">
        <f t="shared" si="124"/>
        <v>3.583333333333333</v>
      </c>
      <c r="T817" s="22">
        <f t="shared" si="118"/>
        <v>7.7717906205589768</v>
      </c>
      <c r="U817" s="19">
        <f t="shared" si="119"/>
        <v>5291.5775994789165</v>
      </c>
      <c r="V817" s="27" t="s">
        <v>2982</v>
      </c>
    </row>
    <row r="818" spans="1:22" ht="15" customHeight="1" x14ac:dyDescent="0.25">
      <c r="A818" t="s">
        <v>518</v>
      </c>
      <c r="B818" t="s">
        <v>1090</v>
      </c>
      <c r="C818" t="s">
        <v>2467</v>
      </c>
      <c r="D818" t="s">
        <v>742</v>
      </c>
      <c r="E818" t="s">
        <v>234</v>
      </c>
      <c r="F818" s="5">
        <v>2100</v>
      </c>
      <c r="G818" t="s">
        <v>2421</v>
      </c>
      <c r="H818" s="3">
        <v>40</v>
      </c>
      <c r="I818" s="3">
        <v>25</v>
      </c>
      <c r="J818" s="3">
        <v>40</v>
      </c>
      <c r="K818" s="3">
        <v>20</v>
      </c>
      <c r="L818">
        <f t="shared" si="122"/>
        <v>0.04</v>
      </c>
      <c r="M818">
        <f t="shared" si="131"/>
        <v>0.2</v>
      </c>
      <c r="N818" s="8">
        <v>5</v>
      </c>
      <c r="O818" s="14">
        <f t="shared" si="123"/>
        <v>10500</v>
      </c>
      <c r="P818" s="8">
        <v>20</v>
      </c>
      <c r="Q818" s="8">
        <f t="shared" si="129"/>
        <v>0.25</v>
      </c>
      <c r="R818" s="8">
        <f t="shared" si="130"/>
        <v>3.333333333333333</v>
      </c>
      <c r="S818" s="8">
        <f t="shared" si="124"/>
        <v>3.583333333333333</v>
      </c>
      <c r="T818" s="22">
        <f t="shared" si="118"/>
        <v>7.7717906205589768</v>
      </c>
      <c r="U818" s="19">
        <f t="shared" si="119"/>
        <v>5299.3493900994754</v>
      </c>
      <c r="V818" s="27" t="s">
        <v>2982</v>
      </c>
    </row>
    <row r="819" spans="1:22" ht="15" customHeight="1" x14ac:dyDescent="0.25">
      <c r="A819" t="s">
        <v>518</v>
      </c>
      <c r="B819" t="s">
        <v>519</v>
      </c>
      <c r="C819" t="s">
        <v>525</v>
      </c>
      <c r="D819" t="s">
        <v>526</v>
      </c>
      <c r="E819" t="s">
        <v>234</v>
      </c>
      <c r="F819" s="5">
        <v>30</v>
      </c>
      <c r="G819" t="s">
        <v>522</v>
      </c>
      <c r="H819" s="3">
        <v>20</v>
      </c>
      <c r="I819" s="3">
        <v>15</v>
      </c>
      <c r="J819" s="3">
        <v>20</v>
      </c>
      <c r="K819" s="3">
        <v>1</v>
      </c>
      <c r="L819">
        <f t="shared" si="122"/>
        <v>6.0000000000000001E-3</v>
      </c>
      <c r="M819">
        <f t="shared" si="131"/>
        <v>2.1</v>
      </c>
      <c r="N819" s="8">
        <v>350</v>
      </c>
      <c r="O819" s="14">
        <f t="shared" si="123"/>
        <v>10500</v>
      </c>
      <c r="P819" s="8">
        <v>25</v>
      </c>
      <c r="Q819" s="8">
        <f>P819/N819</f>
        <v>7.1428571428571425E-2</v>
      </c>
      <c r="R819" s="8">
        <f>P819+Q819</f>
        <v>25.071428571428573</v>
      </c>
      <c r="S819" s="8">
        <f t="shared" si="124"/>
        <v>25.142857142857146</v>
      </c>
      <c r="T819" s="22">
        <f t="shared" si="118"/>
        <v>7.7717906205589768</v>
      </c>
      <c r="U819" s="19">
        <f t="shared" si="119"/>
        <v>5307.1211807200343</v>
      </c>
      <c r="V819" s="27" t="s">
        <v>2982</v>
      </c>
    </row>
    <row r="820" spans="1:22" ht="15" customHeight="1" x14ac:dyDescent="0.25">
      <c r="A820" t="s">
        <v>518</v>
      </c>
      <c r="B820" t="s">
        <v>519</v>
      </c>
      <c r="C820" t="s">
        <v>595</v>
      </c>
      <c r="D820" t="s">
        <v>596</v>
      </c>
      <c r="E820" t="s">
        <v>234</v>
      </c>
      <c r="F820" s="5">
        <v>30</v>
      </c>
      <c r="G820" t="s">
        <v>588</v>
      </c>
      <c r="H820" s="3">
        <v>10</v>
      </c>
      <c r="I820" s="3">
        <v>15</v>
      </c>
      <c r="J820" s="3">
        <v>10</v>
      </c>
      <c r="K820" s="3">
        <v>1</v>
      </c>
      <c r="L820">
        <f t="shared" si="122"/>
        <v>1.5E-3</v>
      </c>
      <c r="M820">
        <f t="shared" si="131"/>
        <v>0.52500000000000002</v>
      </c>
      <c r="N820" s="8">
        <v>350</v>
      </c>
      <c r="O820" s="14">
        <f t="shared" si="123"/>
        <v>10500</v>
      </c>
      <c r="P820" s="8">
        <v>25</v>
      </c>
      <c r="Q820" s="8">
        <f>P820/N820</f>
        <v>7.1428571428571425E-2</v>
      </c>
      <c r="R820" s="8">
        <f>P820+Q820</f>
        <v>25.071428571428573</v>
      </c>
      <c r="S820" s="8">
        <f t="shared" si="124"/>
        <v>25.142857142857146</v>
      </c>
      <c r="T820" s="22">
        <f t="shared" si="118"/>
        <v>7.7717906205589768</v>
      </c>
      <c r="U820" s="19">
        <f t="shared" si="119"/>
        <v>5314.8929713405932</v>
      </c>
      <c r="V820" s="27" t="s">
        <v>2982</v>
      </c>
    </row>
    <row r="821" spans="1:22" ht="15" customHeight="1" x14ac:dyDescent="0.25">
      <c r="A821" t="s">
        <v>518</v>
      </c>
      <c r="B821" t="s">
        <v>1090</v>
      </c>
      <c r="C821" t="s">
        <v>2352</v>
      </c>
      <c r="D821" t="s">
        <v>2357</v>
      </c>
      <c r="E821" t="s">
        <v>234</v>
      </c>
      <c r="F821" s="5">
        <v>2000</v>
      </c>
      <c r="G821" t="s">
        <v>2354</v>
      </c>
      <c r="H821" s="3">
        <v>100</v>
      </c>
      <c r="I821" s="3">
        <v>100</v>
      </c>
      <c r="J821" s="3">
        <v>100</v>
      </c>
      <c r="K821" s="3">
        <v>48</v>
      </c>
      <c r="L821">
        <f t="shared" si="122"/>
        <v>1</v>
      </c>
      <c r="M821">
        <f t="shared" si="131"/>
        <v>5</v>
      </c>
      <c r="N821" s="8">
        <v>5</v>
      </c>
      <c r="O821" s="14">
        <f t="shared" si="123"/>
        <v>10000</v>
      </c>
      <c r="P821" s="8">
        <v>20</v>
      </c>
      <c r="Q821" s="8">
        <f>N821/P821</f>
        <v>0.25</v>
      </c>
      <c r="R821" s="8">
        <f>(N821/30)*P821</f>
        <v>3.333333333333333</v>
      </c>
      <c r="S821" s="8">
        <f t="shared" si="124"/>
        <v>3.583333333333333</v>
      </c>
      <c r="T821" s="22">
        <f t="shared" ref="T821:T884" si="132">O821/O$1749</f>
        <v>7.4017053529133117</v>
      </c>
      <c r="U821" s="19">
        <f t="shared" ref="U821:U884" si="133">U820+T821</f>
        <v>5322.2946766935065</v>
      </c>
      <c r="V821" s="27" t="s">
        <v>2982</v>
      </c>
    </row>
    <row r="822" spans="1:22" ht="15" customHeight="1" x14ac:dyDescent="0.25">
      <c r="A822" t="s">
        <v>518</v>
      </c>
      <c r="B822" t="s">
        <v>1090</v>
      </c>
      <c r="C822" t="s">
        <v>2413</v>
      </c>
      <c r="D822" t="s">
        <v>2414</v>
      </c>
      <c r="E822" t="s">
        <v>234</v>
      </c>
      <c r="F822" s="5">
        <v>2000</v>
      </c>
      <c r="G822" t="s">
        <v>683</v>
      </c>
      <c r="H822" s="3">
        <v>30</v>
      </c>
      <c r="I822" s="3">
        <v>25</v>
      </c>
      <c r="J822" s="3">
        <v>115</v>
      </c>
      <c r="K822" s="3">
        <v>15</v>
      </c>
      <c r="L822">
        <f t="shared" si="122"/>
        <v>8.6249999999999993E-2</v>
      </c>
      <c r="M822">
        <f t="shared" si="131"/>
        <v>0.43124999999999997</v>
      </c>
      <c r="N822" s="8">
        <v>5</v>
      </c>
      <c r="O822" s="14">
        <f t="shared" si="123"/>
        <v>10000</v>
      </c>
      <c r="P822" s="8">
        <v>20</v>
      </c>
      <c r="Q822" s="8">
        <f>N822/P822</f>
        <v>0.25</v>
      </c>
      <c r="R822" s="8">
        <f>(N822/30)*P822</f>
        <v>3.333333333333333</v>
      </c>
      <c r="S822" s="8">
        <f t="shared" si="124"/>
        <v>3.583333333333333</v>
      </c>
      <c r="T822" s="22">
        <f t="shared" si="132"/>
        <v>7.4017053529133117</v>
      </c>
      <c r="U822" s="19">
        <f t="shared" si="133"/>
        <v>5329.6963820464198</v>
      </c>
      <c r="V822" s="27" t="s">
        <v>2982</v>
      </c>
    </row>
    <row r="823" spans="1:22" ht="15" customHeight="1" x14ac:dyDescent="0.25">
      <c r="A823" t="s">
        <v>518</v>
      </c>
      <c r="B823" t="s">
        <v>1090</v>
      </c>
      <c r="C823" t="s">
        <v>2434</v>
      </c>
      <c r="D823" t="s">
        <v>2414</v>
      </c>
      <c r="E823" t="s">
        <v>234</v>
      </c>
      <c r="F823" s="5">
        <v>2000</v>
      </c>
      <c r="G823" t="s">
        <v>2421</v>
      </c>
      <c r="H823" s="3">
        <v>60</v>
      </c>
      <c r="I823" s="3">
        <v>20</v>
      </c>
      <c r="J823" s="3">
        <v>60</v>
      </c>
      <c r="K823" s="3">
        <v>10</v>
      </c>
      <c r="L823">
        <f t="shared" si="122"/>
        <v>7.1999999999999995E-2</v>
      </c>
      <c r="M823">
        <f t="shared" si="131"/>
        <v>0.36</v>
      </c>
      <c r="N823" s="8">
        <v>5</v>
      </c>
      <c r="O823" s="14">
        <f t="shared" si="123"/>
        <v>10000</v>
      </c>
      <c r="P823" s="8">
        <v>20</v>
      </c>
      <c r="Q823" s="8">
        <f>N823/P823</f>
        <v>0.25</v>
      </c>
      <c r="R823" s="8">
        <f>(N823/30)*P823</f>
        <v>3.333333333333333</v>
      </c>
      <c r="S823" s="8">
        <f t="shared" si="124"/>
        <v>3.583333333333333</v>
      </c>
      <c r="T823" s="22">
        <f t="shared" si="132"/>
        <v>7.4017053529133117</v>
      </c>
      <c r="U823" s="19">
        <f t="shared" si="133"/>
        <v>5337.0980873993331</v>
      </c>
      <c r="V823" s="27" t="s">
        <v>2982</v>
      </c>
    </row>
    <row r="824" spans="1:22" ht="15" customHeight="1" x14ac:dyDescent="0.25">
      <c r="A824" t="s">
        <v>518</v>
      </c>
      <c r="B824" t="s">
        <v>519</v>
      </c>
      <c r="C824" t="s">
        <v>626</v>
      </c>
      <c r="D824" t="s">
        <v>628</v>
      </c>
      <c r="E824" t="s">
        <v>234</v>
      </c>
      <c r="F824" s="5">
        <v>28.4</v>
      </c>
      <c r="G824" t="s">
        <v>611</v>
      </c>
      <c r="H824" s="3">
        <v>15</v>
      </c>
      <c r="I824" s="3">
        <v>20</v>
      </c>
      <c r="J824" s="3">
        <v>10</v>
      </c>
      <c r="K824" s="3">
        <v>1</v>
      </c>
      <c r="L824">
        <f t="shared" si="122"/>
        <v>3.0000000000000001E-3</v>
      </c>
      <c r="M824">
        <f t="shared" si="131"/>
        <v>1.05</v>
      </c>
      <c r="N824" s="8">
        <v>350</v>
      </c>
      <c r="O824" s="14">
        <f t="shared" si="123"/>
        <v>9940</v>
      </c>
      <c r="P824" s="8">
        <v>25</v>
      </c>
      <c r="Q824" s="8">
        <f>P824/N824</f>
        <v>7.1428571428571425E-2</v>
      </c>
      <c r="R824" s="8">
        <f>P824+Q824</f>
        <v>25.071428571428573</v>
      </c>
      <c r="S824" s="8">
        <f t="shared" si="124"/>
        <v>25.142857142857146</v>
      </c>
      <c r="T824" s="22">
        <f t="shared" si="132"/>
        <v>7.3572951207958317</v>
      </c>
      <c r="U824" s="19">
        <f t="shared" si="133"/>
        <v>5344.4553825201292</v>
      </c>
      <c r="V824" s="27" t="s">
        <v>2982</v>
      </c>
    </row>
    <row r="825" spans="1:22" ht="15" customHeight="1" x14ac:dyDescent="0.25">
      <c r="A825" t="s">
        <v>518</v>
      </c>
      <c r="B825" t="s">
        <v>519</v>
      </c>
      <c r="C825" t="s">
        <v>597</v>
      </c>
      <c r="D825" t="s">
        <v>598</v>
      </c>
      <c r="E825" t="s">
        <v>234</v>
      </c>
      <c r="F825" s="5">
        <v>28</v>
      </c>
      <c r="G825" t="s">
        <v>588</v>
      </c>
      <c r="H825" s="3">
        <v>10</v>
      </c>
      <c r="I825" s="3">
        <v>15</v>
      </c>
      <c r="J825" s="3">
        <v>10</v>
      </c>
      <c r="K825" s="3">
        <v>1</v>
      </c>
      <c r="L825">
        <f t="shared" si="122"/>
        <v>1.5E-3</v>
      </c>
      <c r="M825">
        <f t="shared" si="131"/>
        <v>0.52500000000000002</v>
      </c>
      <c r="N825" s="8">
        <v>350</v>
      </c>
      <c r="O825" s="14">
        <f t="shared" si="123"/>
        <v>9800</v>
      </c>
      <c r="P825" s="8">
        <v>25</v>
      </c>
      <c r="Q825" s="8">
        <f>P825/N825</f>
        <v>7.1428571428571425E-2</v>
      </c>
      <c r="R825" s="8">
        <f>P825+Q825</f>
        <v>25.071428571428573</v>
      </c>
      <c r="S825" s="8">
        <f t="shared" si="124"/>
        <v>25.142857142857146</v>
      </c>
      <c r="T825" s="22">
        <f t="shared" si="132"/>
        <v>7.2536712458550454</v>
      </c>
      <c r="U825" s="19">
        <f t="shared" si="133"/>
        <v>5351.7090537659842</v>
      </c>
      <c r="V825" s="27" t="s">
        <v>2982</v>
      </c>
    </row>
    <row r="826" spans="1:22" ht="15" customHeight="1" x14ac:dyDescent="0.25">
      <c r="A826" t="s">
        <v>518</v>
      </c>
      <c r="B826" t="s">
        <v>1090</v>
      </c>
      <c r="C826" t="s">
        <v>775</v>
      </c>
      <c r="D826" t="s">
        <v>576</v>
      </c>
      <c r="E826" t="s">
        <v>234</v>
      </c>
      <c r="F826" s="5">
        <v>1959</v>
      </c>
      <c r="G826" t="s">
        <v>678</v>
      </c>
      <c r="H826" s="3">
        <v>55</v>
      </c>
      <c r="I826" s="3">
        <v>115</v>
      </c>
      <c r="J826" s="3">
        <v>49</v>
      </c>
      <c r="K826" s="3">
        <v>10.5</v>
      </c>
      <c r="L826">
        <f t="shared" si="122"/>
        <v>0.30992500000000001</v>
      </c>
      <c r="M826">
        <f t="shared" si="131"/>
        <v>1.549625</v>
      </c>
      <c r="N826" s="8">
        <v>5</v>
      </c>
      <c r="O826" s="14">
        <f t="shared" si="123"/>
        <v>9795</v>
      </c>
      <c r="P826" s="8">
        <v>20</v>
      </c>
      <c r="Q826" s="8">
        <f>N826/P826</f>
        <v>0.25</v>
      </c>
      <c r="R826" s="8">
        <f>(N826/30)*P826</f>
        <v>3.333333333333333</v>
      </c>
      <c r="S826" s="8">
        <f t="shared" si="124"/>
        <v>3.583333333333333</v>
      </c>
      <c r="T826" s="22">
        <f t="shared" si="132"/>
        <v>7.2499703931785886</v>
      </c>
      <c r="U826" s="19">
        <f t="shared" si="133"/>
        <v>5358.9590241591632</v>
      </c>
      <c r="V826" s="27" t="s">
        <v>2982</v>
      </c>
    </row>
    <row r="827" spans="1:22" ht="15" customHeight="1" x14ac:dyDescent="0.25">
      <c r="A827" t="s">
        <v>518</v>
      </c>
      <c r="B827" t="s">
        <v>519</v>
      </c>
      <c r="C827" t="s">
        <v>533</v>
      </c>
      <c r="D827" t="s">
        <v>534</v>
      </c>
      <c r="E827" t="s">
        <v>234</v>
      </c>
      <c r="F827" s="5">
        <v>27.9</v>
      </c>
      <c r="G827" t="s">
        <v>522</v>
      </c>
      <c r="H827" s="3">
        <v>15</v>
      </c>
      <c r="I827" s="3">
        <v>20</v>
      </c>
      <c r="J827" s="3">
        <v>15</v>
      </c>
      <c r="K827" s="3">
        <v>1</v>
      </c>
      <c r="L827">
        <f t="shared" si="122"/>
        <v>4.4999999999999997E-3</v>
      </c>
      <c r="M827">
        <f t="shared" si="131"/>
        <v>1.575</v>
      </c>
      <c r="N827" s="8">
        <v>350</v>
      </c>
      <c r="O827" s="14">
        <f t="shared" si="123"/>
        <v>9765</v>
      </c>
      <c r="P827" s="8">
        <v>25</v>
      </c>
      <c r="Q827" s="8">
        <f>P827/N827</f>
        <v>7.1428571428571425E-2</v>
      </c>
      <c r="R827" s="8">
        <f>P827+Q827</f>
        <v>25.071428571428573</v>
      </c>
      <c r="S827" s="8">
        <f t="shared" si="124"/>
        <v>25.142857142857146</v>
      </c>
      <c r="T827" s="22">
        <f t="shared" si="132"/>
        <v>7.2277652771198486</v>
      </c>
      <c r="U827" s="19">
        <f t="shared" si="133"/>
        <v>5366.1867894362831</v>
      </c>
      <c r="V827" s="27" t="s">
        <v>2982</v>
      </c>
    </row>
    <row r="828" spans="1:22" ht="15" customHeight="1" x14ac:dyDescent="0.25">
      <c r="A828" t="s">
        <v>518</v>
      </c>
      <c r="B828" t="s">
        <v>519</v>
      </c>
      <c r="C828" t="s">
        <v>591</v>
      </c>
      <c r="D828" t="s">
        <v>592</v>
      </c>
      <c r="E828" t="s">
        <v>234</v>
      </c>
      <c r="F828" s="5">
        <v>27.9</v>
      </c>
      <c r="G828" t="s">
        <v>588</v>
      </c>
      <c r="H828" s="3">
        <v>10</v>
      </c>
      <c r="I828" s="3">
        <v>15</v>
      </c>
      <c r="J828" s="3">
        <v>10</v>
      </c>
      <c r="K828" s="3">
        <v>1</v>
      </c>
      <c r="L828">
        <f t="shared" si="122"/>
        <v>1.5E-3</v>
      </c>
      <c r="M828">
        <f t="shared" si="131"/>
        <v>0.52500000000000002</v>
      </c>
      <c r="N828" s="8">
        <v>350</v>
      </c>
      <c r="O828" s="14">
        <f t="shared" si="123"/>
        <v>9765</v>
      </c>
      <c r="P828" s="8">
        <v>25</v>
      </c>
      <c r="Q828" s="8">
        <f>P828/N828</f>
        <v>7.1428571428571425E-2</v>
      </c>
      <c r="R828" s="8">
        <f>P828+Q828</f>
        <v>25.071428571428573</v>
      </c>
      <c r="S828" s="8">
        <f t="shared" si="124"/>
        <v>25.142857142857146</v>
      </c>
      <c r="T828" s="22">
        <f t="shared" si="132"/>
        <v>7.2277652771198486</v>
      </c>
      <c r="U828" s="19">
        <f t="shared" si="133"/>
        <v>5373.414554713403</v>
      </c>
      <c r="V828" s="27" t="s">
        <v>2982</v>
      </c>
    </row>
    <row r="829" spans="1:22" ht="15" customHeight="1" x14ac:dyDescent="0.25">
      <c r="A829" t="s">
        <v>518</v>
      </c>
      <c r="B829" t="s">
        <v>1090</v>
      </c>
      <c r="C829" t="s">
        <v>2443</v>
      </c>
      <c r="D829" t="s">
        <v>2414</v>
      </c>
      <c r="E829" t="s">
        <v>234</v>
      </c>
      <c r="F829" s="5">
        <v>1950</v>
      </c>
      <c r="G829" t="s">
        <v>2421</v>
      </c>
      <c r="H829" s="3">
        <v>40</v>
      </c>
      <c r="I829" s="3">
        <v>25</v>
      </c>
      <c r="J829" s="3">
        <v>30</v>
      </c>
      <c r="K829" s="3">
        <v>10</v>
      </c>
      <c r="L829">
        <f t="shared" si="122"/>
        <v>0.03</v>
      </c>
      <c r="M829">
        <f t="shared" si="131"/>
        <v>0.15</v>
      </c>
      <c r="N829" s="8">
        <v>5</v>
      </c>
      <c r="O829" s="14">
        <f t="shared" si="123"/>
        <v>9750</v>
      </c>
      <c r="P829" s="8">
        <v>20</v>
      </c>
      <c r="Q829" s="8">
        <f>N829/P829</f>
        <v>0.25</v>
      </c>
      <c r="R829" s="8">
        <f>(N829/30)*P829</f>
        <v>3.333333333333333</v>
      </c>
      <c r="S829" s="8">
        <f t="shared" si="124"/>
        <v>3.583333333333333</v>
      </c>
      <c r="T829" s="22">
        <f t="shared" si="132"/>
        <v>7.2166627190904791</v>
      </c>
      <c r="U829" s="19">
        <f t="shared" si="133"/>
        <v>5380.6312174324939</v>
      </c>
      <c r="V829" s="27" t="s">
        <v>2982</v>
      </c>
    </row>
    <row r="830" spans="1:22" ht="15" customHeight="1" x14ac:dyDescent="0.25">
      <c r="A830" t="s">
        <v>518</v>
      </c>
      <c r="B830" t="s">
        <v>519</v>
      </c>
      <c r="C830" t="s">
        <v>626</v>
      </c>
      <c r="D830" t="s">
        <v>632</v>
      </c>
      <c r="E830" t="s">
        <v>234</v>
      </c>
      <c r="F830" s="5">
        <v>27.5</v>
      </c>
      <c r="G830" t="s">
        <v>588</v>
      </c>
      <c r="H830" s="3">
        <v>10</v>
      </c>
      <c r="I830" s="3">
        <v>15</v>
      </c>
      <c r="J830" s="3">
        <v>10</v>
      </c>
      <c r="K830" s="3">
        <v>1</v>
      </c>
      <c r="L830">
        <f t="shared" si="122"/>
        <v>1.5E-3</v>
      </c>
      <c r="M830">
        <f t="shared" si="131"/>
        <v>0.52500000000000002</v>
      </c>
      <c r="N830" s="8">
        <v>350</v>
      </c>
      <c r="O830" s="14">
        <f t="shared" si="123"/>
        <v>9625</v>
      </c>
      <c r="P830" s="8">
        <v>25</v>
      </c>
      <c r="Q830" s="8">
        <f>P830/N830</f>
        <v>7.1428571428571425E-2</v>
      </c>
      <c r="R830" s="8">
        <f>P830+Q830</f>
        <v>25.071428571428573</v>
      </c>
      <c r="S830" s="8">
        <f t="shared" si="124"/>
        <v>25.142857142857146</v>
      </c>
      <c r="T830" s="22">
        <f t="shared" si="132"/>
        <v>7.1241414021790623</v>
      </c>
      <c r="U830" s="19">
        <f t="shared" si="133"/>
        <v>5387.7553588346727</v>
      </c>
      <c r="V830" s="27" t="s">
        <v>2982</v>
      </c>
    </row>
    <row r="831" spans="1:22" ht="15" customHeight="1" x14ac:dyDescent="0.25">
      <c r="A831" t="s">
        <v>518</v>
      </c>
      <c r="B831" t="s">
        <v>1090</v>
      </c>
      <c r="C831" t="s">
        <v>784</v>
      </c>
      <c r="D831" t="s">
        <v>635</v>
      </c>
      <c r="E831" t="s">
        <v>234</v>
      </c>
      <c r="F831" s="5">
        <v>1917</v>
      </c>
      <c r="G831" t="s">
        <v>761</v>
      </c>
      <c r="H831" s="3">
        <v>125</v>
      </c>
      <c r="I831" s="3">
        <v>75</v>
      </c>
      <c r="J831" s="3">
        <v>4</v>
      </c>
      <c r="K831" s="3">
        <v>13.5</v>
      </c>
      <c r="L831">
        <f t="shared" si="122"/>
        <v>3.7499999999999999E-2</v>
      </c>
      <c r="M831">
        <f t="shared" si="131"/>
        <v>0.1875</v>
      </c>
      <c r="N831" s="8">
        <v>5</v>
      </c>
      <c r="O831" s="14">
        <f t="shared" si="123"/>
        <v>9585</v>
      </c>
      <c r="P831" s="8">
        <v>20</v>
      </c>
      <c r="Q831" s="8">
        <f>N831/P831</f>
        <v>0.25</v>
      </c>
      <c r="R831" s="8">
        <f>(N831/30)*P831</f>
        <v>3.333333333333333</v>
      </c>
      <c r="S831" s="8">
        <f t="shared" si="124"/>
        <v>3.583333333333333</v>
      </c>
      <c r="T831" s="22">
        <f t="shared" si="132"/>
        <v>7.0945345807674087</v>
      </c>
      <c r="U831" s="19">
        <f t="shared" si="133"/>
        <v>5394.8498934154404</v>
      </c>
      <c r="V831" s="27" t="s">
        <v>2982</v>
      </c>
    </row>
    <row r="832" spans="1:22" ht="15" customHeight="1" x14ac:dyDescent="0.25">
      <c r="A832" t="s">
        <v>518</v>
      </c>
      <c r="B832" t="s">
        <v>1090</v>
      </c>
      <c r="C832" t="s">
        <v>2411</v>
      </c>
      <c r="D832" t="s">
        <v>2412</v>
      </c>
      <c r="E832" t="s">
        <v>234</v>
      </c>
      <c r="F832" s="5">
        <v>1900</v>
      </c>
      <c r="G832" t="s">
        <v>140</v>
      </c>
      <c r="H832" s="3">
        <v>30</v>
      </c>
      <c r="I832" s="3">
        <v>25</v>
      </c>
      <c r="J832" s="3">
        <v>8</v>
      </c>
      <c r="K832" s="3">
        <v>30</v>
      </c>
      <c r="L832">
        <f t="shared" si="122"/>
        <v>6.0000000000000001E-3</v>
      </c>
      <c r="M832">
        <f t="shared" si="131"/>
        <v>0.03</v>
      </c>
      <c r="N832" s="8">
        <v>5</v>
      </c>
      <c r="O832" s="14">
        <f t="shared" si="123"/>
        <v>9500</v>
      </c>
      <c r="P832" s="8">
        <v>20</v>
      </c>
      <c r="Q832" s="8">
        <f>N832/P832</f>
        <v>0.25</v>
      </c>
      <c r="R832" s="8">
        <f>(N832/30)*P832</f>
        <v>3.333333333333333</v>
      </c>
      <c r="S832" s="8">
        <f t="shared" si="124"/>
        <v>3.583333333333333</v>
      </c>
      <c r="T832" s="22">
        <f t="shared" si="132"/>
        <v>7.0316200852676456</v>
      </c>
      <c r="U832" s="19">
        <f t="shared" si="133"/>
        <v>5401.881513500708</v>
      </c>
      <c r="V832" s="27" t="s">
        <v>2982</v>
      </c>
    </row>
    <row r="833" spans="1:22" ht="15" customHeight="1" x14ac:dyDescent="0.25">
      <c r="A833" t="s">
        <v>518</v>
      </c>
      <c r="B833" t="s">
        <v>1090</v>
      </c>
      <c r="C833" t="s">
        <v>2454</v>
      </c>
      <c r="D833" t="s">
        <v>2414</v>
      </c>
      <c r="E833" t="s">
        <v>234</v>
      </c>
      <c r="F833" s="5">
        <v>1800</v>
      </c>
      <c r="G833" t="s">
        <v>2421</v>
      </c>
      <c r="H833" s="3">
        <v>65</v>
      </c>
      <c r="I833" s="3">
        <v>40</v>
      </c>
      <c r="J833" s="3">
        <v>65</v>
      </c>
      <c r="K833" s="3">
        <v>40</v>
      </c>
      <c r="L833">
        <f t="shared" si="122"/>
        <v>0.16900000000000001</v>
      </c>
      <c r="M833">
        <f t="shared" si="131"/>
        <v>0.84500000000000008</v>
      </c>
      <c r="N833" s="8">
        <v>5</v>
      </c>
      <c r="O833" s="14">
        <f t="shared" si="123"/>
        <v>9000</v>
      </c>
      <c r="P833" s="8">
        <v>20</v>
      </c>
      <c r="Q833" s="8">
        <f>N833/P833</f>
        <v>0.25</v>
      </c>
      <c r="R833" s="8">
        <f>(N833/30)*P833</f>
        <v>3.333333333333333</v>
      </c>
      <c r="S833" s="8">
        <f t="shared" si="124"/>
        <v>3.583333333333333</v>
      </c>
      <c r="T833" s="22">
        <f t="shared" si="132"/>
        <v>6.6615348176219804</v>
      </c>
      <c r="U833" s="19">
        <f t="shared" si="133"/>
        <v>5408.54304831833</v>
      </c>
      <c r="V833" s="27" t="s">
        <v>2982</v>
      </c>
    </row>
    <row r="834" spans="1:22" ht="15" customHeight="1" x14ac:dyDescent="0.25">
      <c r="A834" t="s">
        <v>518</v>
      </c>
      <c r="B834" t="s">
        <v>1090</v>
      </c>
      <c r="C834" t="s">
        <v>765</v>
      </c>
      <c r="D834" t="s">
        <v>528</v>
      </c>
      <c r="E834" t="s">
        <v>234</v>
      </c>
      <c r="F834" s="5">
        <v>1758</v>
      </c>
      <c r="G834" t="s">
        <v>767</v>
      </c>
      <c r="H834" s="3">
        <v>40</v>
      </c>
      <c r="I834" s="3">
        <v>50</v>
      </c>
      <c r="J834" s="3">
        <v>72</v>
      </c>
      <c r="K834" s="3">
        <v>25.8</v>
      </c>
      <c r="L834">
        <f t="shared" ref="L834:L897" si="134">J834*I834*H834/1000000</f>
        <v>0.14399999999999999</v>
      </c>
      <c r="M834">
        <f t="shared" si="131"/>
        <v>0.72</v>
      </c>
      <c r="N834" s="8">
        <v>5</v>
      </c>
      <c r="O834" s="14">
        <f t="shared" ref="O834:O897" si="135">N834*F834</f>
        <v>8790</v>
      </c>
      <c r="P834" s="8">
        <v>20</v>
      </c>
      <c r="Q834" s="8">
        <f>N834/P834</f>
        <v>0.25</v>
      </c>
      <c r="R834" s="8">
        <f>(N834/30)*P834</f>
        <v>3.333333333333333</v>
      </c>
      <c r="S834" s="8">
        <f t="shared" ref="S834:S897" si="136">Q834+R834</f>
        <v>3.583333333333333</v>
      </c>
      <c r="T834" s="22">
        <f t="shared" si="132"/>
        <v>6.5060990052108005</v>
      </c>
      <c r="U834" s="19">
        <f t="shared" si="133"/>
        <v>5415.0491473235406</v>
      </c>
      <c r="V834" s="27" t="s">
        <v>2982</v>
      </c>
    </row>
    <row r="835" spans="1:22" ht="15" customHeight="1" x14ac:dyDescent="0.25">
      <c r="A835" t="s">
        <v>518</v>
      </c>
      <c r="B835" t="s">
        <v>519</v>
      </c>
      <c r="C835" t="s">
        <v>520</v>
      </c>
      <c r="D835" t="s">
        <v>521</v>
      </c>
      <c r="E835" t="s">
        <v>24</v>
      </c>
      <c r="F835" s="5">
        <v>25</v>
      </c>
      <c r="G835" t="s">
        <v>522</v>
      </c>
      <c r="H835" s="3">
        <v>5</v>
      </c>
      <c r="I835" s="3">
        <v>20</v>
      </c>
      <c r="J835" s="3">
        <v>10</v>
      </c>
      <c r="K835" s="3">
        <v>1</v>
      </c>
      <c r="L835">
        <f t="shared" si="134"/>
        <v>1E-3</v>
      </c>
      <c r="M835">
        <f t="shared" si="131"/>
        <v>0.35000000000000003</v>
      </c>
      <c r="N835" s="8">
        <v>350</v>
      </c>
      <c r="O835" s="14">
        <f t="shared" si="135"/>
        <v>8750</v>
      </c>
      <c r="P835" s="8">
        <v>25</v>
      </c>
      <c r="Q835" s="8">
        <f>P835/N835</f>
        <v>7.1428571428571425E-2</v>
      </c>
      <c r="R835" s="8">
        <f>P835+Q835</f>
        <v>25.071428571428573</v>
      </c>
      <c r="S835" s="8">
        <f t="shared" si="136"/>
        <v>25.142857142857146</v>
      </c>
      <c r="T835" s="22">
        <f t="shared" si="132"/>
        <v>6.4764921837991478</v>
      </c>
      <c r="U835" s="19">
        <f t="shared" si="133"/>
        <v>5421.5256395073402</v>
      </c>
      <c r="V835" s="27" t="s">
        <v>2982</v>
      </c>
    </row>
    <row r="836" spans="1:22" ht="15" customHeight="1" x14ac:dyDescent="0.25">
      <c r="A836" t="s">
        <v>518</v>
      </c>
      <c r="B836" t="s">
        <v>519</v>
      </c>
      <c r="C836" t="s">
        <v>589</v>
      </c>
      <c r="D836" t="s">
        <v>590</v>
      </c>
      <c r="E836" t="s">
        <v>234</v>
      </c>
      <c r="F836" s="5">
        <v>25</v>
      </c>
      <c r="G836" t="s">
        <v>588</v>
      </c>
      <c r="H836" s="3">
        <v>10</v>
      </c>
      <c r="I836" s="3">
        <v>20</v>
      </c>
      <c r="J836" s="3">
        <v>10</v>
      </c>
      <c r="K836" s="3">
        <v>1</v>
      </c>
      <c r="L836">
        <f t="shared" si="134"/>
        <v>2E-3</v>
      </c>
      <c r="M836">
        <f t="shared" si="131"/>
        <v>0.70000000000000007</v>
      </c>
      <c r="N836" s="8">
        <v>350</v>
      </c>
      <c r="O836" s="14">
        <f t="shared" si="135"/>
        <v>8750</v>
      </c>
      <c r="P836" s="8">
        <v>25</v>
      </c>
      <c r="Q836" s="8">
        <f>P836/N836</f>
        <v>7.1428571428571425E-2</v>
      </c>
      <c r="R836" s="8">
        <f>P836+Q836</f>
        <v>25.071428571428573</v>
      </c>
      <c r="S836" s="8">
        <f t="shared" si="136"/>
        <v>25.142857142857146</v>
      </c>
      <c r="T836" s="22">
        <f t="shared" si="132"/>
        <v>6.4764921837991478</v>
      </c>
      <c r="U836" s="19">
        <f t="shared" si="133"/>
        <v>5428.0021316911398</v>
      </c>
      <c r="V836" s="27" t="s">
        <v>2982</v>
      </c>
    </row>
    <row r="837" spans="1:22" ht="15" customHeight="1" x14ac:dyDescent="0.25">
      <c r="A837" t="s">
        <v>518</v>
      </c>
      <c r="B837" t="s">
        <v>1090</v>
      </c>
      <c r="C837" t="s">
        <v>2331</v>
      </c>
      <c r="D837" t="s">
        <v>2332</v>
      </c>
      <c r="E837" t="s">
        <v>2330</v>
      </c>
      <c r="F837" s="5">
        <v>1749</v>
      </c>
      <c r="G837" t="s">
        <v>683</v>
      </c>
      <c r="H837" s="3">
        <v>42</v>
      </c>
      <c r="I837" s="3">
        <v>600</v>
      </c>
      <c r="J837" s="3">
        <v>42</v>
      </c>
      <c r="K837" s="3">
        <v>233.04</v>
      </c>
      <c r="L837">
        <f t="shared" si="134"/>
        <v>1.0584</v>
      </c>
      <c r="M837">
        <f t="shared" si="131"/>
        <v>5.2919999999999998</v>
      </c>
      <c r="N837" s="8">
        <v>5</v>
      </c>
      <c r="O837" s="14">
        <f t="shared" si="135"/>
        <v>8745</v>
      </c>
      <c r="P837" s="8">
        <v>20</v>
      </c>
      <c r="Q837" s="8">
        <f>N837/P837</f>
        <v>0.25</v>
      </c>
      <c r="R837" s="8">
        <f>(N837/30)*P837</f>
        <v>3.333333333333333</v>
      </c>
      <c r="S837" s="8">
        <f t="shared" si="136"/>
        <v>3.583333333333333</v>
      </c>
      <c r="T837" s="22">
        <f t="shared" si="132"/>
        <v>6.472791331122691</v>
      </c>
      <c r="U837" s="19">
        <f t="shared" si="133"/>
        <v>5434.4749230222624</v>
      </c>
      <c r="V837" s="27" t="s">
        <v>2982</v>
      </c>
    </row>
    <row r="838" spans="1:22" ht="15" customHeight="1" x14ac:dyDescent="0.25">
      <c r="A838" t="s">
        <v>518</v>
      </c>
      <c r="B838" t="s">
        <v>1090</v>
      </c>
      <c r="C838" t="s">
        <v>2404</v>
      </c>
      <c r="D838" t="s">
        <v>2402</v>
      </c>
      <c r="E838" t="s">
        <v>234</v>
      </c>
      <c r="F838" s="5">
        <v>1745</v>
      </c>
      <c r="G838" t="s">
        <v>794</v>
      </c>
      <c r="H838" s="3">
        <v>45</v>
      </c>
      <c r="I838" s="3">
        <v>25</v>
      </c>
      <c r="J838" s="3">
        <v>8</v>
      </c>
      <c r="K838" s="3">
        <v>22</v>
      </c>
      <c r="L838">
        <f t="shared" si="134"/>
        <v>8.9999999999999993E-3</v>
      </c>
      <c r="M838">
        <f t="shared" si="131"/>
        <v>4.4999999999999998E-2</v>
      </c>
      <c r="N838" s="8">
        <v>5</v>
      </c>
      <c r="O838" s="14">
        <f t="shared" si="135"/>
        <v>8725</v>
      </c>
      <c r="P838" s="8">
        <v>20</v>
      </c>
      <c r="Q838" s="8">
        <f>N838/P838</f>
        <v>0.25</v>
      </c>
      <c r="R838" s="8">
        <f>(N838/30)*P838</f>
        <v>3.333333333333333</v>
      </c>
      <c r="S838" s="8">
        <f t="shared" si="136"/>
        <v>3.583333333333333</v>
      </c>
      <c r="T838" s="22">
        <f t="shared" si="132"/>
        <v>6.4579879204168646</v>
      </c>
      <c r="U838" s="19">
        <f t="shared" si="133"/>
        <v>5440.932910942679</v>
      </c>
      <c r="V838" s="27" t="s">
        <v>2982</v>
      </c>
    </row>
    <row r="839" spans="1:22" ht="15" customHeight="1" x14ac:dyDescent="0.25">
      <c r="A839" t="s">
        <v>518</v>
      </c>
      <c r="B839" t="s">
        <v>1090</v>
      </c>
      <c r="C839" t="s">
        <v>2439</v>
      </c>
      <c r="D839" t="s">
        <v>2414</v>
      </c>
      <c r="E839" t="s">
        <v>234</v>
      </c>
      <c r="F839" s="5">
        <v>1700</v>
      </c>
      <c r="G839" t="s">
        <v>2408</v>
      </c>
      <c r="H839" s="3">
        <v>45</v>
      </c>
      <c r="I839" s="3">
        <v>25</v>
      </c>
      <c r="J839" s="3">
        <v>45</v>
      </c>
      <c r="K839" s="3">
        <v>9</v>
      </c>
      <c r="L839">
        <f t="shared" si="134"/>
        <v>5.0625000000000003E-2</v>
      </c>
      <c r="M839">
        <f t="shared" si="131"/>
        <v>0.25312500000000004</v>
      </c>
      <c r="N839" s="8">
        <v>5</v>
      </c>
      <c r="O839" s="14">
        <f t="shared" si="135"/>
        <v>8500</v>
      </c>
      <c r="P839" s="8">
        <v>20</v>
      </c>
      <c r="Q839" s="8">
        <f>N839/P839</f>
        <v>0.25</v>
      </c>
      <c r="R839" s="8">
        <f>(N839/30)*P839</f>
        <v>3.333333333333333</v>
      </c>
      <c r="S839" s="8">
        <f t="shared" si="136"/>
        <v>3.583333333333333</v>
      </c>
      <c r="T839" s="22">
        <f t="shared" si="132"/>
        <v>6.2914495499763143</v>
      </c>
      <c r="U839" s="19">
        <f t="shared" si="133"/>
        <v>5447.2243604926553</v>
      </c>
      <c r="V839" s="27" t="s">
        <v>2982</v>
      </c>
    </row>
    <row r="840" spans="1:22" ht="15" customHeight="1" x14ac:dyDescent="0.25">
      <c r="A840" t="s">
        <v>518</v>
      </c>
      <c r="B840" t="s">
        <v>519</v>
      </c>
      <c r="C840" t="s">
        <v>529</v>
      </c>
      <c r="D840" t="s">
        <v>530</v>
      </c>
      <c r="E840" t="s">
        <v>234</v>
      </c>
      <c r="F840" s="5">
        <v>24.25</v>
      </c>
      <c r="G840" t="s">
        <v>522</v>
      </c>
      <c r="H840" s="3">
        <v>15</v>
      </c>
      <c r="I840" s="3">
        <v>15</v>
      </c>
      <c r="J840" s="3">
        <v>20</v>
      </c>
      <c r="K840" s="3">
        <v>1</v>
      </c>
      <c r="L840">
        <f t="shared" si="134"/>
        <v>4.4999999999999997E-3</v>
      </c>
      <c r="M840">
        <f t="shared" si="131"/>
        <v>1.575</v>
      </c>
      <c r="N840" s="8">
        <v>350</v>
      </c>
      <c r="O840" s="14">
        <f t="shared" si="135"/>
        <v>8487.5</v>
      </c>
      <c r="P840" s="8">
        <v>25</v>
      </c>
      <c r="Q840" s="8">
        <f>P840/N840</f>
        <v>7.1428571428571425E-2</v>
      </c>
      <c r="R840" s="8">
        <f>P840+Q840</f>
        <v>25.071428571428573</v>
      </c>
      <c r="S840" s="8">
        <f t="shared" si="136"/>
        <v>25.142857142857146</v>
      </c>
      <c r="T840" s="22">
        <f t="shared" si="132"/>
        <v>6.2821974182851728</v>
      </c>
      <c r="U840" s="19">
        <f t="shared" si="133"/>
        <v>5453.5065579109405</v>
      </c>
      <c r="V840" s="27" t="s">
        <v>2982</v>
      </c>
    </row>
    <row r="841" spans="1:22" ht="15" customHeight="1" x14ac:dyDescent="0.25">
      <c r="A841" t="s">
        <v>518</v>
      </c>
      <c r="B841" t="s">
        <v>637</v>
      </c>
      <c r="C841" t="s">
        <v>2253</v>
      </c>
      <c r="D841" t="s">
        <v>638</v>
      </c>
      <c r="E841" t="s">
        <v>234</v>
      </c>
      <c r="F841" s="5">
        <v>105</v>
      </c>
      <c r="G841" t="s">
        <v>639</v>
      </c>
      <c r="H841" s="3">
        <v>15</v>
      </c>
      <c r="I841" s="3">
        <v>20</v>
      </c>
      <c r="J841" s="3">
        <v>25</v>
      </c>
      <c r="K841" s="3">
        <v>5</v>
      </c>
      <c r="L841">
        <f t="shared" si="134"/>
        <v>7.4999999999999997E-3</v>
      </c>
      <c r="M841">
        <f t="shared" si="131"/>
        <v>0.6</v>
      </c>
      <c r="N841" s="8">
        <v>80</v>
      </c>
      <c r="O841" s="14">
        <f t="shared" si="135"/>
        <v>8400</v>
      </c>
      <c r="P841" s="8">
        <v>20</v>
      </c>
      <c r="Q841" s="8">
        <f t="shared" ref="Q841:Q846" si="137">N841/P841</f>
        <v>4</v>
      </c>
      <c r="R841" s="8">
        <f t="shared" ref="R841:R846" si="138">(N841/30)*P841</f>
        <v>53.333333333333329</v>
      </c>
      <c r="S841" s="8">
        <f t="shared" si="136"/>
        <v>57.333333333333329</v>
      </c>
      <c r="T841" s="22">
        <f t="shared" si="132"/>
        <v>6.2174324964471817</v>
      </c>
      <c r="U841" s="19">
        <f t="shared" si="133"/>
        <v>5459.7239904073876</v>
      </c>
      <c r="V841" s="27" t="s">
        <v>2982</v>
      </c>
    </row>
    <row r="842" spans="1:22" ht="15" customHeight="1" x14ac:dyDescent="0.25">
      <c r="A842" t="s">
        <v>518</v>
      </c>
      <c r="B842" t="s">
        <v>1091</v>
      </c>
      <c r="C842" t="s">
        <v>1192</v>
      </c>
      <c r="D842" t="s">
        <v>1193</v>
      </c>
      <c r="E842" t="s">
        <v>234</v>
      </c>
      <c r="F842" s="5">
        <v>76</v>
      </c>
      <c r="G842" t="s">
        <v>1121</v>
      </c>
      <c r="H842">
        <v>10</v>
      </c>
      <c r="I842">
        <v>10</v>
      </c>
      <c r="J842">
        <v>10</v>
      </c>
      <c r="K842" s="3">
        <v>1.1000000000000001</v>
      </c>
      <c r="L842">
        <f t="shared" si="134"/>
        <v>1E-3</v>
      </c>
      <c r="M842">
        <f t="shared" si="131"/>
        <v>0.11</v>
      </c>
      <c r="N842" s="8">
        <v>110</v>
      </c>
      <c r="O842" s="14">
        <f t="shared" si="135"/>
        <v>8360</v>
      </c>
      <c r="P842" s="8">
        <v>20</v>
      </c>
      <c r="Q842" s="8">
        <f t="shared" si="137"/>
        <v>5.5</v>
      </c>
      <c r="R842" s="8">
        <f t="shared" si="138"/>
        <v>73.333333333333329</v>
      </c>
      <c r="S842" s="8">
        <f t="shared" si="136"/>
        <v>78.833333333333329</v>
      </c>
      <c r="T842" s="22">
        <f t="shared" si="132"/>
        <v>6.1878256750355281</v>
      </c>
      <c r="U842" s="19">
        <f t="shared" si="133"/>
        <v>5465.9118160824228</v>
      </c>
      <c r="V842" s="27" t="s">
        <v>2982</v>
      </c>
    </row>
    <row r="843" spans="1:22" ht="15" customHeight="1" x14ac:dyDescent="0.25">
      <c r="A843" t="s">
        <v>518</v>
      </c>
      <c r="B843" t="s">
        <v>1090</v>
      </c>
      <c r="C843" t="s">
        <v>784</v>
      </c>
      <c r="D843" t="s">
        <v>790</v>
      </c>
      <c r="E843" t="s">
        <v>234</v>
      </c>
      <c r="F843" s="5">
        <v>1647</v>
      </c>
      <c r="G843" t="s">
        <v>761</v>
      </c>
      <c r="H843" s="3">
        <v>125</v>
      </c>
      <c r="I843" s="3">
        <v>75</v>
      </c>
      <c r="J843" s="3">
        <v>7</v>
      </c>
      <c r="K843" s="3">
        <v>13.5</v>
      </c>
      <c r="L843">
        <f t="shared" si="134"/>
        <v>6.5625000000000003E-2</v>
      </c>
      <c r="M843">
        <f t="shared" si="131"/>
        <v>0.328125</v>
      </c>
      <c r="N843" s="8">
        <v>5</v>
      </c>
      <c r="O843" s="14">
        <f t="shared" si="135"/>
        <v>8235</v>
      </c>
      <c r="P843" s="8">
        <v>20</v>
      </c>
      <c r="Q843" s="8">
        <f t="shared" si="137"/>
        <v>0.25</v>
      </c>
      <c r="R843" s="8">
        <f t="shared" si="138"/>
        <v>3.333333333333333</v>
      </c>
      <c r="S843" s="8">
        <f t="shared" si="136"/>
        <v>3.583333333333333</v>
      </c>
      <c r="T843" s="22">
        <f t="shared" si="132"/>
        <v>6.0953043581241122</v>
      </c>
      <c r="U843" s="19">
        <f t="shared" si="133"/>
        <v>5472.0071204405467</v>
      </c>
      <c r="V843" s="27" t="s">
        <v>2982</v>
      </c>
    </row>
    <row r="844" spans="1:22" ht="15" customHeight="1" x14ac:dyDescent="0.25">
      <c r="A844" t="s">
        <v>518</v>
      </c>
      <c r="B844" t="s">
        <v>637</v>
      </c>
      <c r="C844" t="s">
        <v>2217</v>
      </c>
      <c r="D844" t="s">
        <v>1243</v>
      </c>
      <c r="E844" t="s">
        <v>2213</v>
      </c>
      <c r="F844" s="5">
        <v>100</v>
      </c>
      <c r="G844" t="s">
        <v>2214</v>
      </c>
      <c r="H844" s="3">
        <v>30</v>
      </c>
      <c r="I844" s="3">
        <v>250</v>
      </c>
      <c r="J844" s="3">
        <v>0.5</v>
      </c>
      <c r="K844" s="3">
        <v>3.7499999999999999E-3</v>
      </c>
      <c r="L844">
        <f t="shared" si="134"/>
        <v>3.7499999999999999E-3</v>
      </c>
      <c r="M844">
        <f t="shared" si="131"/>
        <v>0.3</v>
      </c>
      <c r="N844" s="8">
        <v>80</v>
      </c>
      <c r="O844" s="14">
        <f t="shared" si="135"/>
        <v>8000</v>
      </c>
      <c r="P844" s="8">
        <v>20</v>
      </c>
      <c r="Q844" s="8">
        <f t="shared" si="137"/>
        <v>4</v>
      </c>
      <c r="R844" s="8">
        <f t="shared" si="138"/>
        <v>53.333333333333329</v>
      </c>
      <c r="S844" s="8">
        <f t="shared" si="136"/>
        <v>57.333333333333329</v>
      </c>
      <c r="T844" s="22">
        <f t="shared" si="132"/>
        <v>5.9213642823306492</v>
      </c>
      <c r="U844" s="19">
        <f t="shared" si="133"/>
        <v>5477.9284847228773</v>
      </c>
      <c r="V844" s="27" t="s">
        <v>2982</v>
      </c>
    </row>
    <row r="845" spans="1:22" ht="15" customHeight="1" x14ac:dyDescent="0.25">
      <c r="A845" t="s">
        <v>518</v>
      </c>
      <c r="B845" t="s">
        <v>637</v>
      </c>
      <c r="C845" t="s">
        <v>2284</v>
      </c>
      <c r="D845" t="s">
        <v>2292</v>
      </c>
      <c r="E845" t="s">
        <v>24</v>
      </c>
      <c r="F845" s="5">
        <v>199</v>
      </c>
      <c r="G845" t="s">
        <v>678</v>
      </c>
      <c r="H845" s="3">
        <v>10</v>
      </c>
      <c r="I845" s="3">
        <v>15</v>
      </c>
      <c r="J845" s="3">
        <v>10</v>
      </c>
      <c r="K845" s="3">
        <v>2</v>
      </c>
      <c r="L845">
        <f t="shared" si="134"/>
        <v>1.5E-3</v>
      </c>
      <c r="M845">
        <f t="shared" si="131"/>
        <v>0.06</v>
      </c>
      <c r="N845" s="8">
        <v>40</v>
      </c>
      <c r="O845" s="14">
        <f t="shared" si="135"/>
        <v>7960</v>
      </c>
      <c r="P845" s="8">
        <v>20</v>
      </c>
      <c r="Q845" s="8">
        <f t="shared" si="137"/>
        <v>2</v>
      </c>
      <c r="R845" s="8">
        <f t="shared" si="138"/>
        <v>26.666666666666664</v>
      </c>
      <c r="S845" s="8">
        <f t="shared" si="136"/>
        <v>28.666666666666664</v>
      </c>
      <c r="T845" s="22">
        <f t="shared" si="132"/>
        <v>5.8917574609189955</v>
      </c>
      <c r="U845" s="19">
        <f t="shared" si="133"/>
        <v>5483.8202421837959</v>
      </c>
      <c r="V845" s="27" t="s">
        <v>2982</v>
      </c>
    </row>
    <row r="846" spans="1:22" ht="15" customHeight="1" x14ac:dyDescent="0.25">
      <c r="A846" t="s">
        <v>518</v>
      </c>
      <c r="B846" t="s">
        <v>1090</v>
      </c>
      <c r="C846" t="s">
        <v>2442</v>
      </c>
      <c r="D846" t="s">
        <v>2414</v>
      </c>
      <c r="E846" t="s">
        <v>234</v>
      </c>
      <c r="F846" s="5">
        <v>1550</v>
      </c>
      <c r="G846" t="s">
        <v>140</v>
      </c>
      <c r="H846" s="3">
        <v>20</v>
      </c>
      <c r="I846" s="3">
        <v>15</v>
      </c>
      <c r="J846" s="3">
        <v>20</v>
      </c>
      <c r="K846" s="3">
        <v>9</v>
      </c>
      <c r="L846">
        <f t="shared" si="134"/>
        <v>6.0000000000000001E-3</v>
      </c>
      <c r="M846">
        <f t="shared" si="131"/>
        <v>0.03</v>
      </c>
      <c r="N846" s="8">
        <v>5</v>
      </c>
      <c r="O846" s="14">
        <f t="shared" si="135"/>
        <v>7750</v>
      </c>
      <c r="P846" s="8">
        <v>20</v>
      </c>
      <c r="Q846" s="8">
        <f t="shared" si="137"/>
        <v>0.25</v>
      </c>
      <c r="R846" s="8">
        <f t="shared" si="138"/>
        <v>3.333333333333333</v>
      </c>
      <c r="S846" s="8">
        <f t="shared" si="136"/>
        <v>3.583333333333333</v>
      </c>
      <c r="T846" s="22">
        <f t="shared" si="132"/>
        <v>5.7363216485078166</v>
      </c>
      <c r="U846" s="19">
        <f t="shared" si="133"/>
        <v>5489.5565638323042</v>
      </c>
      <c r="V846" s="27" t="s">
        <v>2982</v>
      </c>
    </row>
    <row r="847" spans="1:22" ht="15" customHeight="1" x14ac:dyDescent="0.25">
      <c r="A847" t="s">
        <v>518</v>
      </c>
      <c r="B847" t="s">
        <v>519</v>
      </c>
      <c r="C847" t="s">
        <v>535</v>
      </c>
      <c r="D847" t="s">
        <v>536</v>
      </c>
      <c r="E847" t="s">
        <v>234</v>
      </c>
      <c r="F847" s="5">
        <v>22</v>
      </c>
      <c r="G847" t="s">
        <v>522</v>
      </c>
      <c r="H847" s="3">
        <v>15</v>
      </c>
      <c r="I847" s="3">
        <v>20</v>
      </c>
      <c r="J847" s="3">
        <v>15</v>
      </c>
      <c r="K847" s="3">
        <v>1</v>
      </c>
      <c r="L847">
        <f t="shared" si="134"/>
        <v>4.4999999999999997E-3</v>
      </c>
      <c r="M847">
        <f t="shared" si="131"/>
        <v>1.575</v>
      </c>
      <c r="N847" s="8">
        <v>350</v>
      </c>
      <c r="O847" s="14">
        <f t="shared" si="135"/>
        <v>7700</v>
      </c>
      <c r="P847" s="8">
        <v>25</v>
      </c>
      <c r="Q847" s="8">
        <f>P847/N847</f>
        <v>7.1428571428571425E-2</v>
      </c>
      <c r="R847" s="8">
        <f>P847+Q847</f>
        <v>25.071428571428573</v>
      </c>
      <c r="S847" s="8">
        <f t="shared" si="136"/>
        <v>25.142857142857146</v>
      </c>
      <c r="T847" s="22">
        <f t="shared" si="132"/>
        <v>5.6993131217432502</v>
      </c>
      <c r="U847" s="19">
        <f t="shared" si="133"/>
        <v>5495.2558769540474</v>
      </c>
      <c r="V847" s="27" t="s">
        <v>2982</v>
      </c>
    </row>
    <row r="848" spans="1:22" ht="15" customHeight="1" x14ac:dyDescent="0.25">
      <c r="A848" t="s">
        <v>518</v>
      </c>
      <c r="B848" t="s">
        <v>1090</v>
      </c>
      <c r="C848" t="s">
        <v>775</v>
      </c>
      <c r="D848" t="s">
        <v>600</v>
      </c>
      <c r="E848" t="s">
        <v>234</v>
      </c>
      <c r="F848" s="5">
        <v>1519</v>
      </c>
      <c r="G848" t="s">
        <v>678</v>
      </c>
      <c r="H848" s="3">
        <v>55</v>
      </c>
      <c r="I848" s="3">
        <v>115</v>
      </c>
      <c r="J848" s="3">
        <v>49</v>
      </c>
      <c r="K848" s="3">
        <v>18</v>
      </c>
      <c r="L848">
        <f t="shared" si="134"/>
        <v>0.30992500000000001</v>
      </c>
      <c r="M848">
        <f t="shared" si="131"/>
        <v>1.549625</v>
      </c>
      <c r="N848" s="8">
        <v>5</v>
      </c>
      <c r="O848" s="14">
        <f t="shared" si="135"/>
        <v>7595</v>
      </c>
      <c r="P848" s="8">
        <v>20</v>
      </c>
      <c r="Q848" s="8">
        <f t="shared" ref="Q848:Q863" si="139">N848/P848</f>
        <v>0.25</v>
      </c>
      <c r="R848" s="8">
        <f t="shared" ref="R848:R863" si="140">(N848/30)*P848</f>
        <v>3.333333333333333</v>
      </c>
      <c r="S848" s="8">
        <f t="shared" si="136"/>
        <v>3.583333333333333</v>
      </c>
      <c r="T848" s="22">
        <f t="shared" si="132"/>
        <v>5.6215952155376598</v>
      </c>
      <c r="U848" s="19">
        <f t="shared" si="133"/>
        <v>5500.8774721695854</v>
      </c>
      <c r="V848" s="27" t="s">
        <v>2982</v>
      </c>
    </row>
    <row r="849" spans="1:22" ht="15" customHeight="1" x14ac:dyDescent="0.25">
      <c r="A849" t="s">
        <v>518</v>
      </c>
      <c r="B849" t="s">
        <v>1090</v>
      </c>
      <c r="C849" t="s">
        <v>2352</v>
      </c>
      <c r="D849" t="s">
        <v>2359</v>
      </c>
      <c r="E849" t="s">
        <v>234</v>
      </c>
      <c r="F849" s="5">
        <v>1500</v>
      </c>
      <c r="G849" t="s">
        <v>2354</v>
      </c>
      <c r="H849" s="3">
        <v>100</v>
      </c>
      <c r="I849" s="3">
        <v>100</v>
      </c>
      <c r="J849" s="3">
        <v>100</v>
      </c>
      <c r="K849" s="3">
        <v>48</v>
      </c>
      <c r="L849">
        <f t="shared" si="134"/>
        <v>1</v>
      </c>
      <c r="M849">
        <f t="shared" si="131"/>
        <v>5</v>
      </c>
      <c r="N849" s="8">
        <v>5</v>
      </c>
      <c r="O849" s="14">
        <f t="shared" si="135"/>
        <v>7500</v>
      </c>
      <c r="P849" s="8">
        <v>20</v>
      </c>
      <c r="Q849" s="8">
        <f t="shared" si="139"/>
        <v>0.25</v>
      </c>
      <c r="R849" s="8">
        <f t="shared" si="140"/>
        <v>3.333333333333333</v>
      </c>
      <c r="S849" s="8">
        <f t="shared" si="136"/>
        <v>3.583333333333333</v>
      </c>
      <c r="T849" s="22">
        <f t="shared" si="132"/>
        <v>5.551279014684984</v>
      </c>
      <c r="U849" s="19">
        <f t="shared" si="133"/>
        <v>5506.4287511842704</v>
      </c>
      <c r="V849" s="27" t="s">
        <v>2982</v>
      </c>
    </row>
    <row r="850" spans="1:22" ht="15" customHeight="1" x14ac:dyDescent="0.25">
      <c r="A850" t="s">
        <v>518</v>
      </c>
      <c r="B850" t="s">
        <v>1090</v>
      </c>
      <c r="C850" t="s">
        <v>2417</v>
      </c>
      <c r="D850" t="s">
        <v>2418</v>
      </c>
      <c r="E850" t="s">
        <v>234</v>
      </c>
      <c r="F850" s="5">
        <v>1495</v>
      </c>
      <c r="G850" t="s">
        <v>683</v>
      </c>
      <c r="H850" s="3">
        <v>67</v>
      </c>
      <c r="I850" s="3">
        <v>14</v>
      </c>
      <c r="J850" s="3">
        <v>35</v>
      </c>
      <c r="K850" s="3">
        <v>45</v>
      </c>
      <c r="L850">
        <f t="shared" si="134"/>
        <v>3.2829999999999998E-2</v>
      </c>
      <c r="M850">
        <f t="shared" si="131"/>
        <v>0.16414999999999999</v>
      </c>
      <c r="N850" s="8">
        <v>5</v>
      </c>
      <c r="O850" s="14">
        <f t="shared" si="135"/>
        <v>7475</v>
      </c>
      <c r="P850" s="8">
        <v>20</v>
      </c>
      <c r="Q850" s="8">
        <f t="shared" si="139"/>
        <v>0.25</v>
      </c>
      <c r="R850" s="8">
        <f t="shared" si="140"/>
        <v>3.333333333333333</v>
      </c>
      <c r="S850" s="8">
        <f t="shared" si="136"/>
        <v>3.583333333333333</v>
      </c>
      <c r="T850" s="22">
        <f t="shared" si="132"/>
        <v>5.5327747513026999</v>
      </c>
      <c r="U850" s="19">
        <f t="shared" si="133"/>
        <v>5511.9615259355733</v>
      </c>
      <c r="V850" s="27" t="s">
        <v>2982</v>
      </c>
    </row>
    <row r="851" spans="1:22" ht="15" customHeight="1" x14ac:dyDescent="0.25">
      <c r="A851" t="s">
        <v>518</v>
      </c>
      <c r="B851" t="s">
        <v>1090</v>
      </c>
      <c r="C851" t="s">
        <v>2352</v>
      </c>
      <c r="D851" t="s">
        <v>2353</v>
      </c>
      <c r="E851" t="s">
        <v>234</v>
      </c>
      <c r="F851" s="5">
        <v>1480</v>
      </c>
      <c r="G851" t="s">
        <v>2354</v>
      </c>
      <c r="H851" s="3">
        <v>100</v>
      </c>
      <c r="I851" s="3">
        <v>100</v>
      </c>
      <c r="J851" s="3">
        <v>100</v>
      </c>
      <c r="K851" s="3">
        <v>48</v>
      </c>
      <c r="L851">
        <f t="shared" si="134"/>
        <v>1</v>
      </c>
      <c r="M851">
        <f t="shared" si="131"/>
        <v>5</v>
      </c>
      <c r="N851" s="8">
        <v>5</v>
      </c>
      <c r="O851" s="14">
        <f t="shared" si="135"/>
        <v>7400</v>
      </c>
      <c r="P851" s="8">
        <v>20</v>
      </c>
      <c r="Q851" s="8">
        <f t="shared" si="139"/>
        <v>0.25</v>
      </c>
      <c r="R851" s="8">
        <f t="shared" si="140"/>
        <v>3.333333333333333</v>
      </c>
      <c r="S851" s="8">
        <f t="shared" si="136"/>
        <v>3.583333333333333</v>
      </c>
      <c r="T851" s="22">
        <f t="shared" si="132"/>
        <v>5.4772619611558504</v>
      </c>
      <c r="U851" s="19">
        <f t="shared" si="133"/>
        <v>5517.4387878967291</v>
      </c>
      <c r="V851" s="27" t="s">
        <v>2982</v>
      </c>
    </row>
    <row r="852" spans="1:22" ht="15" customHeight="1" x14ac:dyDescent="0.25">
      <c r="A852" t="s">
        <v>518</v>
      </c>
      <c r="B852" t="s">
        <v>1090</v>
      </c>
      <c r="C852" t="s">
        <v>775</v>
      </c>
      <c r="D852" t="s">
        <v>596</v>
      </c>
      <c r="E852" t="s">
        <v>234</v>
      </c>
      <c r="F852" s="5">
        <v>1479</v>
      </c>
      <c r="G852" t="s">
        <v>678</v>
      </c>
      <c r="H852" s="3">
        <v>55</v>
      </c>
      <c r="I852" s="3">
        <v>115</v>
      </c>
      <c r="J852" s="3">
        <v>49</v>
      </c>
      <c r="K852" s="3">
        <v>16</v>
      </c>
      <c r="L852">
        <f t="shared" si="134"/>
        <v>0.30992500000000001</v>
      </c>
      <c r="M852">
        <f t="shared" si="131"/>
        <v>1.549625</v>
      </c>
      <c r="N852" s="8">
        <v>5</v>
      </c>
      <c r="O852" s="14">
        <f t="shared" si="135"/>
        <v>7395</v>
      </c>
      <c r="P852" s="8">
        <v>20</v>
      </c>
      <c r="Q852" s="8">
        <f t="shared" si="139"/>
        <v>0.25</v>
      </c>
      <c r="R852" s="8">
        <f t="shared" si="140"/>
        <v>3.333333333333333</v>
      </c>
      <c r="S852" s="8">
        <f t="shared" si="136"/>
        <v>3.583333333333333</v>
      </c>
      <c r="T852" s="22">
        <f t="shared" si="132"/>
        <v>5.4735611084793936</v>
      </c>
      <c r="U852" s="19">
        <f t="shared" si="133"/>
        <v>5522.9123490052089</v>
      </c>
      <c r="V852" s="27" t="s">
        <v>2982</v>
      </c>
    </row>
    <row r="853" spans="1:22" ht="15" customHeight="1" x14ac:dyDescent="0.25">
      <c r="A853" t="s">
        <v>518</v>
      </c>
      <c r="B853" t="s">
        <v>1090</v>
      </c>
      <c r="C853" t="s">
        <v>784</v>
      </c>
      <c r="D853" t="s">
        <v>788</v>
      </c>
      <c r="E853" t="s">
        <v>234</v>
      </c>
      <c r="F853" s="5">
        <v>1467</v>
      </c>
      <c r="G853" t="s">
        <v>761</v>
      </c>
      <c r="H853" s="3">
        <v>125</v>
      </c>
      <c r="I853" s="3">
        <v>75</v>
      </c>
      <c r="J853" s="3">
        <v>5</v>
      </c>
      <c r="K853" s="3">
        <v>13.5</v>
      </c>
      <c r="L853">
        <f t="shared" si="134"/>
        <v>4.6875E-2</v>
      </c>
      <c r="M853">
        <f t="shared" si="131"/>
        <v>0.234375</v>
      </c>
      <c r="N853" s="8">
        <v>5</v>
      </c>
      <c r="O853" s="14">
        <f t="shared" si="135"/>
        <v>7335</v>
      </c>
      <c r="P853" s="8">
        <v>20</v>
      </c>
      <c r="Q853" s="8">
        <f t="shared" si="139"/>
        <v>0.25</v>
      </c>
      <c r="R853" s="8">
        <f t="shared" si="140"/>
        <v>3.333333333333333</v>
      </c>
      <c r="S853" s="8">
        <f t="shared" si="136"/>
        <v>3.583333333333333</v>
      </c>
      <c r="T853" s="22">
        <f t="shared" si="132"/>
        <v>5.4291508763619136</v>
      </c>
      <c r="U853" s="19">
        <f t="shared" si="133"/>
        <v>5528.3414998815706</v>
      </c>
      <c r="V853" s="27" t="s">
        <v>2982</v>
      </c>
    </row>
    <row r="854" spans="1:22" ht="15" customHeight="1" x14ac:dyDescent="0.25">
      <c r="A854" t="s">
        <v>518</v>
      </c>
      <c r="B854" t="s">
        <v>637</v>
      </c>
      <c r="C854" t="s">
        <v>2284</v>
      </c>
      <c r="D854" t="s">
        <v>2286</v>
      </c>
      <c r="E854" t="s">
        <v>24</v>
      </c>
      <c r="F854" s="5">
        <v>91.4</v>
      </c>
      <c r="G854" t="s">
        <v>690</v>
      </c>
      <c r="H854" s="3">
        <v>10</v>
      </c>
      <c r="I854" s="3">
        <v>15</v>
      </c>
      <c r="J854" s="3">
        <v>10</v>
      </c>
      <c r="K854" s="3">
        <v>2</v>
      </c>
      <c r="L854">
        <f t="shared" si="134"/>
        <v>1.5E-3</v>
      </c>
      <c r="M854">
        <f t="shared" si="131"/>
        <v>0.12</v>
      </c>
      <c r="N854" s="8">
        <v>80</v>
      </c>
      <c r="O854" s="14">
        <f t="shared" si="135"/>
        <v>7312</v>
      </c>
      <c r="P854" s="8">
        <v>20</v>
      </c>
      <c r="Q854" s="8">
        <f t="shared" si="139"/>
        <v>4</v>
      </c>
      <c r="R854" s="8">
        <f t="shared" si="140"/>
        <v>53.333333333333329</v>
      </c>
      <c r="S854" s="8">
        <f t="shared" si="136"/>
        <v>57.333333333333329</v>
      </c>
      <c r="T854" s="22">
        <f t="shared" si="132"/>
        <v>5.4121269540502137</v>
      </c>
      <c r="U854" s="19">
        <f t="shared" si="133"/>
        <v>5533.7536268356207</v>
      </c>
      <c r="V854" s="27" t="s">
        <v>2982</v>
      </c>
    </row>
    <row r="855" spans="1:22" ht="15" customHeight="1" x14ac:dyDescent="0.25">
      <c r="A855" t="s">
        <v>518</v>
      </c>
      <c r="B855" t="s">
        <v>1090</v>
      </c>
      <c r="C855" t="s">
        <v>765</v>
      </c>
      <c r="D855" t="s">
        <v>768</v>
      </c>
      <c r="E855" t="s">
        <v>234</v>
      </c>
      <c r="F855" s="5">
        <v>1818</v>
      </c>
      <c r="G855" t="s">
        <v>767</v>
      </c>
      <c r="H855" s="3">
        <v>40</v>
      </c>
      <c r="I855" s="3">
        <v>50</v>
      </c>
      <c r="J855" s="3">
        <v>72</v>
      </c>
      <c r="K855" s="3">
        <v>25.8</v>
      </c>
      <c r="L855">
        <f t="shared" si="134"/>
        <v>0.14399999999999999</v>
      </c>
      <c r="M855">
        <f t="shared" si="131"/>
        <v>0.57599999999999996</v>
      </c>
      <c r="N855" s="8">
        <v>4</v>
      </c>
      <c r="O855" s="14">
        <f t="shared" si="135"/>
        <v>7272</v>
      </c>
      <c r="P855" s="8">
        <v>20</v>
      </c>
      <c r="Q855" s="8">
        <f t="shared" si="139"/>
        <v>0.2</v>
      </c>
      <c r="R855" s="8">
        <f t="shared" si="140"/>
        <v>2.6666666666666665</v>
      </c>
      <c r="S855" s="8">
        <f t="shared" si="136"/>
        <v>2.8666666666666667</v>
      </c>
      <c r="T855" s="22">
        <f t="shared" si="132"/>
        <v>5.3825201326385601</v>
      </c>
      <c r="U855" s="19">
        <f t="shared" si="133"/>
        <v>5539.1361469682597</v>
      </c>
      <c r="V855" s="27" t="s">
        <v>2982</v>
      </c>
    </row>
    <row r="856" spans="1:22" ht="15" customHeight="1" x14ac:dyDescent="0.25">
      <c r="A856" t="s">
        <v>518</v>
      </c>
      <c r="B856" t="s">
        <v>1090</v>
      </c>
      <c r="C856" t="s">
        <v>2475</v>
      </c>
      <c r="D856" t="s">
        <v>746</v>
      </c>
      <c r="E856" t="s">
        <v>234</v>
      </c>
      <c r="F856" s="5">
        <v>1450</v>
      </c>
      <c r="G856" t="s">
        <v>639</v>
      </c>
      <c r="H856" s="3">
        <v>105</v>
      </c>
      <c r="I856" s="3">
        <v>30</v>
      </c>
      <c r="J856" s="3">
        <v>110</v>
      </c>
      <c r="K856" s="3">
        <v>12</v>
      </c>
      <c r="L856">
        <f t="shared" si="134"/>
        <v>0.34649999999999997</v>
      </c>
      <c r="M856">
        <f t="shared" si="131"/>
        <v>1.7324999999999999</v>
      </c>
      <c r="N856" s="8">
        <v>5</v>
      </c>
      <c r="O856" s="14">
        <f t="shared" si="135"/>
        <v>7250</v>
      </c>
      <c r="P856" s="8">
        <v>20</v>
      </c>
      <c r="Q856" s="8">
        <f t="shared" si="139"/>
        <v>0.25</v>
      </c>
      <c r="R856" s="8">
        <f t="shared" si="140"/>
        <v>3.333333333333333</v>
      </c>
      <c r="S856" s="8">
        <f t="shared" si="136"/>
        <v>3.583333333333333</v>
      </c>
      <c r="T856" s="22">
        <f t="shared" si="132"/>
        <v>5.3662363808621505</v>
      </c>
      <c r="U856" s="19">
        <f t="shared" si="133"/>
        <v>5544.5023833491223</v>
      </c>
      <c r="V856" s="27" t="s">
        <v>2982</v>
      </c>
    </row>
    <row r="857" spans="1:22" ht="15" customHeight="1" x14ac:dyDescent="0.25">
      <c r="A857" t="s">
        <v>518</v>
      </c>
      <c r="B857" t="s">
        <v>637</v>
      </c>
      <c r="C857" t="s">
        <v>2253</v>
      </c>
      <c r="D857" t="s">
        <v>2254</v>
      </c>
      <c r="E857" t="s">
        <v>234</v>
      </c>
      <c r="F857" s="5">
        <v>90</v>
      </c>
      <c r="G857" t="s">
        <v>512</v>
      </c>
      <c r="H857" s="3">
        <v>15</v>
      </c>
      <c r="I857" s="3">
        <v>20</v>
      </c>
      <c r="J857" s="3">
        <v>25</v>
      </c>
      <c r="K857" s="3">
        <v>5</v>
      </c>
      <c r="L857">
        <f t="shared" si="134"/>
        <v>7.4999999999999997E-3</v>
      </c>
      <c r="M857">
        <f t="shared" si="131"/>
        <v>0.6</v>
      </c>
      <c r="N857" s="8">
        <v>80</v>
      </c>
      <c r="O857" s="14">
        <f t="shared" si="135"/>
        <v>7200</v>
      </c>
      <c r="P857" s="8">
        <v>20</v>
      </c>
      <c r="Q857" s="8">
        <f t="shared" si="139"/>
        <v>4</v>
      </c>
      <c r="R857" s="8">
        <f t="shared" si="140"/>
        <v>53.333333333333329</v>
      </c>
      <c r="S857" s="8">
        <f t="shared" si="136"/>
        <v>57.333333333333329</v>
      </c>
      <c r="T857" s="22">
        <f t="shared" si="132"/>
        <v>5.3292278540975841</v>
      </c>
      <c r="U857" s="19">
        <f t="shared" si="133"/>
        <v>5549.8316112032198</v>
      </c>
      <c r="V857" s="27" t="s">
        <v>2982</v>
      </c>
    </row>
    <row r="858" spans="1:22" ht="15" customHeight="1" x14ac:dyDescent="0.25">
      <c r="A858" t="s">
        <v>518</v>
      </c>
      <c r="B858" t="s">
        <v>637</v>
      </c>
      <c r="C858" t="s">
        <v>2311</v>
      </c>
      <c r="D858" t="s">
        <v>2315</v>
      </c>
      <c r="E858" t="s">
        <v>234</v>
      </c>
      <c r="F858" s="5">
        <v>179.9</v>
      </c>
      <c r="G858" t="s">
        <v>679</v>
      </c>
      <c r="H858" s="3">
        <v>20</v>
      </c>
      <c r="I858" s="3">
        <v>15</v>
      </c>
      <c r="J858" s="3">
        <v>8</v>
      </c>
      <c r="K858" s="3">
        <v>1</v>
      </c>
      <c r="L858">
        <f t="shared" si="134"/>
        <v>2.3999999999999998E-3</v>
      </c>
      <c r="M858">
        <f t="shared" si="131"/>
        <v>9.5999999999999988E-2</v>
      </c>
      <c r="N858" s="8">
        <v>40</v>
      </c>
      <c r="O858" s="14">
        <f t="shared" si="135"/>
        <v>7196</v>
      </c>
      <c r="P858" s="8">
        <v>20</v>
      </c>
      <c r="Q858" s="8">
        <f t="shared" si="139"/>
        <v>2</v>
      </c>
      <c r="R858" s="8">
        <f t="shared" si="140"/>
        <v>26.666666666666664</v>
      </c>
      <c r="S858" s="8">
        <f t="shared" si="136"/>
        <v>28.666666666666664</v>
      </c>
      <c r="T858" s="22">
        <f t="shared" si="132"/>
        <v>5.3262671719564185</v>
      </c>
      <c r="U858" s="19">
        <f t="shared" si="133"/>
        <v>5555.1578783751766</v>
      </c>
      <c r="V858" s="27" t="s">
        <v>2982</v>
      </c>
    </row>
    <row r="859" spans="1:22" ht="15" customHeight="1" x14ac:dyDescent="0.25">
      <c r="A859" t="s">
        <v>518</v>
      </c>
      <c r="B859" t="s">
        <v>637</v>
      </c>
      <c r="C859" t="s">
        <v>2253</v>
      </c>
      <c r="D859" t="s">
        <v>2256</v>
      </c>
      <c r="E859" t="s">
        <v>234</v>
      </c>
      <c r="F859" s="5">
        <v>89.7</v>
      </c>
      <c r="G859" t="s">
        <v>639</v>
      </c>
      <c r="H859" s="3">
        <v>15</v>
      </c>
      <c r="I859" s="3">
        <v>20</v>
      </c>
      <c r="J859" s="3">
        <v>25</v>
      </c>
      <c r="K859" s="3">
        <v>5</v>
      </c>
      <c r="L859">
        <f t="shared" si="134"/>
        <v>7.4999999999999997E-3</v>
      </c>
      <c r="M859">
        <f t="shared" si="131"/>
        <v>0.6</v>
      </c>
      <c r="N859" s="8">
        <v>80</v>
      </c>
      <c r="O859" s="14">
        <f t="shared" si="135"/>
        <v>7176</v>
      </c>
      <c r="P859" s="8">
        <v>20</v>
      </c>
      <c r="Q859" s="8">
        <f t="shared" si="139"/>
        <v>4</v>
      </c>
      <c r="R859" s="8">
        <f t="shared" si="140"/>
        <v>53.333333333333329</v>
      </c>
      <c r="S859" s="8">
        <f t="shared" si="136"/>
        <v>57.333333333333329</v>
      </c>
      <c r="T859" s="22">
        <f t="shared" si="132"/>
        <v>5.3114637612505922</v>
      </c>
      <c r="U859" s="19">
        <f t="shared" si="133"/>
        <v>5560.4693421364273</v>
      </c>
      <c r="V859" s="27" t="s">
        <v>2982</v>
      </c>
    </row>
    <row r="860" spans="1:22" ht="15" customHeight="1" x14ac:dyDescent="0.25">
      <c r="A860" t="s">
        <v>518</v>
      </c>
      <c r="B860" t="s">
        <v>637</v>
      </c>
      <c r="C860" t="s">
        <v>2253</v>
      </c>
      <c r="D860" t="s">
        <v>2255</v>
      </c>
      <c r="E860" t="s">
        <v>234</v>
      </c>
      <c r="F860" s="5">
        <v>89.7</v>
      </c>
      <c r="G860" t="s">
        <v>512</v>
      </c>
      <c r="H860" s="3">
        <v>15</v>
      </c>
      <c r="I860" s="3">
        <v>20</v>
      </c>
      <c r="J860" s="3">
        <v>25</v>
      </c>
      <c r="K860" s="3">
        <v>4</v>
      </c>
      <c r="L860">
        <f t="shared" si="134"/>
        <v>7.4999999999999997E-3</v>
      </c>
      <c r="M860">
        <f t="shared" si="131"/>
        <v>0.6</v>
      </c>
      <c r="N860" s="8">
        <v>80</v>
      </c>
      <c r="O860" s="14">
        <f t="shared" si="135"/>
        <v>7176</v>
      </c>
      <c r="P860" s="8">
        <v>20</v>
      </c>
      <c r="Q860" s="8">
        <f t="shared" si="139"/>
        <v>4</v>
      </c>
      <c r="R860" s="8">
        <f t="shared" si="140"/>
        <v>53.333333333333329</v>
      </c>
      <c r="S860" s="8">
        <f t="shared" si="136"/>
        <v>57.333333333333329</v>
      </c>
      <c r="T860" s="22">
        <f t="shared" si="132"/>
        <v>5.3114637612505922</v>
      </c>
      <c r="U860" s="19">
        <f t="shared" si="133"/>
        <v>5565.780805897678</v>
      </c>
      <c r="V860" s="27" t="s">
        <v>2982</v>
      </c>
    </row>
    <row r="861" spans="1:22" ht="15" customHeight="1" x14ac:dyDescent="0.25">
      <c r="A861" t="s">
        <v>518</v>
      </c>
      <c r="B861" t="s">
        <v>637</v>
      </c>
      <c r="C861" t="s">
        <v>2265</v>
      </c>
      <c r="D861" t="s">
        <v>652</v>
      </c>
      <c r="E861" t="s">
        <v>234</v>
      </c>
      <c r="F861" s="5">
        <v>88.2</v>
      </c>
      <c r="G861" t="s">
        <v>305</v>
      </c>
      <c r="H861" s="3">
        <v>15</v>
      </c>
      <c r="I861" s="3">
        <v>20</v>
      </c>
      <c r="J861" s="3">
        <v>25</v>
      </c>
      <c r="K861" s="3">
        <v>7</v>
      </c>
      <c r="L861">
        <f t="shared" si="134"/>
        <v>7.4999999999999997E-3</v>
      </c>
      <c r="M861">
        <f t="shared" si="131"/>
        <v>0.6</v>
      </c>
      <c r="N861" s="8">
        <v>80</v>
      </c>
      <c r="O861" s="14">
        <f t="shared" si="135"/>
        <v>7056</v>
      </c>
      <c r="P861" s="8">
        <v>20</v>
      </c>
      <c r="Q861" s="8">
        <f t="shared" si="139"/>
        <v>4</v>
      </c>
      <c r="R861" s="8">
        <f t="shared" si="140"/>
        <v>53.333333333333329</v>
      </c>
      <c r="S861" s="8">
        <f t="shared" si="136"/>
        <v>57.333333333333329</v>
      </c>
      <c r="T861" s="22">
        <f t="shared" si="132"/>
        <v>5.2226432970156322</v>
      </c>
      <c r="U861" s="19">
        <f t="shared" si="133"/>
        <v>5571.0034491946935</v>
      </c>
      <c r="V861" s="27" t="s">
        <v>2982</v>
      </c>
    </row>
    <row r="862" spans="1:22" ht="15" customHeight="1" x14ac:dyDescent="0.25">
      <c r="A862" t="s">
        <v>518</v>
      </c>
      <c r="B862" t="s">
        <v>1090</v>
      </c>
      <c r="C862" t="s">
        <v>2420</v>
      </c>
      <c r="D862" t="s">
        <v>2418</v>
      </c>
      <c r="E862" t="s">
        <v>234</v>
      </c>
      <c r="F862" s="5">
        <v>1400</v>
      </c>
      <c r="G862" t="s">
        <v>2421</v>
      </c>
      <c r="H862" s="3">
        <v>40</v>
      </c>
      <c r="I862" s="3">
        <v>30</v>
      </c>
      <c r="J862" s="3">
        <v>25</v>
      </c>
      <c r="K862" s="3">
        <v>25</v>
      </c>
      <c r="L862">
        <f t="shared" si="134"/>
        <v>0.03</v>
      </c>
      <c r="M862">
        <f t="shared" si="131"/>
        <v>0.15</v>
      </c>
      <c r="N862" s="8">
        <v>5</v>
      </c>
      <c r="O862" s="14">
        <f t="shared" si="135"/>
        <v>7000</v>
      </c>
      <c r="P862" s="8">
        <v>20</v>
      </c>
      <c r="Q862" s="8">
        <f t="shared" si="139"/>
        <v>0.25</v>
      </c>
      <c r="R862" s="8">
        <f t="shared" si="140"/>
        <v>3.333333333333333</v>
      </c>
      <c r="S862" s="8">
        <f t="shared" si="136"/>
        <v>3.583333333333333</v>
      </c>
      <c r="T862" s="22">
        <f t="shared" si="132"/>
        <v>5.1811937470393179</v>
      </c>
      <c r="U862" s="19">
        <f t="shared" si="133"/>
        <v>5576.1846429417328</v>
      </c>
      <c r="V862" s="27" t="s">
        <v>2982</v>
      </c>
    </row>
    <row r="863" spans="1:22" ht="15" customHeight="1" x14ac:dyDescent="0.25">
      <c r="A863" t="s">
        <v>518</v>
      </c>
      <c r="B863" t="s">
        <v>1090</v>
      </c>
      <c r="C863" t="s">
        <v>2405</v>
      </c>
      <c r="D863" t="s">
        <v>2402</v>
      </c>
      <c r="E863" t="s">
        <v>234</v>
      </c>
      <c r="F863" s="5">
        <v>1400</v>
      </c>
      <c r="G863" t="s">
        <v>757</v>
      </c>
      <c r="H863" s="3">
        <v>30</v>
      </c>
      <c r="I863" s="3">
        <v>25</v>
      </c>
      <c r="J863" s="3">
        <v>4</v>
      </c>
      <c r="K863" s="3">
        <v>20</v>
      </c>
      <c r="L863">
        <f t="shared" si="134"/>
        <v>3.0000000000000001E-3</v>
      </c>
      <c r="M863">
        <f t="shared" si="131"/>
        <v>1.4999999999999999E-2</v>
      </c>
      <c r="N863" s="8">
        <v>5</v>
      </c>
      <c r="O863" s="14">
        <f t="shared" si="135"/>
        <v>7000</v>
      </c>
      <c r="P863" s="8">
        <v>20</v>
      </c>
      <c r="Q863" s="8">
        <f t="shared" si="139"/>
        <v>0.25</v>
      </c>
      <c r="R863" s="8">
        <f t="shared" si="140"/>
        <v>3.333333333333333</v>
      </c>
      <c r="S863" s="8">
        <f t="shared" si="136"/>
        <v>3.583333333333333</v>
      </c>
      <c r="T863" s="22">
        <f t="shared" si="132"/>
        <v>5.1811937470393179</v>
      </c>
      <c r="U863" s="19">
        <f t="shared" si="133"/>
        <v>5581.3658366887721</v>
      </c>
      <c r="V863" s="27" t="s">
        <v>2982</v>
      </c>
    </row>
    <row r="864" spans="1:22" ht="15" customHeight="1" x14ac:dyDescent="0.25">
      <c r="A864" t="s">
        <v>518</v>
      </c>
      <c r="B864" t="s">
        <v>519</v>
      </c>
      <c r="C864" t="s">
        <v>537</v>
      </c>
      <c r="D864" t="s">
        <v>538</v>
      </c>
      <c r="E864" t="s">
        <v>24</v>
      </c>
      <c r="F864" s="5">
        <v>20</v>
      </c>
      <c r="G864" t="s">
        <v>522</v>
      </c>
      <c r="H864" s="3">
        <v>15</v>
      </c>
      <c r="I864" s="3">
        <v>20</v>
      </c>
      <c r="J864" s="3">
        <v>15</v>
      </c>
      <c r="K864" s="3">
        <v>1</v>
      </c>
      <c r="L864">
        <f t="shared" si="134"/>
        <v>4.4999999999999997E-3</v>
      </c>
      <c r="M864">
        <f t="shared" si="131"/>
        <v>1.575</v>
      </c>
      <c r="N864" s="8">
        <v>350</v>
      </c>
      <c r="O864" s="14">
        <f t="shared" si="135"/>
        <v>7000</v>
      </c>
      <c r="P864" s="8">
        <v>25</v>
      </c>
      <c r="Q864" s="8">
        <f>P864/N864</f>
        <v>7.1428571428571425E-2</v>
      </c>
      <c r="R864" s="8">
        <f>P864+Q864</f>
        <v>25.071428571428573</v>
      </c>
      <c r="S864" s="8">
        <f t="shared" si="136"/>
        <v>25.142857142857146</v>
      </c>
      <c r="T864" s="22">
        <f t="shared" si="132"/>
        <v>5.1811937470393179</v>
      </c>
      <c r="U864" s="19">
        <f t="shared" si="133"/>
        <v>5586.5470304358114</v>
      </c>
      <c r="V864" s="27" t="s">
        <v>2982</v>
      </c>
    </row>
    <row r="865" spans="1:22" ht="15" customHeight="1" x14ac:dyDescent="0.25">
      <c r="A865" t="s">
        <v>518</v>
      </c>
      <c r="B865" t="s">
        <v>1090</v>
      </c>
      <c r="C865" t="s">
        <v>765</v>
      </c>
      <c r="D865" t="s">
        <v>769</v>
      </c>
      <c r="E865" t="s">
        <v>234</v>
      </c>
      <c r="F865" s="5">
        <v>1398</v>
      </c>
      <c r="G865" t="s">
        <v>767</v>
      </c>
      <c r="H865" s="3">
        <v>40</v>
      </c>
      <c r="I865" s="3">
        <v>50</v>
      </c>
      <c r="J865" s="3">
        <v>72</v>
      </c>
      <c r="K865" s="3">
        <v>25.8</v>
      </c>
      <c r="L865">
        <f t="shared" si="134"/>
        <v>0.14399999999999999</v>
      </c>
      <c r="M865">
        <f t="shared" si="131"/>
        <v>0.72</v>
      </c>
      <c r="N865" s="8">
        <v>5</v>
      </c>
      <c r="O865" s="14">
        <f t="shared" si="135"/>
        <v>6990</v>
      </c>
      <c r="P865" s="8">
        <v>20</v>
      </c>
      <c r="Q865" s="8">
        <f>N865/P865</f>
        <v>0.25</v>
      </c>
      <c r="R865" s="8">
        <f>(N865/30)*P865</f>
        <v>3.333333333333333</v>
      </c>
      <c r="S865" s="8">
        <f t="shared" si="136"/>
        <v>3.583333333333333</v>
      </c>
      <c r="T865" s="22">
        <f t="shared" si="132"/>
        <v>5.1737920416864043</v>
      </c>
      <c r="U865" s="19">
        <f t="shared" si="133"/>
        <v>5591.7208224774977</v>
      </c>
      <c r="V865" s="27" t="s">
        <v>2982</v>
      </c>
    </row>
    <row r="866" spans="1:22" ht="15" customHeight="1" x14ac:dyDescent="0.25">
      <c r="A866" t="s">
        <v>518</v>
      </c>
      <c r="B866" t="s">
        <v>1091</v>
      </c>
      <c r="C866" t="s">
        <v>1225</v>
      </c>
      <c r="D866" t="s">
        <v>1226</v>
      </c>
      <c r="E866" t="s">
        <v>833</v>
      </c>
      <c r="F866" s="5">
        <v>72.16</v>
      </c>
      <c r="G866" t="s">
        <v>512</v>
      </c>
      <c r="H866" s="3">
        <v>58.5</v>
      </c>
      <c r="I866" s="3">
        <v>22.5</v>
      </c>
      <c r="J866" s="3">
        <v>32.5</v>
      </c>
      <c r="K866" s="3">
        <v>2.9049999999999998</v>
      </c>
      <c r="L866">
        <f t="shared" si="134"/>
        <v>4.2778125E-2</v>
      </c>
      <c r="M866">
        <f t="shared" si="131"/>
        <v>4.0639218750000001</v>
      </c>
      <c r="N866" s="8">
        <v>95</v>
      </c>
      <c r="O866" s="14">
        <f t="shared" si="135"/>
        <v>6855.2</v>
      </c>
      <c r="P866" s="8">
        <v>20</v>
      </c>
      <c r="Q866" s="8">
        <f>N866/P866</f>
        <v>4.75</v>
      </c>
      <c r="R866" s="8">
        <f>(N866/30)*P866</f>
        <v>63.333333333333329</v>
      </c>
      <c r="S866" s="8">
        <f t="shared" si="136"/>
        <v>68.083333333333329</v>
      </c>
      <c r="T866" s="22">
        <f t="shared" si="132"/>
        <v>5.0740170535291327</v>
      </c>
      <c r="U866" s="19">
        <f t="shared" si="133"/>
        <v>5596.7948395310268</v>
      </c>
      <c r="V866" s="27" t="s">
        <v>2982</v>
      </c>
    </row>
    <row r="867" spans="1:22" ht="15" customHeight="1" x14ac:dyDescent="0.25">
      <c r="A867" t="s">
        <v>518</v>
      </c>
      <c r="B867" t="s">
        <v>519</v>
      </c>
      <c r="C867" t="s">
        <v>586</v>
      </c>
      <c r="D867" t="s">
        <v>587</v>
      </c>
      <c r="E867" t="s">
        <v>234</v>
      </c>
      <c r="F867" s="5">
        <v>19.5</v>
      </c>
      <c r="G867" t="s">
        <v>588</v>
      </c>
      <c r="H867" s="3">
        <v>5</v>
      </c>
      <c r="I867" s="3">
        <v>20</v>
      </c>
      <c r="J867" s="3">
        <v>15</v>
      </c>
      <c r="K867" s="3">
        <v>1</v>
      </c>
      <c r="L867">
        <f t="shared" si="134"/>
        <v>1.5E-3</v>
      </c>
      <c r="M867">
        <f t="shared" si="131"/>
        <v>0.52500000000000002</v>
      </c>
      <c r="N867" s="8">
        <v>350</v>
      </c>
      <c r="O867" s="14">
        <f t="shared" si="135"/>
        <v>6825</v>
      </c>
      <c r="P867" s="8">
        <v>25</v>
      </c>
      <c r="Q867" s="8">
        <f>P867/N867</f>
        <v>7.1428571428571425E-2</v>
      </c>
      <c r="R867" s="8">
        <f>P867+Q867</f>
        <v>25.071428571428573</v>
      </c>
      <c r="S867" s="8">
        <f t="shared" si="136"/>
        <v>25.142857142857146</v>
      </c>
      <c r="T867" s="22">
        <f t="shared" si="132"/>
        <v>5.0516639033633348</v>
      </c>
      <c r="U867" s="19">
        <f t="shared" si="133"/>
        <v>5601.8465034343899</v>
      </c>
      <c r="V867" s="27" t="s">
        <v>2982</v>
      </c>
    </row>
    <row r="868" spans="1:22" ht="15" customHeight="1" x14ac:dyDescent="0.25">
      <c r="A868" t="s">
        <v>518</v>
      </c>
      <c r="B868" t="s">
        <v>1090</v>
      </c>
      <c r="C868" t="s">
        <v>2481</v>
      </c>
      <c r="D868" t="s">
        <v>748</v>
      </c>
      <c r="E868" t="s">
        <v>234</v>
      </c>
      <c r="F868" s="5">
        <v>1350</v>
      </c>
      <c r="G868" t="s">
        <v>2421</v>
      </c>
      <c r="H868" s="3">
        <v>40</v>
      </c>
      <c r="I868" s="3">
        <v>30</v>
      </c>
      <c r="J868" s="3">
        <v>40</v>
      </c>
      <c r="K868" s="3">
        <v>14</v>
      </c>
      <c r="L868">
        <f t="shared" si="134"/>
        <v>4.8000000000000001E-2</v>
      </c>
      <c r="M868">
        <f t="shared" si="131"/>
        <v>0.24</v>
      </c>
      <c r="N868" s="8">
        <v>5</v>
      </c>
      <c r="O868" s="14">
        <f t="shared" si="135"/>
        <v>6750</v>
      </c>
      <c r="P868" s="8">
        <v>20</v>
      </c>
      <c r="Q868" s="8">
        <f t="shared" ref="Q868:Q888" si="141">N868/P868</f>
        <v>0.25</v>
      </c>
      <c r="R868" s="8">
        <f t="shared" ref="R868:R888" si="142">(N868/30)*P868</f>
        <v>3.333333333333333</v>
      </c>
      <c r="S868" s="8">
        <f t="shared" si="136"/>
        <v>3.583333333333333</v>
      </c>
      <c r="T868" s="22">
        <f t="shared" si="132"/>
        <v>4.9961511132164853</v>
      </c>
      <c r="U868" s="19">
        <f t="shared" si="133"/>
        <v>5606.8426545476068</v>
      </c>
      <c r="V868" s="29" t="s">
        <v>2983</v>
      </c>
    </row>
    <row r="869" spans="1:22" ht="15" customHeight="1" x14ac:dyDescent="0.25">
      <c r="A869" t="s">
        <v>518</v>
      </c>
      <c r="B869" t="s">
        <v>637</v>
      </c>
      <c r="C869" t="s">
        <v>1275</v>
      </c>
      <c r="D869" t="s">
        <v>1276</v>
      </c>
      <c r="E869" t="s">
        <v>234</v>
      </c>
      <c r="F869" s="5">
        <v>165</v>
      </c>
      <c r="G869" t="s">
        <v>683</v>
      </c>
      <c r="H869" s="3">
        <v>25</v>
      </c>
      <c r="I869" s="3">
        <v>25</v>
      </c>
      <c r="J869" s="3">
        <v>10</v>
      </c>
      <c r="K869" s="3">
        <v>6.2500000000000003E-3</v>
      </c>
      <c r="L869">
        <f t="shared" si="134"/>
        <v>6.2500000000000003E-3</v>
      </c>
      <c r="M869">
        <f t="shared" si="131"/>
        <v>0.25</v>
      </c>
      <c r="N869" s="8">
        <v>40</v>
      </c>
      <c r="O869" s="14">
        <f t="shared" si="135"/>
        <v>6600</v>
      </c>
      <c r="P869" s="8">
        <v>20</v>
      </c>
      <c r="Q869" s="8">
        <f t="shared" si="141"/>
        <v>2</v>
      </c>
      <c r="R869" s="8">
        <f t="shared" si="142"/>
        <v>26.666666666666664</v>
      </c>
      <c r="S869" s="8">
        <f t="shared" si="136"/>
        <v>28.666666666666664</v>
      </c>
      <c r="T869" s="22">
        <f t="shared" si="132"/>
        <v>4.8851255329227854</v>
      </c>
      <c r="U869" s="19">
        <f t="shared" si="133"/>
        <v>5611.7277800805296</v>
      </c>
      <c r="V869" s="29" t="s">
        <v>2983</v>
      </c>
    </row>
    <row r="870" spans="1:22" ht="15" customHeight="1" x14ac:dyDescent="0.25">
      <c r="A870" t="s">
        <v>518</v>
      </c>
      <c r="B870" t="s">
        <v>1090</v>
      </c>
      <c r="C870" t="s">
        <v>784</v>
      </c>
      <c r="D870" t="s">
        <v>789</v>
      </c>
      <c r="E870" t="s">
        <v>234</v>
      </c>
      <c r="F870" s="5">
        <v>1317</v>
      </c>
      <c r="G870" t="s">
        <v>761</v>
      </c>
      <c r="H870" s="3">
        <v>125</v>
      </c>
      <c r="I870" s="3">
        <v>75</v>
      </c>
      <c r="J870" s="3">
        <v>6</v>
      </c>
      <c r="K870" s="3">
        <v>13.5</v>
      </c>
      <c r="L870">
        <f t="shared" si="134"/>
        <v>5.6250000000000001E-2</v>
      </c>
      <c r="M870">
        <f t="shared" si="131"/>
        <v>0.28125</v>
      </c>
      <c r="N870" s="8">
        <v>5</v>
      </c>
      <c r="O870" s="14">
        <f t="shared" si="135"/>
        <v>6585</v>
      </c>
      <c r="P870" s="8">
        <v>20</v>
      </c>
      <c r="Q870" s="8">
        <f t="shared" si="141"/>
        <v>0.25</v>
      </c>
      <c r="R870" s="8">
        <f t="shared" si="142"/>
        <v>3.333333333333333</v>
      </c>
      <c r="S870" s="8">
        <f t="shared" si="136"/>
        <v>3.583333333333333</v>
      </c>
      <c r="T870" s="22">
        <f t="shared" si="132"/>
        <v>4.8740229748934158</v>
      </c>
      <c r="U870" s="19">
        <f t="shared" si="133"/>
        <v>5616.6018030554233</v>
      </c>
      <c r="V870" s="29" t="s">
        <v>2983</v>
      </c>
    </row>
    <row r="871" spans="1:22" ht="15" customHeight="1" x14ac:dyDescent="0.25">
      <c r="A871" t="s">
        <v>518</v>
      </c>
      <c r="B871" t="s">
        <v>1090</v>
      </c>
      <c r="C871" t="s">
        <v>2409</v>
      </c>
      <c r="D871" t="s">
        <v>2402</v>
      </c>
      <c r="E871" t="s">
        <v>234</v>
      </c>
      <c r="F871" s="5">
        <v>1305</v>
      </c>
      <c r="G871" t="s">
        <v>2408</v>
      </c>
      <c r="H871" s="3">
        <v>35</v>
      </c>
      <c r="I871" s="3">
        <v>38</v>
      </c>
      <c r="J871" s="3">
        <v>8</v>
      </c>
      <c r="K871" s="3">
        <v>20</v>
      </c>
      <c r="L871">
        <f t="shared" si="134"/>
        <v>1.064E-2</v>
      </c>
      <c r="M871">
        <f t="shared" si="131"/>
        <v>5.3199999999999997E-2</v>
      </c>
      <c r="N871" s="8">
        <v>5</v>
      </c>
      <c r="O871" s="14">
        <f t="shared" si="135"/>
        <v>6525</v>
      </c>
      <c r="P871" s="8">
        <v>20</v>
      </c>
      <c r="Q871" s="8">
        <f t="shared" si="141"/>
        <v>0.25</v>
      </c>
      <c r="R871" s="8">
        <f t="shared" si="142"/>
        <v>3.333333333333333</v>
      </c>
      <c r="S871" s="8">
        <f t="shared" si="136"/>
        <v>3.583333333333333</v>
      </c>
      <c r="T871" s="22">
        <f t="shared" si="132"/>
        <v>4.8296127427759359</v>
      </c>
      <c r="U871" s="19">
        <f t="shared" si="133"/>
        <v>5621.4314157981989</v>
      </c>
      <c r="V871" s="29" t="s">
        <v>2983</v>
      </c>
    </row>
    <row r="872" spans="1:22" ht="15" customHeight="1" x14ac:dyDescent="0.25">
      <c r="A872" t="s">
        <v>518</v>
      </c>
      <c r="B872" t="s">
        <v>1090</v>
      </c>
      <c r="C872" t="s">
        <v>765</v>
      </c>
      <c r="D872" t="s">
        <v>770</v>
      </c>
      <c r="E872" t="s">
        <v>234</v>
      </c>
      <c r="F872" s="5">
        <v>1298</v>
      </c>
      <c r="G872" t="s">
        <v>757</v>
      </c>
      <c r="H872" s="3">
        <v>40</v>
      </c>
      <c r="I872" s="3">
        <v>50</v>
      </c>
      <c r="J872" s="3">
        <v>72</v>
      </c>
      <c r="K872" s="3">
        <v>25.8</v>
      </c>
      <c r="L872">
        <f t="shared" si="134"/>
        <v>0.14399999999999999</v>
      </c>
      <c r="M872">
        <f t="shared" si="131"/>
        <v>0.72</v>
      </c>
      <c r="N872" s="8">
        <v>5</v>
      </c>
      <c r="O872" s="14">
        <f t="shared" si="135"/>
        <v>6490</v>
      </c>
      <c r="P872" s="8">
        <v>20</v>
      </c>
      <c r="Q872" s="8">
        <f t="shared" si="141"/>
        <v>0.25</v>
      </c>
      <c r="R872" s="8">
        <f t="shared" si="142"/>
        <v>3.333333333333333</v>
      </c>
      <c r="S872" s="8">
        <f t="shared" si="136"/>
        <v>3.583333333333333</v>
      </c>
      <c r="T872" s="22">
        <f t="shared" si="132"/>
        <v>4.8037067740407391</v>
      </c>
      <c r="U872" s="19">
        <f t="shared" si="133"/>
        <v>5626.2351225722396</v>
      </c>
      <c r="V872" s="29" t="s">
        <v>2983</v>
      </c>
    </row>
    <row r="873" spans="1:22" ht="15" customHeight="1" x14ac:dyDescent="0.25">
      <c r="A873" t="s">
        <v>518</v>
      </c>
      <c r="B873" t="s">
        <v>637</v>
      </c>
      <c r="C873" t="s">
        <v>2311</v>
      </c>
      <c r="D873" t="s">
        <v>2316</v>
      </c>
      <c r="E873" t="s">
        <v>234</v>
      </c>
      <c r="F873" s="5">
        <v>159.9</v>
      </c>
      <c r="G873" t="s">
        <v>678</v>
      </c>
      <c r="H873" s="3">
        <v>20</v>
      </c>
      <c r="I873" s="3">
        <v>15</v>
      </c>
      <c r="J873" s="3">
        <v>8</v>
      </c>
      <c r="K873" s="3">
        <v>1</v>
      </c>
      <c r="L873">
        <f t="shared" si="134"/>
        <v>2.3999999999999998E-3</v>
      </c>
      <c r="M873">
        <f t="shared" si="131"/>
        <v>9.5999999999999988E-2</v>
      </c>
      <c r="N873" s="8">
        <v>40</v>
      </c>
      <c r="O873" s="14">
        <f t="shared" si="135"/>
        <v>6396</v>
      </c>
      <c r="P873" s="8">
        <v>20</v>
      </c>
      <c r="Q873" s="8">
        <f t="shared" si="141"/>
        <v>2</v>
      </c>
      <c r="R873" s="8">
        <f t="shared" si="142"/>
        <v>26.666666666666664</v>
      </c>
      <c r="S873" s="8">
        <f t="shared" si="136"/>
        <v>28.666666666666664</v>
      </c>
      <c r="T873" s="22">
        <f t="shared" si="132"/>
        <v>4.7341307437233544</v>
      </c>
      <c r="U873" s="19">
        <f t="shared" si="133"/>
        <v>5630.9692533159632</v>
      </c>
      <c r="V873" s="29" t="s">
        <v>2983</v>
      </c>
    </row>
    <row r="874" spans="1:22" ht="15" customHeight="1" x14ac:dyDescent="0.25">
      <c r="A874" t="s">
        <v>518</v>
      </c>
      <c r="B874" t="s">
        <v>1090</v>
      </c>
      <c r="C874" t="s">
        <v>765</v>
      </c>
      <c r="D874" t="s">
        <v>766</v>
      </c>
      <c r="E874" t="s">
        <v>234</v>
      </c>
      <c r="F874" s="5">
        <v>1598</v>
      </c>
      <c r="G874" t="s">
        <v>767</v>
      </c>
      <c r="H874" s="3">
        <v>40</v>
      </c>
      <c r="I874" s="3">
        <v>50</v>
      </c>
      <c r="J874" s="3">
        <v>72</v>
      </c>
      <c r="K874" s="3">
        <v>25.8</v>
      </c>
      <c r="L874">
        <f t="shared" si="134"/>
        <v>0.14399999999999999</v>
      </c>
      <c r="M874">
        <f t="shared" si="131"/>
        <v>0.57599999999999996</v>
      </c>
      <c r="N874" s="8">
        <v>4</v>
      </c>
      <c r="O874" s="14">
        <f t="shared" si="135"/>
        <v>6392</v>
      </c>
      <c r="P874" s="8">
        <v>20</v>
      </c>
      <c r="Q874" s="8">
        <f t="shared" si="141"/>
        <v>0.2</v>
      </c>
      <c r="R874" s="8">
        <f t="shared" si="142"/>
        <v>2.6666666666666665</v>
      </c>
      <c r="S874" s="8">
        <f t="shared" si="136"/>
        <v>2.8666666666666667</v>
      </c>
      <c r="T874" s="22">
        <f t="shared" si="132"/>
        <v>4.7311700615821888</v>
      </c>
      <c r="U874" s="19">
        <f t="shared" si="133"/>
        <v>5635.7004233775451</v>
      </c>
      <c r="V874" s="29" t="s">
        <v>2983</v>
      </c>
    </row>
    <row r="875" spans="1:22" ht="15" customHeight="1" x14ac:dyDescent="0.25">
      <c r="A875" t="s">
        <v>518</v>
      </c>
      <c r="B875" t="s">
        <v>1090</v>
      </c>
      <c r="C875" t="s">
        <v>775</v>
      </c>
      <c r="D875" t="s">
        <v>592</v>
      </c>
      <c r="E875" t="s">
        <v>234</v>
      </c>
      <c r="F875" s="5">
        <v>1269</v>
      </c>
      <c r="G875" t="s">
        <v>678</v>
      </c>
      <c r="H875" s="3">
        <v>55</v>
      </c>
      <c r="I875" s="3">
        <v>115</v>
      </c>
      <c r="J875" s="3">
        <v>49</v>
      </c>
      <c r="K875" s="3">
        <v>10.5</v>
      </c>
      <c r="L875">
        <f t="shared" si="134"/>
        <v>0.30992500000000001</v>
      </c>
      <c r="M875">
        <f t="shared" si="131"/>
        <v>1.549625</v>
      </c>
      <c r="N875" s="8">
        <v>5</v>
      </c>
      <c r="O875" s="14">
        <f t="shared" si="135"/>
        <v>6345</v>
      </c>
      <c r="P875" s="8">
        <v>20</v>
      </c>
      <c r="Q875" s="8">
        <f t="shared" si="141"/>
        <v>0.25</v>
      </c>
      <c r="R875" s="8">
        <f t="shared" si="142"/>
        <v>3.333333333333333</v>
      </c>
      <c r="S875" s="8">
        <f t="shared" si="136"/>
        <v>3.583333333333333</v>
      </c>
      <c r="T875" s="22">
        <f t="shared" si="132"/>
        <v>4.696382046423496</v>
      </c>
      <c r="U875" s="19">
        <f t="shared" si="133"/>
        <v>5640.3968054239685</v>
      </c>
      <c r="V875" s="29" t="s">
        <v>2983</v>
      </c>
    </row>
    <row r="876" spans="1:22" ht="15" customHeight="1" x14ac:dyDescent="0.25">
      <c r="A876" t="s">
        <v>518</v>
      </c>
      <c r="B876" t="s">
        <v>1090</v>
      </c>
      <c r="C876" t="s">
        <v>775</v>
      </c>
      <c r="D876" t="s">
        <v>558</v>
      </c>
      <c r="E876" t="s">
        <v>234</v>
      </c>
      <c r="F876" s="5">
        <v>1259</v>
      </c>
      <c r="G876" t="s">
        <v>678</v>
      </c>
      <c r="H876" s="3">
        <v>55</v>
      </c>
      <c r="I876" s="3">
        <v>115</v>
      </c>
      <c r="J876" s="3">
        <v>49</v>
      </c>
      <c r="K876" s="3">
        <v>12</v>
      </c>
      <c r="L876">
        <f t="shared" si="134"/>
        <v>0.30992500000000001</v>
      </c>
      <c r="M876">
        <f t="shared" si="131"/>
        <v>1.549625</v>
      </c>
      <c r="N876" s="8">
        <v>5</v>
      </c>
      <c r="O876" s="14">
        <f t="shared" si="135"/>
        <v>6295</v>
      </c>
      <c r="P876" s="8">
        <v>20</v>
      </c>
      <c r="Q876" s="8">
        <f t="shared" si="141"/>
        <v>0.25</v>
      </c>
      <c r="R876" s="8">
        <f t="shared" si="142"/>
        <v>3.333333333333333</v>
      </c>
      <c r="S876" s="8">
        <f t="shared" si="136"/>
        <v>3.583333333333333</v>
      </c>
      <c r="T876" s="22">
        <f t="shared" si="132"/>
        <v>4.6593735196589297</v>
      </c>
      <c r="U876" s="19">
        <f t="shared" si="133"/>
        <v>5645.0561789436279</v>
      </c>
      <c r="V876" s="29" t="s">
        <v>2983</v>
      </c>
    </row>
    <row r="877" spans="1:22" ht="15" customHeight="1" x14ac:dyDescent="0.25">
      <c r="A877" t="s">
        <v>518</v>
      </c>
      <c r="B877" t="s">
        <v>1090</v>
      </c>
      <c r="C877" t="s">
        <v>784</v>
      </c>
      <c r="D877" t="s">
        <v>791</v>
      </c>
      <c r="E877" t="s">
        <v>234</v>
      </c>
      <c r="F877" s="5">
        <v>1257</v>
      </c>
      <c r="G877" t="s">
        <v>761</v>
      </c>
      <c r="H877" s="3">
        <v>125</v>
      </c>
      <c r="I877" s="3">
        <v>75</v>
      </c>
      <c r="J877" s="3">
        <v>8</v>
      </c>
      <c r="K877" s="3">
        <v>13.5</v>
      </c>
      <c r="L877">
        <f t="shared" si="134"/>
        <v>7.4999999999999997E-2</v>
      </c>
      <c r="M877">
        <f t="shared" si="131"/>
        <v>0.375</v>
      </c>
      <c r="N877" s="8">
        <v>5</v>
      </c>
      <c r="O877" s="14">
        <f t="shared" si="135"/>
        <v>6285</v>
      </c>
      <c r="P877" s="8">
        <v>20</v>
      </c>
      <c r="Q877" s="8">
        <f t="shared" si="141"/>
        <v>0.25</v>
      </c>
      <c r="R877" s="8">
        <f t="shared" si="142"/>
        <v>3.333333333333333</v>
      </c>
      <c r="S877" s="8">
        <f t="shared" si="136"/>
        <v>3.583333333333333</v>
      </c>
      <c r="T877" s="22">
        <f t="shared" si="132"/>
        <v>4.651971814306016</v>
      </c>
      <c r="U877" s="19">
        <f t="shared" si="133"/>
        <v>5649.7081507579342</v>
      </c>
      <c r="V877" s="29" t="s">
        <v>2983</v>
      </c>
    </row>
    <row r="878" spans="1:22" ht="15" customHeight="1" x14ac:dyDescent="0.25">
      <c r="A878" t="s">
        <v>518</v>
      </c>
      <c r="B878" t="s">
        <v>637</v>
      </c>
      <c r="C878" t="s">
        <v>2311</v>
      </c>
      <c r="D878" t="s">
        <v>2318</v>
      </c>
      <c r="E878" t="s">
        <v>234</v>
      </c>
      <c r="F878" s="5">
        <v>154.9</v>
      </c>
      <c r="G878" t="s">
        <v>679</v>
      </c>
      <c r="H878" s="3">
        <v>20</v>
      </c>
      <c r="I878" s="3">
        <v>15</v>
      </c>
      <c r="J878" s="3">
        <v>8</v>
      </c>
      <c r="K878" s="3">
        <v>1</v>
      </c>
      <c r="L878">
        <f t="shared" si="134"/>
        <v>2.3999999999999998E-3</v>
      </c>
      <c r="M878">
        <f t="shared" ref="M878:M941" si="143">L878*N878</f>
        <v>9.5999999999999988E-2</v>
      </c>
      <c r="N878" s="8">
        <v>40</v>
      </c>
      <c r="O878" s="14">
        <f t="shared" si="135"/>
        <v>6196</v>
      </c>
      <c r="P878" s="8">
        <v>20</v>
      </c>
      <c r="Q878" s="8">
        <f t="shared" si="141"/>
        <v>2</v>
      </c>
      <c r="R878" s="8">
        <f t="shared" si="142"/>
        <v>26.666666666666664</v>
      </c>
      <c r="S878" s="8">
        <f t="shared" si="136"/>
        <v>28.666666666666664</v>
      </c>
      <c r="T878" s="22">
        <f t="shared" si="132"/>
        <v>4.5860966366650882</v>
      </c>
      <c r="U878" s="19">
        <f t="shared" si="133"/>
        <v>5654.2942473945996</v>
      </c>
      <c r="V878" s="29" t="s">
        <v>2983</v>
      </c>
    </row>
    <row r="879" spans="1:22" ht="15" customHeight="1" x14ac:dyDescent="0.25">
      <c r="A879" t="s">
        <v>518</v>
      </c>
      <c r="B879" t="s">
        <v>637</v>
      </c>
      <c r="C879" t="s">
        <v>2265</v>
      </c>
      <c r="D879" t="s">
        <v>652</v>
      </c>
      <c r="E879" t="s">
        <v>234</v>
      </c>
      <c r="F879" s="5">
        <v>75</v>
      </c>
      <c r="G879" t="s">
        <v>305</v>
      </c>
      <c r="H879" s="3">
        <v>15</v>
      </c>
      <c r="I879" s="3">
        <v>20</v>
      </c>
      <c r="J879" s="3">
        <v>25</v>
      </c>
      <c r="K879" s="3">
        <v>7</v>
      </c>
      <c r="L879">
        <f t="shared" si="134"/>
        <v>7.4999999999999997E-3</v>
      </c>
      <c r="M879">
        <f t="shared" si="143"/>
        <v>0.6</v>
      </c>
      <c r="N879" s="8">
        <v>80</v>
      </c>
      <c r="O879" s="14">
        <f t="shared" si="135"/>
        <v>6000</v>
      </c>
      <c r="P879" s="8">
        <v>20</v>
      </c>
      <c r="Q879" s="8">
        <f t="shared" si="141"/>
        <v>4</v>
      </c>
      <c r="R879" s="8">
        <f t="shared" si="142"/>
        <v>53.333333333333329</v>
      </c>
      <c r="S879" s="8">
        <f t="shared" si="136"/>
        <v>57.333333333333329</v>
      </c>
      <c r="T879" s="22">
        <f t="shared" si="132"/>
        <v>4.4410232117479866</v>
      </c>
      <c r="U879" s="19">
        <f t="shared" si="133"/>
        <v>5658.7352706063475</v>
      </c>
      <c r="V879" s="29" t="s">
        <v>2983</v>
      </c>
    </row>
    <row r="880" spans="1:22" ht="15" customHeight="1" x14ac:dyDescent="0.25">
      <c r="A880" t="s">
        <v>518</v>
      </c>
      <c r="B880" t="s">
        <v>637</v>
      </c>
      <c r="C880" t="s">
        <v>2253</v>
      </c>
      <c r="D880" t="s">
        <v>2255</v>
      </c>
      <c r="E880" t="s">
        <v>234</v>
      </c>
      <c r="F880" s="5">
        <v>75</v>
      </c>
      <c r="G880" t="s">
        <v>512</v>
      </c>
      <c r="H880" s="3">
        <v>15</v>
      </c>
      <c r="I880" s="3">
        <v>20</v>
      </c>
      <c r="J880" s="3">
        <v>25</v>
      </c>
      <c r="K880" s="3">
        <v>4</v>
      </c>
      <c r="L880">
        <f t="shared" si="134"/>
        <v>7.4999999999999997E-3</v>
      </c>
      <c r="M880">
        <f t="shared" si="143"/>
        <v>0.6</v>
      </c>
      <c r="N880" s="8">
        <v>80</v>
      </c>
      <c r="O880" s="14">
        <f t="shared" si="135"/>
        <v>6000</v>
      </c>
      <c r="P880" s="8">
        <v>20</v>
      </c>
      <c r="Q880" s="8">
        <f t="shared" si="141"/>
        <v>4</v>
      </c>
      <c r="R880" s="8">
        <f t="shared" si="142"/>
        <v>53.333333333333329</v>
      </c>
      <c r="S880" s="8">
        <f t="shared" si="136"/>
        <v>57.333333333333329</v>
      </c>
      <c r="T880" s="22">
        <f t="shared" si="132"/>
        <v>4.4410232117479866</v>
      </c>
      <c r="U880" s="19">
        <f t="shared" si="133"/>
        <v>5663.1762938180955</v>
      </c>
      <c r="V880" s="29" t="s">
        <v>2983</v>
      </c>
    </row>
    <row r="881" spans="1:22" ht="15" customHeight="1" x14ac:dyDescent="0.25">
      <c r="A881" t="s">
        <v>518</v>
      </c>
      <c r="B881" t="s">
        <v>637</v>
      </c>
      <c r="C881" t="s">
        <v>2259</v>
      </c>
      <c r="D881" t="s">
        <v>2260</v>
      </c>
      <c r="E881" t="s">
        <v>234</v>
      </c>
      <c r="F881" s="5">
        <v>75</v>
      </c>
      <c r="G881" t="s">
        <v>642</v>
      </c>
      <c r="H881" s="3">
        <v>15</v>
      </c>
      <c r="I881" s="3">
        <v>20</v>
      </c>
      <c r="J881" s="3">
        <v>25</v>
      </c>
      <c r="K881" s="3">
        <v>3</v>
      </c>
      <c r="L881">
        <f t="shared" si="134"/>
        <v>7.4999999999999997E-3</v>
      </c>
      <c r="M881">
        <f t="shared" si="143"/>
        <v>0.6</v>
      </c>
      <c r="N881" s="8">
        <v>80</v>
      </c>
      <c r="O881" s="14">
        <f t="shared" si="135"/>
        <v>6000</v>
      </c>
      <c r="P881" s="8">
        <v>20</v>
      </c>
      <c r="Q881" s="8">
        <f t="shared" si="141"/>
        <v>4</v>
      </c>
      <c r="R881" s="8">
        <f t="shared" si="142"/>
        <v>53.333333333333329</v>
      </c>
      <c r="S881" s="8">
        <f t="shared" si="136"/>
        <v>57.333333333333329</v>
      </c>
      <c r="T881" s="22">
        <f t="shared" si="132"/>
        <v>4.4410232117479866</v>
      </c>
      <c r="U881" s="19">
        <f t="shared" si="133"/>
        <v>5667.6173170298434</v>
      </c>
      <c r="V881" s="29" t="s">
        <v>2983</v>
      </c>
    </row>
    <row r="882" spans="1:22" ht="15" customHeight="1" x14ac:dyDescent="0.25">
      <c r="A882" t="s">
        <v>518</v>
      </c>
      <c r="B882" t="s">
        <v>637</v>
      </c>
      <c r="C882" t="s">
        <v>2261</v>
      </c>
      <c r="D882" t="s">
        <v>2260</v>
      </c>
      <c r="E882" t="s">
        <v>234</v>
      </c>
      <c r="F882" s="5">
        <v>75</v>
      </c>
      <c r="G882" t="s">
        <v>642</v>
      </c>
      <c r="H882" s="3">
        <v>15</v>
      </c>
      <c r="I882" s="3">
        <v>20</v>
      </c>
      <c r="J882" s="3">
        <v>25</v>
      </c>
      <c r="K882" s="3">
        <v>3</v>
      </c>
      <c r="L882">
        <f t="shared" si="134"/>
        <v>7.4999999999999997E-3</v>
      </c>
      <c r="M882">
        <f t="shared" si="143"/>
        <v>0.6</v>
      </c>
      <c r="N882" s="8">
        <v>80</v>
      </c>
      <c r="O882" s="14">
        <f t="shared" si="135"/>
        <v>6000</v>
      </c>
      <c r="P882" s="8">
        <v>20</v>
      </c>
      <c r="Q882" s="8">
        <f t="shared" si="141"/>
        <v>4</v>
      </c>
      <c r="R882" s="8">
        <f t="shared" si="142"/>
        <v>53.333333333333329</v>
      </c>
      <c r="S882" s="8">
        <f t="shared" si="136"/>
        <v>57.333333333333329</v>
      </c>
      <c r="T882" s="22">
        <f t="shared" si="132"/>
        <v>4.4410232117479866</v>
      </c>
      <c r="U882" s="19">
        <f t="shared" si="133"/>
        <v>5672.0583402415914</v>
      </c>
      <c r="V882" s="29" t="s">
        <v>2983</v>
      </c>
    </row>
    <row r="883" spans="1:22" ht="15" customHeight="1" x14ac:dyDescent="0.25">
      <c r="A883" t="s">
        <v>518</v>
      </c>
      <c r="B883" t="s">
        <v>1090</v>
      </c>
      <c r="C883" t="s">
        <v>2401</v>
      </c>
      <c r="D883" t="s">
        <v>2402</v>
      </c>
      <c r="E883" t="s">
        <v>234</v>
      </c>
      <c r="F883" s="5">
        <v>1200</v>
      </c>
      <c r="G883" t="s">
        <v>794</v>
      </c>
      <c r="H883" s="3">
        <v>50</v>
      </c>
      <c r="I883" s="3">
        <v>25</v>
      </c>
      <c r="J883" s="3">
        <v>8</v>
      </c>
      <c r="K883" s="3">
        <v>25</v>
      </c>
      <c r="L883">
        <f t="shared" si="134"/>
        <v>0.01</v>
      </c>
      <c r="M883">
        <f t="shared" si="143"/>
        <v>0.05</v>
      </c>
      <c r="N883" s="8">
        <v>5</v>
      </c>
      <c r="O883" s="14">
        <f t="shared" si="135"/>
        <v>6000</v>
      </c>
      <c r="P883" s="8">
        <v>20</v>
      </c>
      <c r="Q883" s="8">
        <f t="shared" si="141"/>
        <v>0.25</v>
      </c>
      <c r="R883" s="8">
        <f t="shared" si="142"/>
        <v>3.333333333333333</v>
      </c>
      <c r="S883" s="8">
        <f t="shared" si="136"/>
        <v>3.583333333333333</v>
      </c>
      <c r="T883" s="22">
        <f t="shared" si="132"/>
        <v>4.4410232117479866</v>
      </c>
      <c r="U883" s="19">
        <f t="shared" si="133"/>
        <v>5676.4993634533394</v>
      </c>
      <c r="V883" s="29" t="s">
        <v>2983</v>
      </c>
    </row>
    <row r="884" spans="1:22" ht="15" customHeight="1" x14ac:dyDescent="0.25">
      <c r="A884" t="s">
        <v>518</v>
      </c>
      <c r="B884" t="s">
        <v>1090</v>
      </c>
      <c r="C884" t="s">
        <v>2403</v>
      </c>
      <c r="D884" t="s">
        <v>2402</v>
      </c>
      <c r="E884" t="s">
        <v>234</v>
      </c>
      <c r="F884" s="5">
        <v>1200</v>
      </c>
      <c r="G884" t="s">
        <v>794</v>
      </c>
      <c r="H884" s="3">
        <v>25</v>
      </c>
      <c r="I884" s="3">
        <v>20</v>
      </c>
      <c r="J884" s="3">
        <v>6</v>
      </c>
      <c r="K884" s="3">
        <v>20</v>
      </c>
      <c r="L884">
        <f t="shared" si="134"/>
        <v>3.0000000000000001E-3</v>
      </c>
      <c r="M884">
        <f t="shared" si="143"/>
        <v>1.4999999999999999E-2</v>
      </c>
      <c r="N884" s="8">
        <v>5</v>
      </c>
      <c r="O884" s="14">
        <f t="shared" si="135"/>
        <v>6000</v>
      </c>
      <c r="P884" s="8">
        <v>20</v>
      </c>
      <c r="Q884" s="8">
        <f t="shared" si="141"/>
        <v>0.25</v>
      </c>
      <c r="R884" s="8">
        <f t="shared" si="142"/>
        <v>3.333333333333333</v>
      </c>
      <c r="S884" s="8">
        <f t="shared" si="136"/>
        <v>3.583333333333333</v>
      </c>
      <c r="T884" s="22">
        <f t="shared" si="132"/>
        <v>4.4410232117479866</v>
      </c>
      <c r="U884" s="19">
        <f t="shared" si="133"/>
        <v>5680.9403866650873</v>
      </c>
      <c r="V884" s="29" t="s">
        <v>2983</v>
      </c>
    </row>
    <row r="885" spans="1:22" ht="15" customHeight="1" x14ac:dyDescent="0.25">
      <c r="A885" t="s">
        <v>518</v>
      </c>
      <c r="B885" t="s">
        <v>637</v>
      </c>
      <c r="C885" t="s">
        <v>2261</v>
      </c>
      <c r="D885" t="s">
        <v>2260</v>
      </c>
      <c r="E885" t="s">
        <v>234</v>
      </c>
      <c r="F885" s="5">
        <v>74.75</v>
      </c>
      <c r="G885" t="s">
        <v>642</v>
      </c>
      <c r="H885" s="3">
        <v>15</v>
      </c>
      <c r="I885" s="3">
        <v>20</v>
      </c>
      <c r="J885" s="3">
        <v>25</v>
      </c>
      <c r="K885" s="3">
        <v>3</v>
      </c>
      <c r="L885">
        <f t="shared" si="134"/>
        <v>7.4999999999999997E-3</v>
      </c>
      <c r="M885">
        <f t="shared" si="143"/>
        <v>0.6</v>
      </c>
      <c r="N885" s="8">
        <v>80</v>
      </c>
      <c r="O885" s="14">
        <f t="shared" si="135"/>
        <v>5980</v>
      </c>
      <c r="P885" s="8">
        <v>20</v>
      </c>
      <c r="Q885" s="8">
        <f t="shared" si="141"/>
        <v>4</v>
      </c>
      <c r="R885" s="8">
        <f t="shared" si="142"/>
        <v>53.333333333333329</v>
      </c>
      <c r="S885" s="8">
        <f t="shared" si="136"/>
        <v>57.333333333333329</v>
      </c>
      <c r="T885" s="22">
        <f t="shared" ref="T885:T948" si="144">O885/O$1749</f>
        <v>4.4262198010421603</v>
      </c>
      <c r="U885" s="19">
        <f t="shared" ref="U885:U948" si="145">U884+T885</f>
        <v>5685.3666064661293</v>
      </c>
      <c r="V885" s="29" t="s">
        <v>2983</v>
      </c>
    </row>
    <row r="886" spans="1:22" ht="15" customHeight="1" x14ac:dyDescent="0.25">
      <c r="A886" t="s">
        <v>518</v>
      </c>
      <c r="B886" t="s">
        <v>637</v>
      </c>
      <c r="C886" t="s">
        <v>1283</v>
      </c>
      <c r="D886" t="s">
        <v>1284</v>
      </c>
      <c r="E886" t="s">
        <v>234</v>
      </c>
      <c r="F886" s="5">
        <v>170</v>
      </c>
      <c r="G886" t="s">
        <v>683</v>
      </c>
      <c r="H886" s="3">
        <v>20</v>
      </c>
      <c r="I886" s="3">
        <v>20</v>
      </c>
      <c r="J886" s="3">
        <v>5.5</v>
      </c>
      <c r="K886" s="3">
        <v>2.2000000000000001E-3</v>
      </c>
      <c r="L886">
        <f t="shared" si="134"/>
        <v>2.2000000000000001E-3</v>
      </c>
      <c r="M886">
        <f t="shared" si="143"/>
        <v>7.6999999999999999E-2</v>
      </c>
      <c r="N886" s="8">
        <v>35</v>
      </c>
      <c r="O886" s="14">
        <f t="shared" si="135"/>
        <v>5950</v>
      </c>
      <c r="P886" s="8">
        <v>20</v>
      </c>
      <c r="Q886" s="8">
        <f t="shared" si="141"/>
        <v>1.75</v>
      </c>
      <c r="R886" s="8">
        <f t="shared" si="142"/>
        <v>23.333333333333336</v>
      </c>
      <c r="S886" s="8">
        <f t="shared" si="136"/>
        <v>25.083333333333336</v>
      </c>
      <c r="T886" s="22">
        <f t="shared" si="144"/>
        <v>4.4040146849834203</v>
      </c>
      <c r="U886" s="19">
        <f t="shared" si="145"/>
        <v>5689.7706211511131</v>
      </c>
      <c r="V886" s="29" t="s">
        <v>2983</v>
      </c>
    </row>
    <row r="887" spans="1:22" ht="15" customHeight="1" x14ac:dyDescent="0.25">
      <c r="A887" t="s">
        <v>518</v>
      </c>
      <c r="B887" t="s">
        <v>637</v>
      </c>
      <c r="C887" t="s">
        <v>1279</v>
      </c>
      <c r="D887" t="s">
        <v>1280</v>
      </c>
      <c r="E887" t="s">
        <v>234</v>
      </c>
      <c r="F887" s="5">
        <v>170</v>
      </c>
      <c r="G887" t="s">
        <v>683</v>
      </c>
      <c r="H887" s="3">
        <v>20</v>
      </c>
      <c r="I887" s="3">
        <v>20</v>
      </c>
      <c r="J887" s="3">
        <v>5</v>
      </c>
      <c r="K887" s="3">
        <v>2E-3</v>
      </c>
      <c r="L887">
        <f t="shared" si="134"/>
        <v>2E-3</v>
      </c>
      <c r="M887">
        <f t="shared" si="143"/>
        <v>7.0000000000000007E-2</v>
      </c>
      <c r="N887" s="8">
        <v>35</v>
      </c>
      <c r="O887" s="14">
        <f t="shared" si="135"/>
        <v>5950</v>
      </c>
      <c r="P887" s="8">
        <v>20</v>
      </c>
      <c r="Q887" s="8">
        <f t="shared" si="141"/>
        <v>1.75</v>
      </c>
      <c r="R887" s="8">
        <f t="shared" si="142"/>
        <v>23.333333333333336</v>
      </c>
      <c r="S887" s="8">
        <f t="shared" si="136"/>
        <v>25.083333333333336</v>
      </c>
      <c r="T887" s="22">
        <f t="shared" si="144"/>
        <v>4.4040146849834203</v>
      </c>
      <c r="U887" s="19">
        <f t="shared" si="145"/>
        <v>5694.174635836097</v>
      </c>
      <c r="V887" s="29" t="s">
        <v>2983</v>
      </c>
    </row>
    <row r="888" spans="1:22" ht="15" customHeight="1" x14ac:dyDescent="0.25">
      <c r="A888" t="s">
        <v>518</v>
      </c>
      <c r="B888" t="s">
        <v>1090</v>
      </c>
      <c r="C888" t="s">
        <v>2352</v>
      </c>
      <c r="D888" t="s">
        <v>2356</v>
      </c>
      <c r="E888" t="s">
        <v>234</v>
      </c>
      <c r="F888" s="5">
        <v>1190</v>
      </c>
      <c r="G888" t="s">
        <v>2354</v>
      </c>
      <c r="H888" s="3">
        <v>100</v>
      </c>
      <c r="I888" s="3">
        <v>100</v>
      </c>
      <c r="J888" s="3">
        <v>100</v>
      </c>
      <c r="K888" s="3">
        <v>48</v>
      </c>
      <c r="L888">
        <f t="shared" si="134"/>
        <v>1</v>
      </c>
      <c r="M888">
        <f t="shared" si="143"/>
        <v>5</v>
      </c>
      <c r="N888" s="8">
        <v>5</v>
      </c>
      <c r="O888" s="14">
        <f t="shared" si="135"/>
        <v>5950</v>
      </c>
      <c r="P888" s="8">
        <v>20</v>
      </c>
      <c r="Q888" s="8">
        <f t="shared" si="141"/>
        <v>0.25</v>
      </c>
      <c r="R888" s="8">
        <f t="shared" si="142"/>
        <v>3.333333333333333</v>
      </c>
      <c r="S888" s="8">
        <f t="shared" si="136"/>
        <v>3.583333333333333</v>
      </c>
      <c r="T888" s="22">
        <f t="shared" si="144"/>
        <v>4.4040146849834203</v>
      </c>
      <c r="U888" s="19">
        <f t="shared" si="145"/>
        <v>5698.5786505210808</v>
      </c>
      <c r="V888" s="29" t="s">
        <v>2983</v>
      </c>
    </row>
    <row r="889" spans="1:22" ht="15" customHeight="1" x14ac:dyDescent="0.25">
      <c r="A889" t="s">
        <v>518</v>
      </c>
      <c r="B889" t="s">
        <v>519</v>
      </c>
      <c r="C889" t="s">
        <v>599</v>
      </c>
      <c r="D889" t="s">
        <v>600</v>
      </c>
      <c r="E889" t="s">
        <v>234</v>
      </c>
      <c r="F889" s="5">
        <v>17</v>
      </c>
      <c r="G889" t="s">
        <v>588</v>
      </c>
      <c r="H889" s="3">
        <v>10</v>
      </c>
      <c r="I889" s="3">
        <v>15</v>
      </c>
      <c r="J889" s="3">
        <v>10</v>
      </c>
      <c r="K889" s="3">
        <v>1</v>
      </c>
      <c r="L889">
        <f t="shared" si="134"/>
        <v>1.5E-3</v>
      </c>
      <c r="M889">
        <f t="shared" si="143"/>
        <v>0.52500000000000002</v>
      </c>
      <c r="N889" s="8">
        <v>350</v>
      </c>
      <c r="O889" s="14">
        <f t="shared" si="135"/>
        <v>5950</v>
      </c>
      <c r="P889" s="8">
        <v>25</v>
      </c>
      <c r="Q889" s="8">
        <f>P889/N889</f>
        <v>7.1428571428571425E-2</v>
      </c>
      <c r="R889" s="8">
        <f>P889+Q889</f>
        <v>25.071428571428573</v>
      </c>
      <c r="S889" s="8">
        <f t="shared" si="136"/>
        <v>25.142857142857146</v>
      </c>
      <c r="T889" s="22">
        <f t="shared" si="144"/>
        <v>4.4040146849834203</v>
      </c>
      <c r="U889" s="19">
        <f t="shared" si="145"/>
        <v>5702.9826652060647</v>
      </c>
      <c r="V889" s="29" t="s">
        <v>2983</v>
      </c>
    </row>
    <row r="890" spans="1:22" ht="15" customHeight="1" x14ac:dyDescent="0.25">
      <c r="A890" t="s">
        <v>518</v>
      </c>
      <c r="B890" t="s">
        <v>637</v>
      </c>
      <c r="C890" t="s">
        <v>1273</v>
      </c>
      <c r="D890" t="s">
        <v>1274</v>
      </c>
      <c r="E890" t="s">
        <v>234</v>
      </c>
      <c r="F890" s="5">
        <v>160</v>
      </c>
      <c r="G890" t="s">
        <v>683</v>
      </c>
      <c r="H890" s="3">
        <v>30</v>
      </c>
      <c r="I890" s="3">
        <v>30</v>
      </c>
      <c r="J890" s="3">
        <v>9.5</v>
      </c>
      <c r="K890" s="3">
        <v>8.5500000000000003E-3</v>
      </c>
      <c r="L890">
        <f t="shared" si="134"/>
        <v>8.5500000000000003E-3</v>
      </c>
      <c r="M890">
        <f t="shared" si="143"/>
        <v>0.30780000000000002</v>
      </c>
      <c r="N890" s="8">
        <v>36</v>
      </c>
      <c r="O890" s="14">
        <f t="shared" si="135"/>
        <v>5760</v>
      </c>
      <c r="P890" s="8">
        <v>20</v>
      </c>
      <c r="Q890" s="8">
        <f t="shared" ref="Q890:Q901" si="146">N890/P890</f>
        <v>1.8</v>
      </c>
      <c r="R890" s="8">
        <f t="shared" ref="R890:R901" si="147">(N890/30)*P890</f>
        <v>24</v>
      </c>
      <c r="S890" s="8">
        <f t="shared" si="136"/>
        <v>25.8</v>
      </c>
      <c r="T890" s="22">
        <f t="shared" si="144"/>
        <v>4.2633822832780677</v>
      </c>
      <c r="U890" s="19">
        <f t="shared" si="145"/>
        <v>5707.2460474893423</v>
      </c>
      <c r="V890" s="29" t="s">
        <v>2983</v>
      </c>
    </row>
    <row r="891" spans="1:22" ht="15" customHeight="1" x14ac:dyDescent="0.25">
      <c r="A891" t="s">
        <v>518</v>
      </c>
      <c r="B891" t="s">
        <v>1091</v>
      </c>
      <c r="C891" t="s">
        <v>2073</v>
      </c>
      <c r="D891" t="s">
        <v>2074</v>
      </c>
      <c r="E891" t="s">
        <v>480</v>
      </c>
      <c r="F891" s="5">
        <v>21.99</v>
      </c>
      <c r="G891" t="s">
        <v>512</v>
      </c>
      <c r="H891" s="3">
        <v>1.3</v>
      </c>
      <c r="I891" s="3">
        <v>15</v>
      </c>
      <c r="J891" s="3">
        <v>18.5</v>
      </c>
      <c r="K891" s="3">
        <v>1.47</v>
      </c>
      <c r="L891">
        <f t="shared" si="134"/>
        <v>3.6075000000000001E-4</v>
      </c>
      <c r="M891">
        <f t="shared" si="143"/>
        <v>9.3795000000000003E-2</v>
      </c>
      <c r="N891" s="8">
        <v>260</v>
      </c>
      <c r="O891" s="14">
        <f t="shared" si="135"/>
        <v>5717.4</v>
      </c>
      <c r="P891" s="8">
        <v>20</v>
      </c>
      <c r="Q891" s="8">
        <f t="shared" si="146"/>
        <v>13</v>
      </c>
      <c r="R891" s="8">
        <f t="shared" si="147"/>
        <v>173.33333333333331</v>
      </c>
      <c r="S891" s="8">
        <f t="shared" si="136"/>
        <v>186.33333333333331</v>
      </c>
      <c r="T891" s="22">
        <f t="shared" si="144"/>
        <v>4.2318510184746563</v>
      </c>
      <c r="U891" s="19">
        <f t="shared" si="145"/>
        <v>5711.4778985078174</v>
      </c>
      <c r="V891" s="29" t="s">
        <v>2983</v>
      </c>
    </row>
    <row r="892" spans="1:22" ht="15" customHeight="1" x14ac:dyDescent="0.25">
      <c r="A892" t="s">
        <v>518</v>
      </c>
      <c r="B892" t="s">
        <v>637</v>
      </c>
      <c r="C892" t="s">
        <v>1253</v>
      </c>
      <c r="D892" t="s">
        <v>1289</v>
      </c>
      <c r="E892" t="s">
        <v>234</v>
      </c>
      <c r="F892" s="5">
        <v>160</v>
      </c>
      <c r="G892" t="s">
        <v>683</v>
      </c>
      <c r="H892" s="3">
        <v>15</v>
      </c>
      <c r="I892" s="3">
        <v>15</v>
      </c>
      <c r="J892" s="3">
        <v>4</v>
      </c>
      <c r="K892" s="3">
        <v>8.9999999999999998E-4</v>
      </c>
      <c r="L892">
        <f t="shared" si="134"/>
        <v>8.9999999999999998E-4</v>
      </c>
      <c r="M892">
        <f t="shared" si="143"/>
        <v>3.15E-2</v>
      </c>
      <c r="N892" s="8">
        <v>35</v>
      </c>
      <c r="O892" s="14">
        <f t="shared" si="135"/>
        <v>5600</v>
      </c>
      <c r="P892" s="8">
        <v>20</v>
      </c>
      <c r="Q892" s="8">
        <f t="shared" si="146"/>
        <v>1.75</v>
      </c>
      <c r="R892" s="8">
        <f t="shared" si="147"/>
        <v>23.333333333333336</v>
      </c>
      <c r="S892" s="8">
        <f t="shared" si="136"/>
        <v>25.083333333333336</v>
      </c>
      <c r="T892" s="22">
        <f t="shared" si="144"/>
        <v>4.1449549976314541</v>
      </c>
      <c r="U892" s="19">
        <f t="shared" si="145"/>
        <v>5715.6228535054488</v>
      </c>
      <c r="V892" s="29" t="s">
        <v>2983</v>
      </c>
    </row>
    <row r="893" spans="1:22" ht="15" customHeight="1" x14ac:dyDescent="0.25">
      <c r="A893" t="s">
        <v>518</v>
      </c>
      <c r="B893" t="s">
        <v>1090</v>
      </c>
      <c r="C893" t="s">
        <v>784</v>
      </c>
      <c r="D893" t="s">
        <v>785</v>
      </c>
      <c r="E893" t="s">
        <v>234</v>
      </c>
      <c r="F893" s="5">
        <v>1107</v>
      </c>
      <c r="G893" t="s">
        <v>761</v>
      </c>
      <c r="H893" s="3">
        <v>125</v>
      </c>
      <c r="I893" s="3">
        <v>75</v>
      </c>
      <c r="J893" s="3">
        <v>4</v>
      </c>
      <c r="K893" s="3">
        <v>13.5</v>
      </c>
      <c r="L893">
        <f t="shared" si="134"/>
        <v>3.7499999999999999E-2</v>
      </c>
      <c r="M893">
        <f t="shared" si="143"/>
        <v>0.1875</v>
      </c>
      <c r="N893" s="8">
        <v>5</v>
      </c>
      <c r="O893" s="14">
        <f t="shared" si="135"/>
        <v>5535</v>
      </c>
      <c r="P893" s="8">
        <v>20</v>
      </c>
      <c r="Q893" s="8">
        <f t="shared" si="146"/>
        <v>0.25</v>
      </c>
      <c r="R893" s="8">
        <f t="shared" si="147"/>
        <v>3.333333333333333</v>
      </c>
      <c r="S893" s="8">
        <f t="shared" si="136"/>
        <v>3.583333333333333</v>
      </c>
      <c r="T893" s="22">
        <f t="shared" si="144"/>
        <v>4.0968439128375183</v>
      </c>
      <c r="U893" s="19">
        <f t="shared" si="145"/>
        <v>5719.7196974182862</v>
      </c>
      <c r="V893" s="29" t="s">
        <v>2983</v>
      </c>
    </row>
    <row r="894" spans="1:22" ht="15" customHeight="1" x14ac:dyDescent="0.25">
      <c r="A894" t="s">
        <v>518</v>
      </c>
      <c r="B894" t="s">
        <v>637</v>
      </c>
      <c r="C894" t="s">
        <v>2284</v>
      </c>
      <c r="D894" t="s">
        <v>691</v>
      </c>
      <c r="E894" t="s">
        <v>24</v>
      </c>
      <c r="F894" s="5">
        <v>68.900000000000006</v>
      </c>
      <c r="G894" t="s">
        <v>692</v>
      </c>
      <c r="H894" s="3">
        <v>10</v>
      </c>
      <c r="I894" s="3">
        <v>15</v>
      </c>
      <c r="J894" s="3">
        <v>10</v>
      </c>
      <c r="K894" s="3">
        <v>2</v>
      </c>
      <c r="L894">
        <f t="shared" si="134"/>
        <v>1.5E-3</v>
      </c>
      <c r="M894">
        <f t="shared" si="143"/>
        <v>0.12</v>
      </c>
      <c r="N894" s="8">
        <v>80</v>
      </c>
      <c r="O894" s="14">
        <f t="shared" si="135"/>
        <v>5512</v>
      </c>
      <c r="P894" s="8">
        <v>20</v>
      </c>
      <c r="Q894" s="8">
        <f t="shared" si="146"/>
        <v>4</v>
      </c>
      <c r="R894" s="8">
        <f t="shared" si="147"/>
        <v>53.333333333333329</v>
      </c>
      <c r="S894" s="8">
        <f t="shared" si="136"/>
        <v>57.333333333333329</v>
      </c>
      <c r="T894" s="22">
        <f t="shared" si="144"/>
        <v>4.0798199905258175</v>
      </c>
      <c r="U894" s="19">
        <f t="shared" si="145"/>
        <v>5723.7995174088119</v>
      </c>
      <c r="V894" s="29" t="s">
        <v>2983</v>
      </c>
    </row>
    <row r="895" spans="1:22" ht="15" customHeight="1" x14ac:dyDescent="0.25">
      <c r="A895" t="s">
        <v>518</v>
      </c>
      <c r="B895" t="s">
        <v>1090</v>
      </c>
      <c r="C895" t="s">
        <v>765</v>
      </c>
      <c r="D895" t="s">
        <v>536</v>
      </c>
      <c r="E895" t="s">
        <v>234</v>
      </c>
      <c r="F895" s="5">
        <v>1098</v>
      </c>
      <c r="G895" t="s">
        <v>678</v>
      </c>
      <c r="H895" s="3">
        <v>40</v>
      </c>
      <c r="I895" s="3">
        <v>50</v>
      </c>
      <c r="J895" s="3">
        <v>72</v>
      </c>
      <c r="K895" s="3">
        <v>25.8</v>
      </c>
      <c r="L895">
        <f t="shared" si="134"/>
        <v>0.14399999999999999</v>
      </c>
      <c r="M895">
        <f t="shared" si="143"/>
        <v>0.72</v>
      </c>
      <c r="N895" s="8">
        <v>5</v>
      </c>
      <c r="O895" s="14">
        <f t="shared" si="135"/>
        <v>5490</v>
      </c>
      <c r="P895" s="8">
        <v>20</v>
      </c>
      <c r="Q895" s="8">
        <f t="shared" si="146"/>
        <v>0.25</v>
      </c>
      <c r="R895" s="8">
        <f t="shared" si="147"/>
        <v>3.333333333333333</v>
      </c>
      <c r="S895" s="8">
        <f t="shared" si="136"/>
        <v>3.583333333333333</v>
      </c>
      <c r="T895" s="22">
        <f t="shared" si="144"/>
        <v>4.0635362387494078</v>
      </c>
      <c r="U895" s="19">
        <f t="shared" si="145"/>
        <v>5727.8630536475612</v>
      </c>
      <c r="V895" s="29" t="s">
        <v>2983</v>
      </c>
    </row>
    <row r="896" spans="1:22" ht="15" customHeight="1" x14ac:dyDescent="0.25">
      <c r="A896" t="s">
        <v>518</v>
      </c>
      <c r="B896" t="s">
        <v>637</v>
      </c>
      <c r="C896" t="s">
        <v>2284</v>
      </c>
      <c r="D896" t="s">
        <v>701</v>
      </c>
      <c r="E896" t="s">
        <v>24</v>
      </c>
      <c r="F896" s="5">
        <v>109</v>
      </c>
      <c r="G896" t="s">
        <v>678</v>
      </c>
      <c r="H896" s="3">
        <v>10</v>
      </c>
      <c r="I896" s="3">
        <v>15</v>
      </c>
      <c r="J896" s="3">
        <v>10</v>
      </c>
      <c r="K896" s="3">
        <v>2</v>
      </c>
      <c r="L896">
        <f t="shared" si="134"/>
        <v>1.5E-3</v>
      </c>
      <c r="M896">
        <f t="shared" si="143"/>
        <v>7.4999999999999997E-2</v>
      </c>
      <c r="N896" s="8">
        <v>50</v>
      </c>
      <c r="O896" s="14">
        <f t="shared" si="135"/>
        <v>5450</v>
      </c>
      <c r="P896" s="8">
        <v>20</v>
      </c>
      <c r="Q896" s="8">
        <f t="shared" si="146"/>
        <v>2.5</v>
      </c>
      <c r="R896" s="8">
        <f t="shared" si="147"/>
        <v>33.333333333333336</v>
      </c>
      <c r="S896" s="8">
        <f t="shared" si="136"/>
        <v>35.833333333333336</v>
      </c>
      <c r="T896" s="22">
        <f t="shared" si="144"/>
        <v>4.0339294173377551</v>
      </c>
      <c r="U896" s="19">
        <f t="shared" si="145"/>
        <v>5731.8969830648994</v>
      </c>
      <c r="V896" s="29" t="s">
        <v>2983</v>
      </c>
    </row>
    <row r="897" spans="1:22" ht="15" customHeight="1" x14ac:dyDescent="0.25">
      <c r="A897" t="s">
        <v>518</v>
      </c>
      <c r="B897" t="s">
        <v>637</v>
      </c>
      <c r="C897" t="s">
        <v>2239</v>
      </c>
      <c r="D897" t="s">
        <v>1302</v>
      </c>
      <c r="E897" t="s">
        <v>2213</v>
      </c>
      <c r="F897" s="5">
        <v>150</v>
      </c>
      <c r="G897" t="s">
        <v>2236</v>
      </c>
      <c r="H897" s="3">
        <v>4</v>
      </c>
      <c r="I897" s="3">
        <v>600</v>
      </c>
      <c r="J897" s="3">
        <v>3.5</v>
      </c>
      <c r="K897" s="3">
        <v>8.3999999999999995E-3</v>
      </c>
      <c r="L897">
        <f t="shared" si="134"/>
        <v>8.3999999999999995E-3</v>
      </c>
      <c r="M897">
        <f t="shared" si="143"/>
        <v>0.3024</v>
      </c>
      <c r="N897" s="8">
        <v>36</v>
      </c>
      <c r="O897" s="14">
        <f t="shared" si="135"/>
        <v>5400</v>
      </c>
      <c r="P897" s="8">
        <v>20</v>
      </c>
      <c r="Q897" s="8">
        <f t="shared" si="146"/>
        <v>1.8</v>
      </c>
      <c r="R897" s="8">
        <f t="shared" si="147"/>
        <v>24</v>
      </c>
      <c r="S897" s="8">
        <f t="shared" si="136"/>
        <v>25.8</v>
      </c>
      <c r="T897" s="22">
        <f t="shared" si="144"/>
        <v>3.9969208905731883</v>
      </c>
      <c r="U897" s="19">
        <f t="shared" si="145"/>
        <v>5735.8939039554725</v>
      </c>
      <c r="V897" s="29" t="s">
        <v>2983</v>
      </c>
    </row>
    <row r="898" spans="1:22" ht="15" customHeight="1" x14ac:dyDescent="0.25">
      <c r="A898" t="s">
        <v>518</v>
      </c>
      <c r="B898" t="s">
        <v>1090</v>
      </c>
      <c r="C898" t="s">
        <v>2352</v>
      </c>
      <c r="D898" t="s">
        <v>2358</v>
      </c>
      <c r="E898" t="s">
        <v>234</v>
      </c>
      <c r="F898" s="5">
        <v>1080</v>
      </c>
      <c r="G898" t="s">
        <v>2354</v>
      </c>
      <c r="H898" s="3">
        <v>100</v>
      </c>
      <c r="I898" s="3">
        <v>100</v>
      </c>
      <c r="J898" s="3">
        <v>100</v>
      </c>
      <c r="K898" s="3">
        <v>48</v>
      </c>
      <c r="L898">
        <f t="shared" ref="L898:L961" si="148">J898*I898*H898/1000000</f>
        <v>1</v>
      </c>
      <c r="M898">
        <f t="shared" si="143"/>
        <v>5</v>
      </c>
      <c r="N898" s="8">
        <v>5</v>
      </c>
      <c r="O898" s="14">
        <f t="shared" ref="O898:O961" si="149">N898*F898</f>
        <v>5400</v>
      </c>
      <c r="P898" s="8">
        <v>20</v>
      </c>
      <c r="Q898" s="8">
        <f t="shared" si="146"/>
        <v>0.25</v>
      </c>
      <c r="R898" s="8">
        <f t="shared" si="147"/>
        <v>3.333333333333333</v>
      </c>
      <c r="S898" s="8">
        <f t="shared" ref="S898:S961" si="150">Q898+R898</f>
        <v>3.583333333333333</v>
      </c>
      <c r="T898" s="22">
        <f t="shared" si="144"/>
        <v>3.9969208905731883</v>
      </c>
      <c r="U898" s="19">
        <f t="shared" si="145"/>
        <v>5739.8908248460457</v>
      </c>
      <c r="V898" s="29" t="s">
        <v>2983</v>
      </c>
    </row>
    <row r="899" spans="1:22" ht="15" customHeight="1" x14ac:dyDescent="0.25">
      <c r="A899" t="s">
        <v>518</v>
      </c>
      <c r="B899" t="s">
        <v>1091</v>
      </c>
      <c r="C899" t="s">
        <v>1183</v>
      </c>
      <c r="D899" t="s">
        <v>1184</v>
      </c>
      <c r="E899" t="s">
        <v>234</v>
      </c>
      <c r="F899" s="5">
        <v>59.6</v>
      </c>
      <c r="G899" t="s">
        <v>1150</v>
      </c>
      <c r="H899">
        <v>30</v>
      </c>
      <c r="I899">
        <v>24</v>
      </c>
      <c r="J899">
        <v>24</v>
      </c>
      <c r="K899" s="3">
        <v>0.2</v>
      </c>
      <c r="L899">
        <f t="shared" si="148"/>
        <v>1.728E-2</v>
      </c>
      <c r="M899">
        <f t="shared" si="143"/>
        <v>1.5551999999999999</v>
      </c>
      <c r="N899" s="8">
        <v>90</v>
      </c>
      <c r="O899" s="14">
        <f t="shared" si="149"/>
        <v>5364</v>
      </c>
      <c r="P899" s="8">
        <v>20</v>
      </c>
      <c r="Q899" s="8">
        <f t="shared" si="146"/>
        <v>4.5</v>
      </c>
      <c r="R899" s="8">
        <f t="shared" si="147"/>
        <v>60</v>
      </c>
      <c r="S899" s="8">
        <f t="shared" si="150"/>
        <v>64.5</v>
      </c>
      <c r="T899" s="22">
        <f t="shared" si="144"/>
        <v>3.9702747513027004</v>
      </c>
      <c r="U899" s="19">
        <f t="shared" si="145"/>
        <v>5743.8610995973486</v>
      </c>
      <c r="V899" s="29" t="s">
        <v>2983</v>
      </c>
    </row>
    <row r="900" spans="1:22" ht="15" customHeight="1" x14ac:dyDescent="0.25">
      <c r="A900" t="s">
        <v>518</v>
      </c>
      <c r="B900" t="s">
        <v>637</v>
      </c>
      <c r="C900" t="s">
        <v>2265</v>
      </c>
      <c r="D900" t="s">
        <v>653</v>
      </c>
      <c r="E900" t="s">
        <v>234</v>
      </c>
      <c r="F900" s="5">
        <v>66.75</v>
      </c>
      <c r="G900" t="s">
        <v>650</v>
      </c>
      <c r="H900" s="3">
        <v>15</v>
      </c>
      <c r="I900" s="3">
        <v>20</v>
      </c>
      <c r="J900" s="3">
        <v>25</v>
      </c>
      <c r="K900" s="3">
        <v>7</v>
      </c>
      <c r="L900">
        <f t="shared" si="148"/>
        <v>7.4999999999999997E-3</v>
      </c>
      <c r="M900">
        <f t="shared" si="143"/>
        <v>0.6</v>
      </c>
      <c r="N900" s="8">
        <v>80</v>
      </c>
      <c r="O900" s="14">
        <f t="shared" si="149"/>
        <v>5340</v>
      </c>
      <c r="P900" s="8">
        <v>20</v>
      </c>
      <c r="Q900" s="8">
        <f t="shared" si="146"/>
        <v>4</v>
      </c>
      <c r="R900" s="8">
        <f t="shared" si="147"/>
        <v>53.333333333333329</v>
      </c>
      <c r="S900" s="8">
        <f t="shared" si="150"/>
        <v>57.333333333333329</v>
      </c>
      <c r="T900" s="22">
        <f t="shared" si="144"/>
        <v>3.9525106584557084</v>
      </c>
      <c r="U900" s="19">
        <f t="shared" si="145"/>
        <v>5747.8136102558046</v>
      </c>
      <c r="V900" s="29" t="s">
        <v>2983</v>
      </c>
    </row>
    <row r="901" spans="1:22" ht="15" customHeight="1" x14ac:dyDescent="0.25">
      <c r="A901" t="s">
        <v>518</v>
      </c>
      <c r="B901" t="s">
        <v>637</v>
      </c>
      <c r="C901" t="s">
        <v>1290</v>
      </c>
      <c r="D901" t="s">
        <v>1291</v>
      </c>
      <c r="E901" t="s">
        <v>234</v>
      </c>
      <c r="F901" s="5">
        <v>150</v>
      </c>
      <c r="G901" t="s">
        <v>683</v>
      </c>
      <c r="H901" s="3">
        <v>20</v>
      </c>
      <c r="I901" s="3">
        <v>20</v>
      </c>
      <c r="J901" s="3">
        <v>5</v>
      </c>
      <c r="K901" s="3">
        <v>2E-3</v>
      </c>
      <c r="L901">
        <f t="shared" si="148"/>
        <v>2E-3</v>
      </c>
      <c r="M901">
        <f t="shared" si="143"/>
        <v>7.0000000000000007E-2</v>
      </c>
      <c r="N901" s="8">
        <v>35</v>
      </c>
      <c r="O901" s="14">
        <f t="shared" si="149"/>
        <v>5250</v>
      </c>
      <c r="P901" s="8">
        <v>20</v>
      </c>
      <c r="Q901" s="8">
        <f t="shared" si="146"/>
        <v>1.75</v>
      </c>
      <c r="R901" s="8">
        <f t="shared" si="147"/>
        <v>23.333333333333336</v>
      </c>
      <c r="S901" s="8">
        <f t="shared" si="150"/>
        <v>25.083333333333336</v>
      </c>
      <c r="T901" s="22">
        <f t="shared" si="144"/>
        <v>3.8858953102794884</v>
      </c>
      <c r="U901" s="19">
        <f t="shared" si="145"/>
        <v>5751.6995055660846</v>
      </c>
      <c r="V901" s="29" t="s">
        <v>2983</v>
      </c>
    </row>
    <row r="902" spans="1:22" ht="15" customHeight="1" x14ac:dyDescent="0.25">
      <c r="A902" t="s">
        <v>518</v>
      </c>
      <c r="B902" t="s">
        <v>519</v>
      </c>
      <c r="C902" t="s">
        <v>531</v>
      </c>
      <c r="D902" t="s">
        <v>532</v>
      </c>
      <c r="E902" t="s">
        <v>234</v>
      </c>
      <c r="F902" s="5">
        <v>15</v>
      </c>
      <c r="G902" t="s">
        <v>522</v>
      </c>
      <c r="H902" s="3">
        <v>20</v>
      </c>
      <c r="I902" s="3">
        <v>20</v>
      </c>
      <c r="J902" s="3">
        <v>15</v>
      </c>
      <c r="K902" s="3">
        <v>1</v>
      </c>
      <c r="L902">
        <f t="shared" si="148"/>
        <v>6.0000000000000001E-3</v>
      </c>
      <c r="M902">
        <f t="shared" si="143"/>
        <v>2.1</v>
      </c>
      <c r="N902" s="8">
        <v>350</v>
      </c>
      <c r="O902" s="14">
        <f t="shared" si="149"/>
        <v>5250</v>
      </c>
      <c r="P902" s="8">
        <v>25</v>
      </c>
      <c r="Q902" s="8">
        <f>P902/N902</f>
        <v>7.1428571428571425E-2</v>
      </c>
      <c r="R902" s="8">
        <f>P902+Q902</f>
        <v>25.071428571428573</v>
      </c>
      <c r="S902" s="8">
        <f t="shared" si="150"/>
        <v>25.142857142857146</v>
      </c>
      <c r="T902" s="22">
        <f t="shared" si="144"/>
        <v>3.8858953102794884</v>
      </c>
      <c r="U902" s="19">
        <f t="shared" si="145"/>
        <v>5755.5854008763645</v>
      </c>
      <c r="V902" s="29" t="s">
        <v>2983</v>
      </c>
    </row>
    <row r="903" spans="1:22" ht="15" customHeight="1" x14ac:dyDescent="0.25">
      <c r="A903" t="s">
        <v>518</v>
      </c>
      <c r="B903" t="s">
        <v>637</v>
      </c>
      <c r="C903" t="s">
        <v>2242</v>
      </c>
      <c r="D903" t="s">
        <v>1305</v>
      </c>
      <c r="E903" t="s">
        <v>2213</v>
      </c>
      <c r="F903" s="5">
        <v>130</v>
      </c>
      <c r="G903" t="s">
        <v>2236</v>
      </c>
      <c r="H903" s="3">
        <v>3</v>
      </c>
      <c r="I903" s="3">
        <v>700</v>
      </c>
      <c r="J903" s="3">
        <v>3</v>
      </c>
      <c r="K903" s="3">
        <v>6.3E-3</v>
      </c>
      <c r="L903">
        <f t="shared" si="148"/>
        <v>6.3E-3</v>
      </c>
      <c r="M903">
        <f t="shared" si="143"/>
        <v>0.252</v>
      </c>
      <c r="N903" s="8">
        <v>40</v>
      </c>
      <c r="O903" s="14">
        <f t="shared" si="149"/>
        <v>5200</v>
      </c>
      <c r="P903" s="8">
        <v>20</v>
      </c>
      <c r="Q903" s="8">
        <f t="shared" ref="Q903:Q934" si="151">N903/P903</f>
        <v>2</v>
      </c>
      <c r="R903" s="8">
        <f t="shared" ref="R903:R934" si="152">(N903/30)*P903</f>
        <v>26.666666666666664</v>
      </c>
      <c r="S903" s="8">
        <f t="shared" si="150"/>
        <v>28.666666666666664</v>
      </c>
      <c r="T903" s="22">
        <f t="shared" si="144"/>
        <v>3.8488867835149221</v>
      </c>
      <c r="U903" s="19">
        <f t="shared" si="145"/>
        <v>5759.4342876598794</v>
      </c>
      <c r="V903" s="29" t="s">
        <v>2983</v>
      </c>
    </row>
    <row r="904" spans="1:22" ht="15" customHeight="1" x14ac:dyDescent="0.25">
      <c r="A904" t="s">
        <v>518</v>
      </c>
      <c r="B904" t="s">
        <v>637</v>
      </c>
      <c r="C904" t="s">
        <v>2225</v>
      </c>
      <c r="D904" t="s">
        <v>1263</v>
      </c>
      <c r="E904" t="s">
        <v>234</v>
      </c>
      <c r="F904" s="5">
        <v>129</v>
      </c>
      <c r="G904" t="s">
        <v>2224</v>
      </c>
      <c r="H904" s="3">
        <v>15</v>
      </c>
      <c r="I904" s="3">
        <v>20</v>
      </c>
      <c r="J904" s="3">
        <v>20</v>
      </c>
      <c r="K904" s="3">
        <v>6.0000000000000001E-3</v>
      </c>
      <c r="L904">
        <f t="shared" si="148"/>
        <v>6.0000000000000001E-3</v>
      </c>
      <c r="M904">
        <f t="shared" si="143"/>
        <v>0.24</v>
      </c>
      <c r="N904" s="8">
        <v>40</v>
      </c>
      <c r="O904" s="14">
        <f t="shared" si="149"/>
        <v>5160</v>
      </c>
      <c r="P904" s="8">
        <v>20</v>
      </c>
      <c r="Q904" s="8">
        <f t="shared" si="151"/>
        <v>2</v>
      </c>
      <c r="R904" s="8">
        <f t="shared" si="152"/>
        <v>26.666666666666664</v>
      </c>
      <c r="S904" s="8">
        <f t="shared" si="150"/>
        <v>28.666666666666664</v>
      </c>
      <c r="T904" s="22">
        <f t="shared" si="144"/>
        <v>3.8192799621032685</v>
      </c>
      <c r="U904" s="19">
        <f t="shared" si="145"/>
        <v>5763.2535676219823</v>
      </c>
      <c r="V904" s="29" t="s">
        <v>2983</v>
      </c>
    </row>
    <row r="905" spans="1:22" ht="15" customHeight="1" x14ac:dyDescent="0.25">
      <c r="A905" t="s">
        <v>518</v>
      </c>
      <c r="B905" t="s">
        <v>637</v>
      </c>
      <c r="C905" t="s">
        <v>2284</v>
      </c>
      <c r="D905" t="s">
        <v>699</v>
      </c>
      <c r="E905" t="s">
        <v>24</v>
      </c>
      <c r="F905" s="5">
        <v>103.18</v>
      </c>
      <c r="G905" t="s">
        <v>700</v>
      </c>
      <c r="H905" s="3">
        <v>10</v>
      </c>
      <c r="I905" s="3">
        <v>15</v>
      </c>
      <c r="J905" s="3">
        <v>10</v>
      </c>
      <c r="K905" s="3">
        <v>2</v>
      </c>
      <c r="L905">
        <f t="shared" si="148"/>
        <v>1.5E-3</v>
      </c>
      <c r="M905">
        <f t="shared" si="143"/>
        <v>7.4999999999999997E-2</v>
      </c>
      <c r="N905" s="8">
        <v>50</v>
      </c>
      <c r="O905" s="14">
        <f t="shared" si="149"/>
        <v>5159</v>
      </c>
      <c r="P905" s="8">
        <v>20</v>
      </c>
      <c r="Q905" s="8">
        <f t="shared" si="151"/>
        <v>2.5</v>
      </c>
      <c r="R905" s="8">
        <f t="shared" si="152"/>
        <v>33.333333333333336</v>
      </c>
      <c r="S905" s="8">
        <f t="shared" si="150"/>
        <v>35.833333333333336</v>
      </c>
      <c r="T905" s="22">
        <f t="shared" si="144"/>
        <v>3.8185397915679773</v>
      </c>
      <c r="U905" s="19">
        <f t="shared" si="145"/>
        <v>5767.0721074135499</v>
      </c>
      <c r="V905" s="29" t="s">
        <v>2983</v>
      </c>
    </row>
    <row r="906" spans="1:22" ht="15" customHeight="1" x14ac:dyDescent="0.25">
      <c r="A906" t="s">
        <v>518</v>
      </c>
      <c r="B906" t="s">
        <v>1090</v>
      </c>
      <c r="C906" t="s">
        <v>775</v>
      </c>
      <c r="D906" t="s">
        <v>598</v>
      </c>
      <c r="E906" t="s">
        <v>234</v>
      </c>
      <c r="F906" s="5">
        <v>1029</v>
      </c>
      <c r="G906" t="s">
        <v>678</v>
      </c>
      <c r="H906" s="3">
        <v>55</v>
      </c>
      <c r="I906" s="3">
        <v>115</v>
      </c>
      <c r="J906" s="3">
        <v>49</v>
      </c>
      <c r="K906" s="3">
        <v>13.8</v>
      </c>
      <c r="L906">
        <f t="shared" si="148"/>
        <v>0.30992500000000001</v>
      </c>
      <c r="M906">
        <f t="shared" si="143"/>
        <v>1.549625</v>
      </c>
      <c r="N906" s="8">
        <v>5</v>
      </c>
      <c r="O906" s="14">
        <f t="shared" si="149"/>
        <v>5145</v>
      </c>
      <c r="P906" s="8">
        <v>20</v>
      </c>
      <c r="Q906" s="8">
        <f t="shared" si="151"/>
        <v>0.25</v>
      </c>
      <c r="R906" s="8">
        <f t="shared" si="152"/>
        <v>3.333333333333333</v>
      </c>
      <c r="S906" s="8">
        <f t="shared" si="150"/>
        <v>3.583333333333333</v>
      </c>
      <c r="T906" s="22">
        <f t="shared" si="144"/>
        <v>3.8081774040738989</v>
      </c>
      <c r="U906" s="19">
        <f t="shared" si="145"/>
        <v>5770.8802848176238</v>
      </c>
      <c r="V906" s="29" t="s">
        <v>2983</v>
      </c>
    </row>
    <row r="907" spans="1:22" ht="15" customHeight="1" x14ac:dyDescent="0.25">
      <c r="A907" t="s">
        <v>518</v>
      </c>
      <c r="B907" t="s">
        <v>1091</v>
      </c>
      <c r="C907" t="s">
        <v>1227</v>
      </c>
      <c r="D907" t="s">
        <v>1228</v>
      </c>
      <c r="E907" t="s">
        <v>833</v>
      </c>
      <c r="F907" s="5">
        <v>52.8</v>
      </c>
      <c r="G907" t="s">
        <v>512</v>
      </c>
      <c r="H907" s="3">
        <v>55</v>
      </c>
      <c r="I907" s="3">
        <v>22.7</v>
      </c>
      <c r="J907" s="3">
        <v>21.5</v>
      </c>
      <c r="K907" s="3">
        <v>3.0049999999999999</v>
      </c>
      <c r="L907">
        <f t="shared" si="148"/>
        <v>2.6842749999999999E-2</v>
      </c>
      <c r="M907">
        <f t="shared" si="143"/>
        <v>2.5500612499999997</v>
      </c>
      <c r="N907" s="8">
        <v>95</v>
      </c>
      <c r="O907" s="14">
        <f t="shared" si="149"/>
        <v>5016</v>
      </c>
      <c r="P907" s="8">
        <v>20</v>
      </c>
      <c r="Q907" s="8">
        <f t="shared" si="151"/>
        <v>4.75</v>
      </c>
      <c r="R907" s="8">
        <f t="shared" si="152"/>
        <v>63.333333333333329</v>
      </c>
      <c r="S907" s="8">
        <f t="shared" si="150"/>
        <v>68.083333333333329</v>
      </c>
      <c r="T907" s="22">
        <f t="shared" si="144"/>
        <v>3.712695405021317</v>
      </c>
      <c r="U907" s="19">
        <f t="shared" si="145"/>
        <v>5774.5929802226447</v>
      </c>
      <c r="V907" s="29" t="s">
        <v>2983</v>
      </c>
    </row>
    <row r="908" spans="1:22" ht="15" customHeight="1" x14ac:dyDescent="0.25">
      <c r="A908" t="s">
        <v>518</v>
      </c>
      <c r="B908" t="s">
        <v>637</v>
      </c>
      <c r="C908" t="s">
        <v>2241</v>
      </c>
      <c r="D908" t="s">
        <v>1304</v>
      </c>
      <c r="E908" t="s">
        <v>2213</v>
      </c>
      <c r="F908" s="5">
        <v>125</v>
      </c>
      <c r="G908" t="s">
        <v>2236</v>
      </c>
      <c r="H908" s="3">
        <v>3</v>
      </c>
      <c r="I908" s="3">
        <v>600</v>
      </c>
      <c r="J908" s="3">
        <v>3</v>
      </c>
      <c r="K908" s="3">
        <v>5.4000000000000003E-3</v>
      </c>
      <c r="L908">
        <f t="shared" si="148"/>
        <v>5.4000000000000003E-3</v>
      </c>
      <c r="M908">
        <f t="shared" si="143"/>
        <v>0.21600000000000003</v>
      </c>
      <c r="N908" s="8">
        <v>40</v>
      </c>
      <c r="O908" s="14">
        <f t="shared" si="149"/>
        <v>5000</v>
      </c>
      <c r="P908" s="8">
        <v>20</v>
      </c>
      <c r="Q908" s="8">
        <f t="shared" si="151"/>
        <v>2</v>
      </c>
      <c r="R908" s="8">
        <f t="shared" si="152"/>
        <v>26.666666666666664</v>
      </c>
      <c r="S908" s="8">
        <f t="shared" si="150"/>
        <v>28.666666666666664</v>
      </c>
      <c r="T908" s="22">
        <f t="shared" si="144"/>
        <v>3.7008526764566558</v>
      </c>
      <c r="U908" s="19">
        <f t="shared" si="145"/>
        <v>5778.2938328991013</v>
      </c>
      <c r="V908" s="29" t="s">
        <v>2983</v>
      </c>
    </row>
    <row r="909" spans="1:22" ht="15" customHeight="1" x14ac:dyDescent="0.25">
      <c r="A909" t="s">
        <v>518</v>
      </c>
      <c r="B909" t="s">
        <v>1090</v>
      </c>
      <c r="C909" t="s">
        <v>2410</v>
      </c>
      <c r="D909" t="s">
        <v>2402</v>
      </c>
      <c r="E909" t="s">
        <v>234</v>
      </c>
      <c r="F909" s="5">
        <v>1000</v>
      </c>
      <c r="G909" t="s">
        <v>2408</v>
      </c>
      <c r="H909" s="3">
        <v>35</v>
      </c>
      <c r="I909" s="3">
        <v>40</v>
      </c>
      <c r="J909" s="3">
        <v>4</v>
      </c>
      <c r="K909" s="3">
        <v>22</v>
      </c>
      <c r="L909">
        <f t="shared" si="148"/>
        <v>5.5999999999999999E-3</v>
      </c>
      <c r="M909">
        <f t="shared" si="143"/>
        <v>2.8000000000000001E-2</v>
      </c>
      <c r="N909" s="8">
        <v>5</v>
      </c>
      <c r="O909" s="14">
        <f t="shared" si="149"/>
        <v>5000</v>
      </c>
      <c r="P909" s="8">
        <v>20</v>
      </c>
      <c r="Q909" s="8">
        <f t="shared" si="151"/>
        <v>0.25</v>
      </c>
      <c r="R909" s="8">
        <f t="shared" si="152"/>
        <v>3.333333333333333</v>
      </c>
      <c r="S909" s="8">
        <f t="shared" si="150"/>
        <v>3.583333333333333</v>
      </c>
      <c r="T909" s="22">
        <f t="shared" si="144"/>
        <v>3.7008526764566558</v>
      </c>
      <c r="U909" s="19">
        <f t="shared" si="145"/>
        <v>5781.9946855755579</v>
      </c>
      <c r="V909" s="29" t="s">
        <v>2983</v>
      </c>
    </row>
    <row r="910" spans="1:22" ht="15" customHeight="1" x14ac:dyDescent="0.25">
      <c r="A910" t="s">
        <v>518</v>
      </c>
      <c r="B910" t="s">
        <v>637</v>
      </c>
      <c r="C910" t="s">
        <v>2284</v>
      </c>
      <c r="D910" t="s">
        <v>697</v>
      </c>
      <c r="E910" t="s">
        <v>24</v>
      </c>
      <c r="F910" s="5">
        <v>99.9</v>
      </c>
      <c r="G910" t="s">
        <v>678</v>
      </c>
      <c r="H910" s="3">
        <v>10</v>
      </c>
      <c r="I910" s="3">
        <v>15</v>
      </c>
      <c r="J910" s="3">
        <v>10</v>
      </c>
      <c r="K910" s="3">
        <v>2</v>
      </c>
      <c r="L910">
        <f t="shared" si="148"/>
        <v>1.5E-3</v>
      </c>
      <c r="M910">
        <f t="shared" si="143"/>
        <v>7.4999999999999997E-2</v>
      </c>
      <c r="N910" s="8">
        <v>50</v>
      </c>
      <c r="O910" s="14">
        <f t="shared" si="149"/>
        <v>4995</v>
      </c>
      <c r="P910" s="8">
        <v>20</v>
      </c>
      <c r="Q910" s="8">
        <f t="shared" si="151"/>
        <v>2.5</v>
      </c>
      <c r="R910" s="8">
        <f t="shared" si="152"/>
        <v>33.333333333333336</v>
      </c>
      <c r="S910" s="8">
        <f t="shared" si="150"/>
        <v>35.833333333333336</v>
      </c>
      <c r="T910" s="22">
        <f t="shared" si="144"/>
        <v>3.697151823780199</v>
      </c>
      <c r="U910" s="19">
        <f t="shared" si="145"/>
        <v>5785.6918373993385</v>
      </c>
      <c r="V910" s="29" t="s">
        <v>2983</v>
      </c>
    </row>
    <row r="911" spans="1:22" ht="15" customHeight="1" x14ac:dyDescent="0.25">
      <c r="A911" t="s">
        <v>518</v>
      </c>
      <c r="B911" t="s">
        <v>1090</v>
      </c>
      <c r="C911" t="s">
        <v>775</v>
      </c>
      <c r="D911" t="s">
        <v>553</v>
      </c>
      <c r="E911" t="s">
        <v>234</v>
      </c>
      <c r="F911" s="5">
        <v>999</v>
      </c>
      <c r="G911" t="s">
        <v>678</v>
      </c>
      <c r="H911" s="3">
        <v>55</v>
      </c>
      <c r="I911" s="3">
        <v>115</v>
      </c>
      <c r="J911" s="3">
        <v>49</v>
      </c>
      <c r="K911" s="3">
        <v>12.31</v>
      </c>
      <c r="L911">
        <f t="shared" si="148"/>
        <v>0.30992500000000001</v>
      </c>
      <c r="M911">
        <f t="shared" si="143"/>
        <v>1.549625</v>
      </c>
      <c r="N911" s="8">
        <v>5</v>
      </c>
      <c r="O911" s="14">
        <f t="shared" si="149"/>
        <v>4995</v>
      </c>
      <c r="P911" s="8">
        <v>20</v>
      </c>
      <c r="Q911" s="8">
        <f t="shared" si="151"/>
        <v>0.25</v>
      </c>
      <c r="R911" s="8">
        <f t="shared" si="152"/>
        <v>3.333333333333333</v>
      </c>
      <c r="S911" s="8">
        <f t="shared" si="150"/>
        <v>3.583333333333333</v>
      </c>
      <c r="T911" s="22">
        <f t="shared" si="144"/>
        <v>3.697151823780199</v>
      </c>
      <c r="U911" s="19">
        <f t="shared" si="145"/>
        <v>5789.3889892231191</v>
      </c>
      <c r="V911" s="29" t="s">
        <v>2983</v>
      </c>
    </row>
    <row r="912" spans="1:22" ht="15" customHeight="1" x14ac:dyDescent="0.25">
      <c r="A912" t="s">
        <v>518</v>
      </c>
      <c r="B912" t="s">
        <v>1090</v>
      </c>
      <c r="C912" t="s">
        <v>775</v>
      </c>
      <c r="D912" t="s">
        <v>573</v>
      </c>
      <c r="E912" t="s">
        <v>234</v>
      </c>
      <c r="F912" s="5">
        <v>999</v>
      </c>
      <c r="G912" t="s">
        <v>678</v>
      </c>
      <c r="H912" s="3">
        <v>55</v>
      </c>
      <c r="I912" s="3">
        <v>115</v>
      </c>
      <c r="J912" s="3">
        <v>49</v>
      </c>
      <c r="K912" s="3">
        <v>10.5</v>
      </c>
      <c r="L912">
        <f t="shared" si="148"/>
        <v>0.30992500000000001</v>
      </c>
      <c r="M912">
        <f t="shared" si="143"/>
        <v>1.549625</v>
      </c>
      <c r="N912" s="8">
        <v>5</v>
      </c>
      <c r="O912" s="14">
        <f t="shared" si="149"/>
        <v>4995</v>
      </c>
      <c r="P912" s="8">
        <v>20</v>
      </c>
      <c r="Q912" s="8">
        <f t="shared" si="151"/>
        <v>0.25</v>
      </c>
      <c r="R912" s="8">
        <f t="shared" si="152"/>
        <v>3.333333333333333</v>
      </c>
      <c r="S912" s="8">
        <f t="shared" si="150"/>
        <v>3.583333333333333</v>
      </c>
      <c r="T912" s="22">
        <f t="shared" si="144"/>
        <v>3.697151823780199</v>
      </c>
      <c r="U912" s="19">
        <f t="shared" si="145"/>
        <v>5793.0861410468997</v>
      </c>
      <c r="V912" s="29" t="s">
        <v>2983</v>
      </c>
    </row>
    <row r="913" spans="1:22" ht="15" customHeight="1" x14ac:dyDescent="0.25">
      <c r="A913" t="s">
        <v>518</v>
      </c>
      <c r="B913" t="s">
        <v>1090</v>
      </c>
      <c r="C913" t="s">
        <v>775</v>
      </c>
      <c r="D913" t="s">
        <v>567</v>
      </c>
      <c r="E913" t="s">
        <v>234</v>
      </c>
      <c r="F913" s="5">
        <v>989</v>
      </c>
      <c r="G913" t="s">
        <v>679</v>
      </c>
      <c r="H913" s="3">
        <v>105</v>
      </c>
      <c r="I913" s="3">
        <v>65</v>
      </c>
      <c r="J913" s="3">
        <v>19</v>
      </c>
      <c r="K913" s="3">
        <v>18</v>
      </c>
      <c r="L913">
        <f t="shared" si="148"/>
        <v>0.12967500000000001</v>
      </c>
      <c r="M913">
        <f t="shared" si="143"/>
        <v>0.64837500000000003</v>
      </c>
      <c r="N913" s="8">
        <v>5</v>
      </c>
      <c r="O913" s="14">
        <f t="shared" si="149"/>
        <v>4945</v>
      </c>
      <c r="P913" s="8">
        <v>20</v>
      </c>
      <c r="Q913" s="8">
        <f t="shared" si="151"/>
        <v>0.25</v>
      </c>
      <c r="R913" s="8">
        <f t="shared" si="152"/>
        <v>3.333333333333333</v>
      </c>
      <c r="S913" s="8">
        <f t="shared" si="150"/>
        <v>3.583333333333333</v>
      </c>
      <c r="T913" s="22">
        <f t="shared" si="144"/>
        <v>3.6601432970156327</v>
      </c>
      <c r="U913" s="19">
        <f t="shared" si="145"/>
        <v>5796.7462843439152</v>
      </c>
      <c r="V913" s="29" t="s">
        <v>2983</v>
      </c>
    </row>
    <row r="914" spans="1:22" ht="15" customHeight="1" x14ac:dyDescent="0.25">
      <c r="A914" t="s">
        <v>518</v>
      </c>
      <c r="B914" t="s">
        <v>637</v>
      </c>
      <c r="C914" t="s">
        <v>2257</v>
      </c>
      <c r="D914" t="s">
        <v>2258</v>
      </c>
      <c r="E914" t="s">
        <v>234</v>
      </c>
      <c r="F914" s="5">
        <v>61.25</v>
      </c>
      <c r="G914" t="s">
        <v>512</v>
      </c>
      <c r="H914" s="3">
        <v>15</v>
      </c>
      <c r="I914" s="3">
        <v>20</v>
      </c>
      <c r="J914" s="3">
        <v>25</v>
      </c>
      <c r="K914" s="3">
        <v>3</v>
      </c>
      <c r="L914">
        <f t="shared" si="148"/>
        <v>7.4999999999999997E-3</v>
      </c>
      <c r="M914">
        <f t="shared" si="143"/>
        <v>0.6</v>
      </c>
      <c r="N914" s="8">
        <v>80</v>
      </c>
      <c r="O914" s="14">
        <f t="shared" si="149"/>
        <v>4900</v>
      </c>
      <c r="P914" s="8">
        <v>20</v>
      </c>
      <c r="Q914" s="8">
        <f t="shared" si="151"/>
        <v>4</v>
      </c>
      <c r="R914" s="8">
        <f t="shared" si="152"/>
        <v>53.333333333333329</v>
      </c>
      <c r="S914" s="8">
        <f t="shared" si="150"/>
        <v>57.333333333333329</v>
      </c>
      <c r="T914" s="22">
        <f t="shared" si="144"/>
        <v>3.6268356229275227</v>
      </c>
      <c r="U914" s="19">
        <f t="shared" si="145"/>
        <v>5800.3731199668428</v>
      </c>
      <c r="V914" s="29" t="s">
        <v>2983</v>
      </c>
    </row>
    <row r="915" spans="1:22" ht="15" customHeight="1" x14ac:dyDescent="0.25">
      <c r="A915" t="s">
        <v>518</v>
      </c>
      <c r="B915" t="s">
        <v>637</v>
      </c>
      <c r="C915" t="s">
        <v>2257</v>
      </c>
      <c r="D915" t="s">
        <v>2258</v>
      </c>
      <c r="E915" t="s">
        <v>234</v>
      </c>
      <c r="F915" s="5">
        <v>61.25</v>
      </c>
      <c r="G915" t="s">
        <v>639</v>
      </c>
      <c r="H915" s="3">
        <v>15</v>
      </c>
      <c r="I915" s="3">
        <v>20</v>
      </c>
      <c r="J915" s="3">
        <v>25</v>
      </c>
      <c r="K915" s="3">
        <v>3</v>
      </c>
      <c r="L915">
        <f t="shared" si="148"/>
        <v>7.4999999999999997E-3</v>
      </c>
      <c r="M915">
        <f t="shared" si="143"/>
        <v>0.6</v>
      </c>
      <c r="N915" s="8">
        <v>80</v>
      </c>
      <c r="O915" s="14">
        <f t="shared" si="149"/>
        <v>4900</v>
      </c>
      <c r="P915" s="8">
        <v>20</v>
      </c>
      <c r="Q915" s="8">
        <f t="shared" si="151"/>
        <v>4</v>
      </c>
      <c r="R915" s="8">
        <f t="shared" si="152"/>
        <v>53.333333333333329</v>
      </c>
      <c r="S915" s="8">
        <f t="shared" si="150"/>
        <v>57.333333333333329</v>
      </c>
      <c r="T915" s="22">
        <f t="shared" si="144"/>
        <v>3.6268356229275227</v>
      </c>
      <c r="U915" s="19">
        <f t="shared" si="145"/>
        <v>5803.9999555897703</v>
      </c>
      <c r="V915" s="29" t="s">
        <v>2983</v>
      </c>
    </row>
    <row r="916" spans="1:22" ht="15" customHeight="1" x14ac:dyDescent="0.25">
      <c r="A916" t="s">
        <v>518</v>
      </c>
      <c r="B916" t="s">
        <v>637</v>
      </c>
      <c r="C916" t="s">
        <v>2259</v>
      </c>
      <c r="D916" t="s">
        <v>2260</v>
      </c>
      <c r="E916" t="s">
        <v>234</v>
      </c>
      <c r="F916" s="5">
        <v>61.25</v>
      </c>
      <c r="G916" t="s">
        <v>642</v>
      </c>
      <c r="H916" s="3">
        <v>15</v>
      </c>
      <c r="I916" s="3">
        <v>20</v>
      </c>
      <c r="J916" s="3">
        <v>25</v>
      </c>
      <c r="K916" s="3">
        <v>3</v>
      </c>
      <c r="L916">
        <f t="shared" si="148"/>
        <v>7.4999999999999997E-3</v>
      </c>
      <c r="M916">
        <f t="shared" si="143"/>
        <v>0.6</v>
      </c>
      <c r="N916" s="8">
        <v>80</v>
      </c>
      <c r="O916" s="14">
        <f t="shared" si="149"/>
        <v>4900</v>
      </c>
      <c r="P916" s="8">
        <v>20</v>
      </c>
      <c r="Q916" s="8">
        <f t="shared" si="151"/>
        <v>4</v>
      </c>
      <c r="R916" s="8">
        <f t="shared" si="152"/>
        <v>53.333333333333329</v>
      </c>
      <c r="S916" s="8">
        <f t="shared" si="150"/>
        <v>57.333333333333329</v>
      </c>
      <c r="T916" s="22">
        <f t="shared" si="144"/>
        <v>3.6268356229275227</v>
      </c>
      <c r="U916" s="19">
        <f t="shared" si="145"/>
        <v>5807.6267912126978</v>
      </c>
      <c r="V916" s="29" t="s">
        <v>2983</v>
      </c>
    </row>
    <row r="917" spans="1:22" ht="15" customHeight="1" x14ac:dyDescent="0.25">
      <c r="A917" t="s">
        <v>518</v>
      </c>
      <c r="B917" t="s">
        <v>637</v>
      </c>
      <c r="C917" t="s">
        <v>2233</v>
      </c>
      <c r="D917" t="s">
        <v>1292</v>
      </c>
      <c r="E917" t="s">
        <v>234</v>
      </c>
      <c r="F917" s="5">
        <v>140</v>
      </c>
      <c r="G917" t="s">
        <v>683</v>
      </c>
      <c r="H917" s="3">
        <v>12</v>
      </c>
      <c r="I917" s="3">
        <v>12</v>
      </c>
      <c r="J917" s="3">
        <v>7</v>
      </c>
      <c r="K917" s="3">
        <v>1.008E-3</v>
      </c>
      <c r="L917">
        <f t="shared" si="148"/>
        <v>1.008E-3</v>
      </c>
      <c r="M917">
        <f t="shared" si="143"/>
        <v>3.5279999999999999E-2</v>
      </c>
      <c r="N917" s="8">
        <v>35</v>
      </c>
      <c r="O917" s="14">
        <f t="shared" si="149"/>
        <v>4900</v>
      </c>
      <c r="P917" s="8">
        <v>20</v>
      </c>
      <c r="Q917" s="8">
        <f t="shared" si="151"/>
        <v>1.75</v>
      </c>
      <c r="R917" s="8">
        <f t="shared" si="152"/>
        <v>23.333333333333336</v>
      </c>
      <c r="S917" s="8">
        <f t="shared" si="150"/>
        <v>25.083333333333336</v>
      </c>
      <c r="T917" s="22">
        <f t="shared" si="144"/>
        <v>3.6268356229275227</v>
      </c>
      <c r="U917" s="19">
        <f t="shared" si="145"/>
        <v>5811.2536268356253</v>
      </c>
      <c r="V917" s="29" t="s">
        <v>2983</v>
      </c>
    </row>
    <row r="918" spans="1:22" ht="15" customHeight="1" x14ac:dyDescent="0.25">
      <c r="A918" t="s">
        <v>518</v>
      </c>
      <c r="B918" t="s">
        <v>637</v>
      </c>
      <c r="C918" t="s">
        <v>2266</v>
      </c>
      <c r="D918" t="s">
        <v>675</v>
      </c>
      <c r="E918" t="s">
        <v>480</v>
      </c>
      <c r="F918" s="5">
        <v>120</v>
      </c>
      <c r="G918" t="s">
        <v>671</v>
      </c>
      <c r="H918" s="3">
        <v>700</v>
      </c>
      <c r="I918" s="3">
        <v>20</v>
      </c>
      <c r="J918" s="3">
        <v>20</v>
      </c>
      <c r="K918" s="3">
        <v>60</v>
      </c>
      <c r="L918">
        <f t="shared" si="148"/>
        <v>0.28000000000000003</v>
      </c>
      <c r="M918">
        <f t="shared" si="143"/>
        <v>11.200000000000001</v>
      </c>
      <c r="N918" s="8">
        <v>40</v>
      </c>
      <c r="O918" s="14">
        <f t="shared" si="149"/>
        <v>4800</v>
      </c>
      <c r="P918" s="8">
        <v>20</v>
      </c>
      <c r="Q918" s="8">
        <f t="shared" si="151"/>
        <v>2</v>
      </c>
      <c r="R918" s="8">
        <f t="shared" si="152"/>
        <v>26.666666666666664</v>
      </c>
      <c r="S918" s="8">
        <f t="shared" si="150"/>
        <v>28.666666666666664</v>
      </c>
      <c r="T918" s="22">
        <f t="shared" si="144"/>
        <v>3.5528185693983896</v>
      </c>
      <c r="U918" s="19">
        <f t="shared" si="145"/>
        <v>5814.8064454050236</v>
      </c>
      <c r="V918" s="29" t="s">
        <v>2983</v>
      </c>
    </row>
    <row r="919" spans="1:22" ht="15" customHeight="1" x14ac:dyDescent="0.25">
      <c r="A919" t="s">
        <v>518</v>
      </c>
      <c r="B919" t="s">
        <v>637</v>
      </c>
      <c r="C919" t="s">
        <v>2266</v>
      </c>
      <c r="D919" t="s">
        <v>676</v>
      </c>
      <c r="E919" t="s">
        <v>480</v>
      </c>
      <c r="F919" s="5">
        <v>120</v>
      </c>
      <c r="G919" t="s">
        <v>671</v>
      </c>
      <c r="H919" s="3">
        <v>700</v>
      </c>
      <c r="I919" s="3">
        <v>20</v>
      </c>
      <c r="J919" s="3">
        <v>20</v>
      </c>
      <c r="K919" s="3">
        <v>60</v>
      </c>
      <c r="L919">
        <f t="shared" si="148"/>
        <v>0.28000000000000003</v>
      </c>
      <c r="M919">
        <f t="shared" si="143"/>
        <v>11.200000000000001</v>
      </c>
      <c r="N919" s="8">
        <v>40</v>
      </c>
      <c r="O919" s="14">
        <f t="shared" si="149"/>
        <v>4800</v>
      </c>
      <c r="P919" s="8">
        <v>20</v>
      </c>
      <c r="Q919" s="8">
        <f t="shared" si="151"/>
        <v>2</v>
      </c>
      <c r="R919" s="8">
        <f t="shared" si="152"/>
        <v>26.666666666666664</v>
      </c>
      <c r="S919" s="8">
        <f t="shared" si="150"/>
        <v>28.666666666666664</v>
      </c>
      <c r="T919" s="22">
        <f t="shared" si="144"/>
        <v>3.5528185693983896</v>
      </c>
      <c r="U919" s="19">
        <f t="shared" si="145"/>
        <v>5818.359263974422</v>
      </c>
      <c r="V919" s="29" t="s">
        <v>2983</v>
      </c>
    </row>
    <row r="920" spans="1:22" ht="15" customHeight="1" x14ac:dyDescent="0.25">
      <c r="A920" t="s">
        <v>518</v>
      </c>
      <c r="B920" t="s">
        <v>637</v>
      </c>
      <c r="C920" t="s">
        <v>2266</v>
      </c>
      <c r="D920" t="s">
        <v>677</v>
      </c>
      <c r="E920" t="s">
        <v>480</v>
      </c>
      <c r="F920" s="5">
        <v>120</v>
      </c>
      <c r="G920" t="s">
        <v>671</v>
      </c>
      <c r="H920" s="3">
        <v>700</v>
      </c>
      <c r="I920" s="3">
        <v>20</v>
      </c>
      <c r="J920" s="3">
        <v>20</v>
      </c>
      <c r="K920" s="3">
        <v>60</v>
      </c>
      <c r="L920">
        <f t="shared" si="148"/>
        <v>0.28000000000000003</v>
      </c>
      <c r="M920">
        <f t="shared" si="143"/>
        <v>11.200000000000001</v>
      </c>
      <c r="N920" s="8">
        <v>40</v>
      </c>
      <c r="O920" s="14">
        <f t="shared" si="149"/>
        <v>4800</v>
      </c>
      <c r="P920" s="8">
        <v>20</v>
      </c>
      <c r="Q920" s="8">
        <f t="shared" si="151"/>
        <v>2</v>
      </c>
      <c r="R920" s="8">
        <f t="shared" si="152"/>
        <v>26.666666666666664</v>
      </c>
      <c r="S920" s="8">
        <f t="shared" si="150"/>
        <v>28.666666666666664</v>
      </c>
      <c r="T920" s="22">
        <f t="shared" si="144"/>
        <v>3.5528185693983896</v>
      </c>
      <c r="U920" s="19">
        <f t="shared" si="145"/>
        <v>5821.9120825438204</v>
      </c>
      <c r="V920" s="29" t="s">
        <v>2983</v>
      </c>
    </row>
    <row r="921" spans="1:22" ht="15" customHeight="1" x14ac:dyDescent="0.25">
      <c r="A921" t="s">
        <v>518</v>
      </c>
      <c r="B921" t="s">
        <v>637</v>
      </c>
      <c r="C921" t="s">
        <v>2311</v>
      </c>
      <c r="D921" t="s">
        <v>2314</v>
      </c>
      <c r="E921" t="s">
        <v>234</v>
      </c>
      <c r="F921" s="5">
        <v>119.9</v>
      </c>
      <c r="G921" t="s">
        <v>678</v>
      </c>
      <c r="H921" s="3">
        <v>20</v>
      </c>
      <c r="I921" s="3">
        <v>15</v>
      </c>
      <c r="J921" s="3">
        <v>8</v>
      </c>
      <c r="K921" s="3">
        <v>1</v>
      </c>
      <c r="L921">
        <f t="shared" si="148"/>
        <v>2.3999999999999998E-3</v>
      </c>
      <c r="M921">
        <f t="shared" si="143"/>
        <v>9.5999999999999988E-2</v>
      </c>
      <c r="N921" s="8">
        <v>40</v>
      </c>
      <c r="O921" s="14">
        <f t="shared" si="149"/>
        <v>4796</v>
      </c>
      <c r="P921" s="8">
        <v>20</v>
      </c>
      <c r="Q921" s="8">
        <f t="shared" si="151"/>
        <v>2</v>
      </c>
      <c r="R921" s="8">
        <f t="shared" si="152"/>
        <v>26.666666666666664</v>
      </c>
      <c r="S921" s="8">
        <f t="shared" si="150"/>
        <v>28.666666666666664</v>
      </c>
      <c r="T921" s="22">
        <f t="shared" si="144"/>
        <v>3.549857887257224</v>
      </c>
      <c r="U921" s="19">
        <f t="shared" si="145"/>
        <v>5825.4619404310779</v>
      </c>
      <c r="V921" s="29" t="s">
        <v>2983</v>
      </c>
    </row>
    <row r="922" spans="1:22" ht="15" customHeight="1" x14ac:dyDescent="0.25">
      <c r="A922" t="s">
        <v>518</v>
      </c>
      <c r="B922" t="s">
        <v>637</v>
      </c>
      <c r="C922" t="s">
        <v>2212</v>
      </c>
      <c r="D922" t="s">
        <v>1249</v>
      </c>
      <c r="E922" t="s">
        <v>2213</v>
      </c>
      <c r="F922" s="5">
        <v>50</v>
      </c>
      <c r="G922" t="s">
        <v>2214</v>
      </c>
      <c r="H922" s="3">
        <v>75</v>
      </c>
      <c r="I922" s="3">
        <v>400</v>
      </c>
      <c r="J922" s="3">
        <v>0.55000000000000004</v>
      </c>
      <c r="K922" s="3">
        <v>1.6500000000000001E-2</v>
      </c>
      <c r="L922">
        <f t="shared" si="148"/>
        <v>1.6500000000000004E-2</v>
      </c>
      <c r="M922">
        <f t="shared" si="143"/>
        <v>1.5675000000000003</v>
      </c>
      <c r="N922" s="8">
        <v>95</v>
      </c>
      <c r="O922" s="14">
        <f t="shared" si="149"/>
        <v>4750</v>
      </c>
      <c r="P922" s="8">
        <v>20</v>
      </c>
      <c r="Q922" s="8">
        <f t="shared" si="151"/>
        <v>4.75</v>
      </c>
      <c r="R922" s="8">
        <f t="shared" si="152"/>
        <v>63.333333333333329</v>
      </c>
      <c r="S922" s="8">
        <f t="shared" si="150"/>
        <v>68.083333333333329</v>
      </c>
      <c r="T922" s="22">
        <f t="shared" si="144"/>
        <v>3.5158100426338228</v>
      </c>
      <c r="U922" s="19">
        <f t="shared" si="145"/>
        <v>5828.9777504737121</v>
      </c>
      <c r="V922" s="29" t="s">
        <v>2983</v>
      </c>
    </row>
    <row r="923" spans="1:22" ht="15" customHeight="1" x14ac:dyDescent="0.25">
      <c r="A923" t="s">
        <v>518</v>
      </c>
      <c r="B923" t="s">
        <v>1090</v>
      </c>
      <c r="C923" t="s">
        <v>775</v>
      </c>
      <c r="D923" t="s">
        <v>555</v>
      </c>
      <c r="E923" t="s">
        <v>234</v>
      </c>
      <c r="F923" s="5">
        <v>929</v>
      </c>
      <c r="G923" t="s">
        <v>678</v>
      </c>
      <c r="H923" s="3">
        <v>55</v>
      </c>
      <c r="I923" s="3">
        <v>115</v>
      </c>
      <c r="J923" s="3">
        <v>49</v>
      </c>
      <c r="K923" s="3">
        <v>12.31</v>
      </c>
      <c r="L923">
        <f t="shared" si="148"/>
        <v>0.30992500000000001</v>
      </c>
      <c r="M923">
        <f t="shared" si="143"/>
        <v>1.549625</v>
      </c>
      <c r="N923" s="8">
        <v>5</v>
      </c>
      <c r="O923" s="14">
        <f t="shared" si="149"/>
        <v>4645</v>
      </c>
      <c r="P923" s="8">
        <v>20</v>
      </c>
      <c r="Q923" s="8">
        <f t="shared" si="151"/>
        <v>0.25</v>
      </c>
      <c r="R923" s="8">
        <f t="shared" si="152"/>
        <v>3.333333333333333</v>
      </c>
      <c r="S923" s="8">
        <f t="shared" si="150"/>
        <v>3.583333333333333</v>
      </c>
      <c r="T923" s="22">
        <f t="shared" si="144"/>
        <v>3.4380921364282333</v>
      </c>
      <c r="U923" s="19">
        <f t="shared" si="145"/>
        <v>5832.4158426101403</v>
      </c>
      <c r="V923" s="29" t="s">
        <v>2983</v>
      </c>
    </row>
    <row r="924" spans="1:22" ht="15" customHeight="1" x14ac:dyDescent="0.25">
      <c r="A924" t="s">
        <v>518</v>
      </c>
      <c r="B924" t="s">
        <v>1091</v>
      </c>
      <c r="C924" t="s">
        <v>2063</v>
      </c>
      <c r="D924" t="s">
        <v>2064</v>
      </c>
      <c r="E924" t="s">
        <v>480</v>
      </c>
      <c r="F924" s="5">
        <v>17.5</v>
      </c>
      <c r="G924" t="s">
        <v>512</v>
      </c>
      <c r="H924" s="3">
        <v>98</v>
      </c>
      <c r="I924" s="3">
        <v>19.5</v>
      </c>
      <c r="J924" s="3">
        <v>1</v>
      </c>
      <c r="K924" s="3">
        <v>1.47</v>
      </c>
      <c r="L924">
        <f t="shared" si="148"/>
        <v>1.9109999999999999E-3</v>
      </c>
      <c r="M924">
        <f t="shared" si="143"/>
        <v>0.49685999999999997</v>
      </c>
      <c r="N924" s="8">
        <v>260</v>
      </c>
      <c r="O924" s="14">
        <f t="shared" si="149"/>
        <v>4550</v>
      </c>
      <c r="P924" s="8">
        <v>20</v>
      </c>
      <c r="Q924" s="8">
        <f t="shared" si="151"/>
        <v>13</v>
      </c>
      <c r="R924" s="8">
        <f t="shared" si="152"/>
        <v>173.33333333333331</v>
      </c>
      <c r="S924" s="8">
        <f t="shared" si="150"/>
        <v>186.33333333333331</v>
      </c>
      <c r="T924" s="22">
        <f t="shared" si="144"/>
        <v>3.3677759355755565</v>
      </c>
      <c r="U924" s="19">
        <f t="shared" si="145"/>
        <v>5835.7836185457163</v>
      </c>
      <c r="V924" s="29" t="s">
        <v>2983</v>
      </c>
    </row>
    <row r="925" spans="1:22" ht="15" customHeight="1" x14ac:dyDescent="0.25">
      <c r="A925" t="s">
        <v>518</v>
      </c>
      <c r="B925" t="s">
        <v>1090</v>
      </c>
      <c r="C925" t="s">
        <v>2399</v>
      </c>
      <c r="D925" t="s">
        <v>2388</v>
      </c>
      <c r="E925" t="s">
        <v>2390</v>
      </c>
      <c r="F925" s="5">
        <v>900</v>
      </c>
      <c r="G925" t="s">
        <v>2393</v>
      </c>
      <c r="H925" s="3">
        <v>100</v>
      </c>
      <c r="I925" s="3">
        <v>120</v>
      </c>
      <c r="J925" s="3">
        <v>100</v>
      </c>
      <c r="K925" s="3">
        <v>9</v>
      </c>
      <c r="L925">
        <f t="shared" si="148"/>
        <v>1.2</v>
      </c>
      <c r="M925">
        <f t="shared" si="143"/>
        <v>6</v>
      </c>
      <c r="N925" s="8">
        <v>5</v>
      </c>
      <c r="O925" s="14">
        <f t="shared" si="149"/>
        <v>4500</v>
      </c>
      <c r="P925" s="8">
        <v>20</v>
      </c>
      <c r="Q925" s="8">
        <f t="shared" si="151"/>
        <v>0.25</v>
      </c>
      <c r="R925" s="8">
        <f t="shared" si="152"/>
        <v>3.333333333333333</v>
      </c>
      <c r="S925" s="8">
        <f t="shared" si="150"/>
        <v>3.583333333333333</v>
      </c>
      <c r="T925" s="22">
        <f t="shared" si="144"/>
        <v>3.3307674088109902</v>
      </c>
      <c r="U925" s="19">
        <f t="shared" si="145"/>
        <v>5839.1143859545273</v>
      </c>
      <c r="V925" s="29" t="s">
        <v>2983</v>
      </c>
    </row>
    <row r="926" spans="1:22" ht="15" customHeight="1" x14ac:dyDescent="0.25">
      <c r="A926" t="s">
        <v>518</v>
      </c>
      <c r="B926" t="s">
        <v>1090</v>
      </c>
      <c r="C926" t="s">
        <v>779</v>
      </c>
      <c r="D926" t="s">
        <v>613</v>
      </c>
      <c r="E926" t="s">
        <v>234</v>
      </c>
      <c r="F926" s="5">
        <v>895</v>
      </c>
      <c r="G926" t="s">
        <v>780</v>
      </c>
      <c r="H926" s="3">
        <v>50</v>
      </c>
      <c r="I926" s="3">
        <v>50</v>
      </c>
      <c r="J926" s="3">
        <v>20</v>
      </c>
      <c r="K926" s="3">
        <v>11.6</v>
      </c>
      <c r="L926">
        <f t="shared" si="148"/>
        <v>0.05</v>
      </c>
      <c r="M926">
        <f t="shared" si="143"/>
        <v>0.25</v>
      </c>
      <c r="N926" s="8">
        <v>5</v>
      </c>
      <c r="O926" s="14">
        <f t="shared" si="149"/>
        <v>4475</v>
      </c>
      <c r="P926" s="8">
        <v>20</v>
      </c>
      <c r="Q926" s="8">
        <f t="shared" si="151"/>
        <v>0.25</v>
      </c>
      <c r="R926" s="8">
        <f t="shared" si="152"/>
        <v>3.333333333333333</v>
      </c>
      <c r="S926" s="8">
        <f t="shared" si="150"/>
        <v>3.583333333333333</v>
      </c>
      <c r="T926" s="22">
        <f t="shared" si="144"/>
        <v>3.312263145428707</v>
      </c>
      <c r="U926" s="19">
        <f t="shared" si="145"/>
        <v>5842.4266490999562</v>
      </c>
      <c r="V926" s="29" t="s">
        <v>2983</v>
      </c>
    </row>
    <row r="927" spans="1:22" ht="15" customHeight="1" x14ac:dyDescent="0.25">
      <c r="A927" t="s">
        <v>518</v>
      </c>
      <c r="B927" t="s">
        <v>637</v>
      </c>
      <c r="C927" t="s">
        <v>2266</v>
      </c>
      <c r="D927" t="s">
        <v>670</v>
      </c>
      <c r="E927" t="s">
        <v>480</v>
      </c>
      <c r="F927" s="5">
        <v>110</v>
      </c>
      <c r="G927" t="s">
        <v>671</v>
      </c>
      <c r="H927" s="3">
        <v>700</v>
      </c>
      <c r="I927" s="3">
        <v>20</v>
      </c>
      <c r="J927" s="3">
        <v>20</v>
      </c>
      <c r="K927" s="3">
        <v>60</v>
      </c>
      <c r="L927">
        <f t="shared" si="148"/>
        <v>0.28000000000000003</v>
      </c>
      <c r="M927">
        <f t="shared" si="143"/>
        <v>11.200000000000001</v>
      </c>
      <c r="N927" s="8">
        <v>40</v>
      </c>
      <c r="O927" s="14">
        <f t="shared" si="149"/>
        <v>4400</v>
      </c>
      <c r="P927" s="8">
        <v>20</v>
      </c>
      <c r="Q927" s="8">
        <f t="shared" si="151"/>
        <v>2</v>
      </c>
      <c r="R927" s="8">
        <f t="shared" si="152"/>
        <v>26.666666666666664</v>
      </c>
      <c r="S927" s="8">
        <f t="shared" si="150"/>
        <v>28.666666666666664</v>
      </c>
      <c r="T927" s="22">
        <f t="shared" si="144"/>
        <v>3.2567503552818571</v>
      </c>
      <c r="U927" s="19">
        <f t="shared" si="145"/>
        <v>5845.683399455238</v>
      </c>
      <c r="V927" s="29" t="s">
        <v>2983</v>
      </c>
    </row>
    <row r="928" spans="1:22" ht="15" customHeight="1" x14ac:dyDescent="0.25">
      <c r="A928" t="s">
        <v>518</v>
      </c>
      <c r="B928" t="s">
        <v>637</v>
      </c>
      <c r="C928" t="s">
        <v>2266</v>
      </c>
      <c r="D928" t="s">
        <v>672</v>
      </c>
      <c r="E928" t="s">
        <v>480</v>
      </c>
      <c r="F928" s="5">
        <v>110</v>
      </c>
      <c r="G928" t="s">
        <v>671</v>
      </c>
      <c r="H928" s="3">
        <v>700</v>
      </c>
      <c r="I928" s="3">
        <v>20</v>
      </c>
      <c r="J928" s="3">
        <v>20</v>
      </c>
      <c r="K928" s="3">
        <v>60</v>
      </c>
      <c r="L928">
        <f t="shared" si="148"/>
        <v>0.28000000000000003</v>
      </c>
      <c r="M928">
        <f t="shared" si="143"/>
        <v>11.200000000000001</v>
      </c>
      <c r="N928" s="8">
        <v>40</v>
      </c>
      <c r="O928" s="14">
        <f t="shared" si="149"/>
        <v>4400</v>
      </c>
      <c r="P928" s="8">
        <v>20</v>
      </c>
      <c r="Q928" s="8">
        <f t="shared" si="151"/>
        <v>2</v>
      </c>
      <c r="R928" s="8">
        <f t="shared" si="152"/>
        <v>26.666666666666664</v>
      </c>
      <c r="S928" s="8">
        <f t="shared" si="150"/>
        <v>28.666666666666664</v>
      </c>
      <c r="T928" s="22">
        <f t="shared" si="144"/>
        <v>3.2567503552818571</v>
      </c>
      <c r="U928" s="19">
        <f t="shared" si="145"/>
        <v>5848.9401498105199</v>
      </c>
      <c r="V928" s="29" t="s">
        <v>2983</v>
      </c>
    </row>
    <row r="929" spans="1:22" ht="15" customHeight="1" x14ac:dyDescent="0.25">
      <c r="A929" t="s">
        <v>518</v>
      </c>
      <c r="B929" t="s">
        <v>637</v>
      </c>
      <c r="C929" t="s">
        <v>2266</v>
      </c>
      <c r="D929" t="s">
        <v>673</v>
      </c>
      <c r="E929" t="s">
        <v>480</v>
      </c>
      <c r="F929" s="5">
        <v>110</v>
      </c>
      <c r="G929" t="s">
        <v>671</v>
      </c>
      <c r="H929" s="3">
        <v>700</v>
      </c>
      <c r="I929" s="3">
        <v>20</v>
      </c>
      <c r="J929" s="3">
        <v>20</v>
      </c>
      <c r="K929" s="3">
        <v>60</v>
      </c>
      <c r="L929">
        <f t="shared" si="148"/>
        <v>0.28000000000000003</v>
      </c>
      <c r="M929">
        <f t="shared" si="143"/>
        <v>11.200000000000001</v>
      </c>
      <c r="N929" s="8">
        <v>40</v>
      </c>
      <c r="O929" s="14">
        <f t="shared" si="149"/>
        <v>4400</v>
      </c>
      <c r="P929" s="8">
        <v>20</v>
      </c>
      <c r="Q929" s="8">
        <f t="shared" si="151"/>
        <v>2</v>
      </c>
      <c r="R929" s="8">
        <f t="shared" si="152"/>
        <v>26.666666666666664</v>
      </c>
      <c r="S929" s="8">
        <f t="shared" si="150"/>
        <v>28.666666666666664</v>
      </c>
      <c r="T929" s="22">
        <f t="shared" si="144"/>
        <v>3.2567503552818571</v>
      </c>
      <c r="U929" s="19">
        <f t="shared" si="145"/>
        <v>5852.1969001658017</v>
      </c>
      <c r="V929" s="29" t="s">
        <v>2983</v>
      </c>
    </row>
    <row r="930" spans="1:22" ht="15" customHeight="1" x14ac:dyDescent="0.25">
      <c r="A930" t="s">
        <v>518</v>
      </c>
      <c r="B930" t="s">
        <v>637</v>
      </c>
      <c r="C930" t="s">
        <v>2266</v>
      </c>
      <c r="D930" t="s">
        <v>674</v>
      </c>
      <c r="E930" t="s">
        <v>480</v>
      </c>
      <c r="F930" s="5">
        <v>110</v>
      </c>
      <c r="G930" t="s">
        <v>671</v>
      </c>
      <c r="H930" s="3">
        <v>700</v>
      </c>
      <c r="I930" s="3">
        <v>20</v>
      </c>
      <c r="J930" s="3">
        <v>20</v>
      </c>
      <c r="K930" s="3">
        <v>60</v>
      </c>
      <c r="L930">
        <f t="shared" si="148"/>
        <v>0.28000000000000003</v>
      </c>
      <c r="M930">
        <f t="shared" si="143"/>
        <v>11.200000000000001</v>
      </c>
      <c r="N930" s="8">
        <v>40</v>
      </c>
      <c r="O930" s="14">
        <f t="shared" si="149"/>
        <v>4400</v>
      </c>
      <c r="P930" s="8">
        <v>20</v>
      </c>
      <c r="Q930" s="8">
        <f t="shared" si="151"/>
        <v>2</v>
      </c>
      <c r="R930" s="8">
        <f t="shared" si="152"/>
        <v>26.666666666666664</v>
      </c>
      <c r="S930" s="8">
        <f t="shared" si="150"/>
        <v>28.666666666666664</v>
      </c>
      <c r="T930" s="22">
        <f t="shared" si="144"/>
        <v>3.2567503552818571</v>
      </c>
      <c r="U930" s="19">
        <f t="shared" si="145"/>
        <v>5855.4536505210835</v>
      </c>
      <c r="V930" s="29" t="s">
        <v>2983</v>
      </c>
    </row>
    <row r="931" spans="1:22" ht="15" customHeight="1" x14ac:dyDescent="0.25">
      <c r="A931" t="s">
        <v>518</v>
      </c>
      <c r="B931" t="s">
        <v>637</v>
      </c>
      <c r="C931" t="s">
        <v>2237</v>
      </c>
      <c r="D931" t="s">
        <v>1300</v>
      </c>
      <c r="E931" t="s">
        <v>2213</v>
      </c>
      <c r="F931" s="5">
        <v>108</v>
      </c>
      <c r="G931" t="s">
        <v>2236</v>
      </c>
      <c r="H931" s="3">
        <v>3.5</v>
      </c>
      <c r="I931" s="3">
        <v>500</v>
      </c>
      <c r="J931" s="3">
        <v>3.5</v>
      </c>
      <c r="K931" s="3">
        <v>6.1250000000000002E-3</v>
      </c>
      <c r="L931">
        <f t="shared" si="148"/>
        <v>6.1250000000000002E-3</v>
      </c>
      <c r="M931">
        <f t="shared" si="143"/>
        <v>0.245</v>
      </c>
      <c r="N931" s="8">
        <v>40</v>
      </c>
      <c r="O931" s="14">
        <f t="shared" si="149"/>
        <v>4320</v>
      </c>
      <c r="P931" s="8">
        <v>20</v>
      </c>
      <c r="Q931" s="8">
        <f t="shared" si="151"/>
        <v>2</v>
      </c>
      <c r="R931" s="8">
        <f t="shared" si="152"/>
        <v>26.666666666666664</v>
      </c>
      <c r="S931" s="8">
        <f t="shared" si="150"/>
        <v>28.666666666666664</v>
      </c>
      <c r="T931" s="22">
        <f t="shared" si="144"/>
        <v>3.1975367124585508</v>
      </c>
      <c r="U931" s="19">
        <f t="shared" si="145"/>
        <v>5858.6511872335423</v>
      </c>
      <c r="V931" s="29" t="s">
        <v>2983</v>
      </c>
    </row>
    <row r="932" spans="1:22" ht="15" customHeight="1" x14ac:dyDescent="0.25">
      <c r="A932" t="s">
        <v>518</v>
      </c>
      <c r="B932" t="s">
        <v>637</v>
      </c>
      <c r="C932" t="s">
        <v>2240</v>
      </c>
      <c r="D932" t="s">
        <v>1303</v>
      </c>
      <c r="E932" t="s">
        <v>2213</v>
      </c>
      <c r="F932" s="5">
        <v>108</v>
      </c>
      <c r="G932" t="s">
        <v>2236</v>
      </c>
      <c r="H932" s="3">
        <v>3</v>
      </c>
      <c r="I932" s="3">
        <v>565</v>
      </c>
      <c r="J932" s="3">
        <v>3.5</v>
      </c>
      <c r="K932" s="3">
        <v>5.9325000000000003E-3</v>
      </c>
      <c r="L932">
        <f t="shared" si="148"/>
        <v>5.9325000000000003E-3</v>
      </c>
      <c r="M932">
        <f t="shared" si="143"/>
        <v>0.23730000000000001</v>
      </c>
      <c r="N932" s="8">
        <v>40</v>
      </c>
      <c r="O932" s="14">
        <f t="shared" si="149"/>
        <v>4320</v>
      </c>
      <c r="P932" s="8">
        <v>20</v>
      </c>
      <c r="Q932" s="8">
        <f t="shared" si="151"/>
        <v>2</v>
      </c>
      <c r="R932" s="8">
        <f t="shared" si="152"/>
        <v>26.666666666666664</v>
      </c>
      <c r="S932" s="8">
        <f t="shared" si="150"/>
        <v>28.666666666666664</v>
      </c>
      <c r="T932" s="22">
        <f t="shared" si="144"/>
        <v>3.1975367124585508</v>
      </c>
      <c r="U932" s="19">
        <f t="shared" si="145"/>
        <v>5861.848723946001</v>
      </c>
      <c r="V932" s="29" t="s">
        <v>2983</v>
      </c>
    </row>
    <row r="933" spans="1:22" ht="15" customHeight="1" x14ac:dyDescent="0.25">
      <c r="A933" t="s">
        <v>518</v>
      </c>
      <c r="B933" t="s">
        <v>637</v>
      </c>
      <c r="C933" t="s">
        <v>2311</v>
      </c>
      <c r="D933" t="s">
        <v>2317</v>
      </c>
      <c r="E933" t="s">
        <v>234</v>
      </c>
      <c r="F933" s="5">
        <v>107.5</v>
      </c>
      <c r="G933" t="s">
        <v>700</v>
      </c>
      <c r="H933" s="3">
        <v>20</v>
      </c>
      <c r="I933" s="3">
        <v>15</v>
      </c>
      <c r="J933" s="3">
        <v>8</v>
      </c>
      <c r="K933" s="3">
        <v>1</v>
      </c>
      <c r="L933">
        <f t="shared" si="148"/>
        <v>2.3999999999999998E-3</v>
      </c>
      <c r="M933">
        <f t="shared" si="143"/>
        <v>9.5999999999999988E-2</v>
      </c>
      <c r="N933" s="8">
        <v>40</v>
      </c>
      <c r="O933" s="14">
        <f t="shared" si="149"/>
        <v>4300</v>
      </c>
      <c r="P933" s="8">
        <v>20</v>
      </c>
      <c r="Q933" s="8">
        <f t="shared" si="151"/>
        <v>2</v>
      </c>
      <c r="R933" s="8">
        <f t="shared" si="152"/>
        <v>26.666666666666664</v>
      </c>
      <c r="S933" s="8">
        <f t="shared" si="150"/>
        <v>28.666666666666664</v>
      </c>
      <c r="T933" s="22">
        <f t="shared" si="144"/>
        <v>3.182733301752724</v>
      </c>
      <c r="U933" s="19">
        <f t="shared" si="145"/>
        <v>5865.0314572477537</v>
      </c>
      <c r="V933" s="29" t="s">
        <v>2983</v>
      </c>
    </row>
    <row r="934" spans="1:22" ht="15" customHeight="1" x14ac:dyDescent="0.25">
      <c r="A934" t="s">
        <v>518</v>
      </c>
      <c r="B934" t="s">
        <v>637</v>
      </c>
      <c r="C934" t="s">
        <v>2266</v>
      </c>
      <c r="D934" t="s">
        <v>669</v>
      </c>
      <c r="E934" t="s">
        <v>480</v>
      </c>
      <c r="F934" s="5">
        <v>105</v>
      </c>
      <c r="G934" t="s">
        <v>661</v>
      </c>
      <c r="H934" s="3">
        <v>700</v>
      </c>
      <c r="I934" s="3">
        <v>15</v>
      </c>
      <c r="J934" s="3">
        <v>15</v>
      </c>
      <c r="K934" s="3">
        <v>60</v>
      </c>
      <c r="L934">
        <f t="shared" si="148"/>
        <v>0.1575</v>
      </c>
      <c r="M934">
        <f t="shared" si="143"/>
        <v>6.3</v>
      </c>
      <c r="N934" s="8">
        <v>40</v>
      </c>
      <c r="O934" s="14">
        <f t="shared" si="149"/>
        <v>4200</v>
      </c>
      <c r="P934" s="8">
        <v>20</v>
      </c>
      <c r="Q934" s="8">
        <f t="shared" si="151"/>
        <v>2</v>
      </c>
      <c r="R934" s="8">
        <f t="shared" si="152"/>
        <v>26.666666666666664</v>
      </c>
      <c r="S934" s="8">
        <f t="shared" si="150"/>
        <v>28.666666666666664</v>
      </c>
      <c r="T934" s="22">
        <f t="shared" si="144"/>
        <v>3.1087162482235908</v>
      </c>
      <c r="U934" s="19">
        <f t="shared" si="145"/>
        <v>5868.1401734959773</v>
      </c>
      <c r="V934" s="29" t="s">
        <v>2983</v>
      </c>
    </row>
    <row r="935" spans="1:22" ht="15" customHeight="1" x14ac:dyDescent="0.25">
      <c r="A935" t="s">
        <v>518</v>
      </c>
      <c r="B935" t="s">
        <v>637</v>
      </c>
      <c r="C935" t="s">
        <v>2266</v>
      </c>
      <c r="D935" t="s">
        <v>669</v>
      </c>
      <c r="E935" t="s">
        <v>480</v>
      </c>
      <c r="F935" s="5">
        <v>105</v>
      </c>
      <c r="G935" t="s">
        <v>661</v>
      </c>
      <c r="H935" s="3">
        <v>700</v>
      </c>
      <c r="I935" s="3">
        <v>15</v>
      </c>
      <c r="J935" s="3">
        <v>15</v>
      </c>
      <c r="K935" s="3">
        <v>60</v>
      </c>
      <c r="L935">
        <f t="shared" si="148"/>
        <v>0.1575</v>
      </c>
      <c r="M935">
        <f t="shared" si="143"/>
        <v>6.3</v>
      </c>
      <c r="N935" s="8">
        <v>40</v>
      </c>
      <c r="O935" s="14">
        <f t="shared" si="149"/>
        <v>4200</v>
      </c>
      <c r="P935" s="8">
        <v>20</v>
      </c>
      <c r="Q935" s="8">
        <f t="shared" ref="Q935:Q966" si="153">N935/P935</f>
        <v>2</v>
      </c>
      <c r="R935" s="8">
        <f t="shared" ref="R935:R966" si="154">(N935/30)*P935</f>
        <v>26.666666666666664</v>
      </c>
      <c r="S935" s="8">
        <f t="shared" si="150"/>
        <v>28.666666666666664</v>
      </c>
      <c r="T935" s="22">
        <f t="shared" si="144"/>
        <v>3.1087162482235908</v>
      </c>
      <c r="U935" s="19">
        <f t="shared" si="145"/>
        <v>5871.2488897442008</v>
      </c>
      <c r="V935" s="29" t="s">
        <v>2983</v>
      </c>
    </row>
    <row r="936" spans="1:22" ht="15" customHeight="1" x14ac:dyDescent="0.25">
      <c r="A936" t="s">
        <v>518</v>
      </c>
      <c r="B936" t="s">
        <v>637</v>
      </c>
      <c r="C936" t="s">
        <v>2266</v>
      </c>
      <c r="D936" t="s">
        <v>668</v>
      </c>
      <c r="E936" t="s">
        <v>480</v>
      </c>
      <c r="F936" s="5">
        <v>105</v>
      </c>
      <c r="G936" t="s">
        <v>661</v>
      </c>
      <c r="H936" s="3">
        <v>600</v>
      </c>
      <c r="I936" s="3">
        <v>15</v>
      </c>
      <c r="J936" s="3">
        <v>15</v>
      </c>
      <c r="K936" s="3">
        <v>55</v>
      </c>
      <c r="L936">
        <f t="shared" si="148"/>
        <v>0.13500000000000001</v>
      </c>
      <c r="M936">
        <f t="shared" si="143"/>
        <v>5.4</v>
      </c>
      <c r="N936" s="8">
        <v>40</v>
      </c>
      <c r="O936" s="14">
        <f t="shared" si="149"/>
        <v>4200</v>
      </c>
      <c r="P936" s="8">
        <v>20</v>
      </c>
      <c r="Q936" s="8">
        <f t="shared" si="153"/>
        <v>2</v>
      </c>
      <c r="R936" s="8">
        <f t="shared" si="154"/>
        <v>26.666666666666664</v>
      </c>
      <c r="S936" s="8">
        <f t="shared" si="150"/>
        <v>28.666666666666664</v>
      </c>
      <c r="T936" s="22">
        <f t="shared" si="144"/>
        <v>3.1087162482235908</v>
      </c>
      <c r="U936" s="19">
        <f t="shared" si="145"/>
        <v>5874.3576059924244</v>
      </c>
      <c r="V936" s="29" t="s">
        <v>2983</v>
      </c>
    </row>
    <row r="937" spans="1:22" ht="15" customHeight="1" x14ac:dyDescent="0.25">
      <c r="A937" t="s">
        <v>518</v>
      </c>
      <c r="B937" t="s">
        <v>637</v>
      </c>
      <c r="C937" t="s">
        <v>2266</v>
      </c>
      <c r="D937" t="s">
        <v>668</v>
      </c>
      <c r="E937" t="s">
        <v>480</v>
      </c>
      <c r="F937" s="5">
        <v>105</v>
      </c>
      <c r="G937" t="s">
        <v>661</v>
      </c>
      <c r="H937" s="3">
        <v>600</v>
      </c>
      <c r="I937" s="3">
        <v>15</v>
      </c>
      <c r="J937" s="3">
        <v>15</v>
      </c>
      <c r="K937" s="3">
        <v>55</v>
      </c>
      <c r="L937">
        <f t="shared" si="148"/>
        <v>0.13500000000000001</v>
      </c>
      <c r="M937">
        <f t="shared" si="143"/>
        <v>5.4</v>
      </c>
      <c r="N937" s="8">
        <v>40</v>
      </c>
      <c r="O937" s="14">
        <f t="shared" si="149"/>
        <v>4200</v>
      </c>
      <c r="P937" s="8">
        <v>20</v>
      </c>
      <c r="Q937" s="8">
        <f t="shared" si="153"/>
        <v>2</v>
      </c>
      <c r="R937" s="8">
        <f t="shared" si="154"/>
        <v>26.666666666666664</v>
      </c>
      <c r="S937" s="8">
        <f t="shared" si="150"/>
        <v>28.666666666666664</v>
      </c>
      <c r="T937" s="22">
        <f t="shared" si="144"/>
        <v>3.1087162482235908</v>
      </c>
      <c r="U937" s="19">
        <f t="shared" si="145"/>
        <v>5877.466322240648</v>
      </c>
      <c r="V937" s="29" t="s">
        <v>2983</v>
      </c>
    </row>
    <row r="938" spans="1:22" ht="15" customHeight="1" x14ac:dyDescent="0.25">
      <c r="A938" t="s">
        <v>518</v>
      </c>
      <c r="B938" t="s">
        <v>637</v>
      </c>
      <c r="C938" t="s">
        <v>2266</v>
      </c>
      <c r="D938" t="s">
        <v>668</v>
      </c>
      <c r="E938" t="s">
        <v>480</v>
      </c>
      <c r="F938" s="5">
        <v>105</v>
      </c>
      <c r="G938" t="s">
        <v>661</v>
      </c>
      <c r="H938" s="3">
        <v>600</v>
      </c>
      <c r="I938" s="3">
        <v>15</v>
      </c>
      <c r="J938" s="3">
        <v>15</v>
      </c>
      <c r="K938" s="3">
        <v>55</v>
      </c>
      <c r="L938">
        <f t="shared" si="148"/>
        <v>0.13500000000000001</v>
      </c>
      <c r="M938">
        <f t="shared" si="143"/>
        <v>5.4</v>
      </c>
      <c r="N938" s="8">
        <v>40</v>
      </c>
      <c r="O938" s="14">
        <f t="shared" si="149"/>
        <v>4200</v>
      </c>
      <c r="P938" s="8">
        <v>20</v>
      </c>
      <c r="Q938" s="8">
        <f t="shared" si="153"/>
        <v>2</v>
      </c>
      <c r="R938" s="8">
        <f t="shared" si="154"/>
        <v>26.666666666666664</v>
      </c>
      <c r="S938" s="8">
        <f t="shared" si="150"/>
        <v>28.666666666666664</v>
      </c>
      <c r="T938" s="22">
        <f t="shared" si="144"/>
        <v>3.1087162482235908</v>
      </c>
      <c r="U938" s="19">
        <f t="shared" si="145"/>
        <v>5880.5750384888715</v>
      </c>
      <c r="V938" s="29" t="s">
        <v>2983</v>
      </c>
    </row>
    <row r="939" spans="1:22" ht="15" customHeight="1" x14ac:dyDescent="0.25">
      <c r="A939" t="s">
        <v>518</v>
      </c>
      <c r="B939" t="s">
        <v>637</v>
      </c>
      <c r="C939" t="s">
        <v>2266</v>
      </c>
      <c r="D939" t="s">
        <v>668</v>
      </c>
      <c r="E939" t="s">
        <v>480</v>
      </c>
      <c r="F939" s="5">
        <v>105</v>
      </c>
      <c r="G939" t="s">
        <v>661</v>
      </c>
      <c r="H939" s="3">
        <v>600</v>
      </c>
      <c r="I939" s="3">
        <v>15</v>
      </c>
      <c r="J939" s="3">
        <v>15</v>
      </c>
      <c r="K939" s="3">
        <v>55</v>
      </c>
      <c r="L939">
        <f t="shared" si="148"/>
        <v>0.13500000000000001</v>
      </c>
      <c r="M939">
        <f t="shared" si="143"/>
        <v>5.4</v>
      </c>
      <c r="N939" s="8">
        <v>40</v>
      </c>
      <c r="O939" s="14">
        <f t="shared" si="149"/>
        <v>4200</v>
      </c>
      <c r="P939" s="8">
        <v>20</v>
      </c>
      <c r="Q939" s="8">
        <f t="shared" si="153"/>
        <v>2</v>
      </c>
      <c r="R939" s="8">
        <f t="shared" si="154"/>
        <v>26.666666666666664</v>
      </c>
      <c r="S939" s="8">
        <f t="shared" si="150"/>
        <v>28.666666666666664</v>
      </c>
      <c r="T939" s="22">
        <f t="shared" si="144"/>
        <v>3.1087162482235908</v>
      </c>
      <c r="U939" s="19">
        <f t="shared" si="145"/>
        <v>5883.6837547370951</v>
      </c>
      <c r="V939" s="29" t="s">
        <v>2983</v>
      </c>
    </row>
    <row r="940" spans="1:22" ht="15" customHeight="1" x14ac:dyDescent="0.25">
      <c r="A940" t="s">
        <v>518</v>
      </c>
      <c r="B940" t="s">
        <v>637</v>
      </c>
      <c r="C940" t="s">
        <v>2265</v>
      </c>
      <c r="D940" t="s">
        <v>654</v>
      </c>
      <c r="E940" t="s">
        <v>234</v>
      </c>
      <c r="F940" s="5">
        <v>52.5</v>
      </c>
      <c r="G940" t="s">
        <v>650</v>
      </c>
      <c r="H940" s="3">
        <v>15</v>
      </c>
      <c r="I940" s="3">
        <v>20</v>
      </c>
      <c r="J940" s="3">
        <v>25</v>
      </c>
      <c r="K940" s="3">
        <v>7</v>
      </c>
      <c r="L940">
        <f t="shared" si="148"/>
        <v>7.4999999999999997E-3</v>
      </c>
      <c r="M940">
        <f t="shared" si="143"/>
        <v>0.6</v>
      </c>
      <c r="N940" s="8">
        <v>80</v>
      </c>
      <c r="O940" s="14">
        <f t="shared" si="149"/>
        <v>4200</v>
      </c>
      <c r="P940" s="8">
        <v>20</v>
      </c>
      <c r="Q940" s="8">
        <f t="shared" si="153"/>
        <v>4</v>
      </c>
      <c r="R940" s="8">
        <f t="shared" si="154"/>
        <v>53.333333333333329</v>
      </c>
      <c r="S940" s="8">
        <f t="shared" si="150"/>
        <v>57.333333333333329</v>
      </c>
      <c r="T940" s="22">
        <f t="shared" si="144"/>
        <v>3.1087162482235908</v>
      </c>
      <c r="U940" s="19">
        <f t="shared" si="145"/>
        <v>5886.7924709853187</v>
      </c>
      <c r="V940" s="29" t="s">
        <v>2983</v>
      </c>
    </row>
    <row r="941" spans="1:22" ht="15" customHeight="1" x14ac:dyDescent="0.25">
      <c r="A941" t="s">
        <v>518</v>
      </c>
      <c r="B941" t="s">
        <v>637</v>
      </c>
      <c r="C941" t="s">
        <v>1294</v>
      </c>
      <c r="D941" t="s">
        <v>1295</v>
      </c>
      <c r="E941" t="s">
        <v>234</v>
      </c>
      <c r="F941" s="5">
        <v>120</v>
      </c>
      <c r="G941" t="s">
        <v>683</v>
      </c>
      <c r="H941" s="3">
        <v>15</v>
      </c>
      <c r="I941" s="3">
        <v>15</v>
      </c>
      <c r="J941" s="3">
        <v>5</v>
      </c>
      <c r="K941" s="3">
        <v>1.1249999999999999E-3</v>
      </c>
      <c r="L941">
        <f t="shared" si="148"/>
        <v>1.1249999999999999E-3</v>
      </c>
      <c r="M941">
        <f t="shared" si="143"/>
        <v>3.9375E-2</v>
      </c>
      <c r="N941" s="8">
        <v>35</v>
      </c>
      <c r="O941" s="14">
        <f t="shared" si="149"/>
        <v>4200</v>
      </c>
      <c r="P941" s="8">
        <v>20</v>
      </c>
      <c r="Q941" s="8">
        <f t="shared" si="153"/>
        <v>1.75</v>
      </c>
      <c r="R941" s="8">
        <f t="shared" si="154"/>
        <v>23.333333333333336</v>
      </c>
      <c r="S941" s="8">
        <f t="shared" si="150"/>
        <v>25.083333333333336</v>
      </c>
      <c r="T941" s="22">
        <f t="shared" si="144"/>
        <v>3.1087162482235908</v>
      </c>
      <c r="U941" s="19">
        <f t="shared" si="145"/>
        <v>5889.9011872335423</v>
      </c>
      <c r="V941" s="29" t="s">
        <v>2983</v>
      </c>
    </row>
    <row r="942" spans="1:22" ht="15" customHeight="1" x14ac:dyDescent="0.25">
      <c r="A942" t="s">
        <v>518</v>
      </c>
      <c r="B942" t="s">
        <v>1090</v>
      </c>
      <c r="C942" t="s">
        <v>781</v>
      </c>
      <c r="D942" t="s">
        <v>629</v>
      </c>
      <c r="E942" t="s">
        <v>234</v>
      </c>
      <c r="F942" s="5">
        <v>837</v>
      </c>
      <c r="G942" t="s">
        <v>761</v>
      </c>
      <c r="H942" s="3">
        <v>11.5</v>
      </c>
      <c r="I942" s="3">
        <v>24</v>
      </c>
      <c r="J942" s="3">
        <v>8</v>
      </c>
      <c r="K942" s="3">
        <v>6.72</v>
      </c>
      <c r="L942">
        <f t="shared" si="148"/>
        <v>2.2079999999999999E-3</v>
      </c>
      <c r="M942">
        <f t="shared" ref="M942:M1005" si="155">L942*N942</f>
        <v>1.1039999999999999E-2</v>
      </c>
      <c r="N942" s="8">
        <v>5</v>
      </c>
      <c r="O942" s="14">
        <f t="shared" si="149"/>
        <v>4185</v>
      </c>
      <c r="P942" s="8">
        <v>20</v>
      </c>
      <c r="Q942" s="8">
        <f t="shared" si="153"/>
        <v>0.25</v>
      </c>
      <c r="R942" s="8">
        <f t="shared" si="154"/>
        <v>3.333333333333333</v>
      </c>
      <c r="S942" s="8">
        <f t="shared" si="150"/>
        <v>3.583333333333333</v>
      </c>
      <c r="T942" s="22">
        <f t="shared" si="144"/>
        <v>3.0976136901942208</v>
      </c>
      <c r="U942" s="19">
        <f t="shared" si="145"/>
        <v>5892.9988009237368</v>
      </c>
      <c r="V942" s="29" t="s">
        <v>2983</v>
      </c>
    </row>
    <row r="943" spans="1:22" ht="15" customHeight="1" x14ac:dyDescent="0.25">
      <c r="A943" t="s">
        <v>518</v>
      </c>
      <c r="B943" t="s">
        <v>1090</v>
      </c>
      <c r="C943" t="s">
        <v>781</v>
      </c>
      <c r="D943" t="s">
        <v>621</v>
      </c>
      <c r="E943" t="s">
        <v>234</v>
      </c>
      <c r="F943" s="5">
        <v>837</v>
      </c>
      <c r="G943" t="s">
        <v>140</v>
      </c>
      <c r="H943" s="3">
        <v>25</v>
      </c>
      <c r="I943" s="3">
        <v>18</v>
      </c>
      <c r="J943" s="3">
        <v>6</v>
      </c>
      <c r="K943" s="3">
        <v>1.08</v>
      </c>
      <c r="L943">
        <f t="shared" si="148"/>
        <v>2.7000000000000001E-3</v>
      </c>
      <c r="M943">
        <f t="shared" si="155"/>
        <v>1.3500000000000002E-2</v>
      </c>
      <c r="N943" s="8">
        <v>5</v>
      </c>
      <c r="O943" s="14">
        <f t="shared" si="149"/>
        <v>4185</v>
      </c>
      <c r="P943" s="8">
        <v>20</v>
      </c>
      <c r="Q943" s="8">
        <f t="shared" si="153"/>
        <v>0.25</v>
      </c>
      <c r="R943" s="8">
        <f t="shared" si="154"/>
        <v>3.333333333333333</v>
      </c>
      <c r="S943" s="8">
        <f t="shared" si="150"/>
        <v>3.583333333333333</v>
      </c>
      <c r="T943" s="22">
        <f t="shared" si="144"/>
        <v>3.0976136901942208</v>
      </c>
      <c r="U943" s="19">
        <f t="shared" si="145"/>
        <v>5896.0964146139313</v>
      </c>
      <c r="V943" s="29" t="s">
        <v>2983</v>
      </c>
    </row>
    <row r="944" spans="1:22" ht="15" customHeight="1" x14ac:dyDescent="0.25">
      <c r="A944" t="s">
        <v>518</v>
      </c>
      <c r="B944" t="s">
        <v>637</v>
      </c>
      <c r="C944" t="s">
        <v>2212</v>
      </c>
      <c r="D944" t="s">
        <v>1237</v>
      </c>
      <c r="E944" t="s">
        <v>2213</v>
      </c>
      <c r="F944" s="5">
        <v>115</v>
      </c>
      <c r="G944" t="s">
        <v>2214</v>
      </c>
      <c r="H944" s="3">
        <v>18</v>
      </c>
      <c r="I944" s="3">
        <v>1000</v>
      </c>
      <c r="J944" s="3">
        <v>0.55000000000000004</v>
      </c>
      <c r="K944" s="3">
        <v>9.9000000000000008E-3</v>
      </c>
      <c r="L944">
        <f t="shared" si="148"/>
        <v>9.9000000000000008E-3</v>
      </c>
      <c r="M944">
        <f t="shared" si="155"/>
        <v>0.35640000000000005</v>
      </c>
      <c r="N944" s="8">
        <v>36</v>
      </c>
      <c r="O944" s="14">
        <f t="shared" si="149"/>
        <v>4140</v>
      </c>
      <c r="P944" s="8">
        <v>20</v>
      </c>
      <c r="Q944" s="8">
        <f t="shared" si="153"/>
        <v>1.8</v>
      </c>
      <c r="R944" s="8">
        <f t="shared" si="154"/>
        <v>24</v>
      </c>
      <c r="S944" s="8">
        <f t="shared" si="150"/>
        <v>25.8</v>
      </c>
      <c r="T944" s="22">
        <f t="shared" si="144"/>
        <v>3.0643060161061109</v>
      </c>
      <c r="U944" s="19">
        <f t="shared" si="145"/>
        <v>5899.1607206300378</v>
      </c>
      <c r="V944" s="29" t="s">
        <v>2983</v>
      </c>
    </row>
    <row r="945" spans="1:22" ht="15" customHeight="1" x14ac:dyDescent="0.25">
      <c r="A945" t="s">
        <v>518</v>
      </c>
      <c r="B945" t="s">
        <v>637</v>
      </c>
      <c r="C945" t="s">
        <v>2266</v>
      </c>
      <c r="D945" t="s">
        <v>665</v>
      </c>
      <c r="E945" t="s">
        <v>480</v>
      </c>
      <c r="F945" s="5">
        <v>100</v>
      </c>
      <c r="G945" t="s">
        <v>661</v>
      </c>
      <c r="H945" s="3">
        <v>600</v>
      </c>
      <c r="I945" s="3">
        <v>15</v>
      </c>
      <c r="J945" s="3">
        <v>15</v>
      </c>
      <c r="K945" s="3">
        <v>55</v>
      </c>
      <c r="L945">
        <f t="shared" si="148"/>
        <v>0.13500000000000001</v>
      </c>
      <c r="M945">
        <f t="shared" si="155"/>
        <v>5.4</v>
      </c>
      <c r="N945" s="8">
        <v>40</v>
      </c>
      <c r="O945" s="14">
        <f t="shared" si="149"/>
        <v>4000</v>
      </c>
      <c r="P945" s="8">
        <v>20</v>
      </c>
      <c r="Q945" s="8">
        <f t="shared" si="153"/>
        <v>2</v>
      </c>
      <c r="R945" s="8">
        <f t="shared" si="154"/>
        <v>26.666666666666664</v>
      </c>
      <c r="S945" s="8">
        <f t="shared" si="150"/>
        <v>28.666666666666664</v>
      </c>
      <c r="T945" s="22">
        <f t="shared" si="144"/>
        <v>2.9606821411653246</v>
      </c>
      <c r="U945" s="19">
        <f t="shared" si="145"/>
        <v>5902.1214027712031</v>
      </c>
      <c r="V945" s="29" t="s">
        <v>2983</v>
      </c>
    </row>
    <row r="946" spans="1:22" ht="15" customHeight="1" x14ac:dyDescent="0.25">
      <c r="A946" t="s">
        <v>518</v>
      </c>
      <c r="B946" t="s">
        <v>637</v>
      </c>
      <c r="C946" t="s">
        <v>2266</v>
      </c>
      <c r="D946" t="s">
        <v>666</v>
      </c>
      <c r="E946" t="s">
        <v>480</v>
      </c>
      <c r="F946" s="5">
        <v>100</v>
      </c>
      <c r="G946" t="s">
        <v>661</v>
      </c>
      <c r="H946" s="3">
        <v>600</v>
      </c>
      <c r="I946" s="3">
        <v>15</v>
      </c>
      <c r="J946" s="3">
        <v>15</v>
      </c>
      <c r="K946" s="3">
        <v>55</v>
      </c>
      <c r="L946">
        <f t="shared" si="148"/>
        <v>0.13500000000000001</v>
      </c>
      <c r="M946">
        <f t="shared" si="155"/>
        <v>5.4</v>
      </c>
      <c r="N946" s="8">
        <v>40</v>
      </c>
      <c r="O946" s="14">
        <f t="shared" si="149"/>
        <v>4000</v>
      </c>
      <c r="P946" s="8">
        <v>20</v>
      </c>
      <c r="Q946" s="8">
        <f t="shared" si="153"/>
        <v>2</v>
      </c>
      <c r="R946" s="8">
        <f t="shared" si="154"/>
        <v>26.666666666666664</v>
      </c>
      <c r="S946" s="8">
        <f t="shared" si="150"/>
        <v>28.666666666666664</v>
      </c>
      <c r="T946" s="22">
        <f t="shared" si="144"/>
        <v>2.9606821411653246</v>
      </c>
      <c r="U946" s="19">
        <f t="shared" si="145"/>
        <v>5905.0820849123684</v>
      </c>
      <c r="V946" s="29" t="s">
        <v>2983</v>
      </c>
    </row>
    <row r="947" spans="1:22" ht="15" customHeight="1" x14ac:dyDescent="0.25">
      <c r="A947" t="s">
        <v>518</v>
      </c>
      <c r="B947" t="s">
        <v>637</v>
      </c>
      <c r="C947" t="s">
        <v>2266</v>
      </c>
      <c r="D947" t="s">
        <v>667</v>
      </c>
      <c r="E947" t="s">
        <v>480</v>
      </c>
      <c r="F947" s="5">
        <v>100</v>
      </c>
      <c r="G947" t="s">
        <v>661</v>
      </c>
      <c r="H947" s="3">
        <v>600</v>
      </c>
      <c r="I947" s="3">
        <v>15</v>
      </c>
      <c r="J947" s="3">
        <v>15</v>
      </c>
      <c r="K947" s="3">
        <v>55</v>
      </c>
      <c r="L947">
        <f t="shared" si="148"/>
        <v>0.13500000000000001</v>
      </c>
      <c r="M947">
        <f t="shared" si="155"/>
        <v>5.4</v>
      </c>
      <c r="N947" s="8">
        <v>40</v>
      </c>
      <c r="O947" s="14">
        <f t="shared" si="149"/>
        <v>4000</v>
      </c>
      <c r="P947" s="8">
        <v>20</v>
      </c>
      <c r="Q947" s="8">
        <f t="shared" si="153"/>
        <v>2</v>
      </c>
      <c r="R947" s="8">
        <f t="shared" si="154"/>
        <v>26.666666666666664</v>
      </c>
      <c r="S947" s="8">
        <f t="shared" si="150"/>
        <v>28.666666666666664</v>
      </c>
      <c r="T947" s="22">
        <f t="shared" si="144"/>
        <v>2.9606821411653246</v>
      </c>
      <c r="U947" s="19">
        <f t="shared" si="145"/>
        <v>5908.0427670535337</v>
      </c>
      <c r="V947" s="29" t="s">
        <v>2983</v>
      </c>
    </row>
    <row r="948" spans="1:22" ht="15" customHeight="1" x14ac:dyDescent="0.25">
      <c r="A948" t="s">
        <v>518</v>
      </c>
      <c r="B948" t="s">
        <v>637</v>
      </c>
      <c r="C948" t="s">
        <v>2266</v>
      </c>
      <c r="D948" t="s">
        <v>662</v>
      </c>
      <c r="E948" t="s">
        <v>480</v>
      </c>
      <c r="F948" s="5">
        <v>100</v>
      </c>
      <c r="G948" t="s">
        <v>661</v>
      </c>
      <c r="H948" s="3">
        <v>500</v>
      </c>
      <c r="I948" s="3">
        <v>15</v>
      </c>
      <c r="J948" s="3">
        <v>15</v>
      </c>
      <c r="K948" s="3">
        <v>50</v>
      </c>
      <c r="L948">
        <f t="shared" si="148"/>
        <v>0.1125</v>
      </c>
      <c r="M948">
        <f t="shared" si="155"/>
        <v>4.5</v>
      </c>
      <c r="N948" s="8">
        <v>40</v>
      </c>
      <c r="O948" s="14">
        <f t="shared" si="149"/>
        <v>4000</v>
      </c>
      <c r="P948" s="8">
        <v>20</v>
      </c>
      <c r="Q948" s="8">
        <f t="shared" si="153"/>
        <v>2</v>
      </c>
      <c r="R948" s="8">
        <f t="shared" si="154"/>
        <v>26.666666666666664</v>
      </c>
      <c r="S948" s="8">
        <f t="shared" si="150"/>
        <v>28.666666666666664</v>
      </c>
      <c r="T948" s="22">
        <f t="shared" si="144"/>
        <v>2.9606821411653246</v>
      </c>
      <c r="U948" s="19">
        <f t="shared" si="145"/>
        <v>5911.003449194699</v>
      </c>
      <c r="V948" s="29" t="s">
        <v>2983</v>
      </c>
    </row>
    <row r="949" spans="1:22" ht="15" customHeight="1" x14ac:dyDescent="0.25">
      <c r="A949" t="s">
        <v>518</v>
      </c>
      <c r="B949" t="s">
        <v>637</v>
      </c>
      <c r="C949" t="s">
        <v>2266</v>
      </c>
      <c r="D949" t="s">
        <v>663</v>
      </c>
      <c r="E949" t="s">
        <v>480</v>
      </c>
      <c r="F949" s="5">
        <v>100</v>
      </c>
      <c r="G949" t="s">
        <v>661</v>
      </c>
      <c r="H949" s="3">
        <v>500</v>
      </c>
      <c r="I949" s="3">
        <v>15</v>
      </c>
      <c r="J949" s="3">
        <v>15</v>
      </c>
      <c r="K949" s="3">
        <v>50</v>
      </c>
      <c r="L949">
        <f t="shared" si="148"/>
        <v>0.1125</v>
      </c>
      <c r="M949">
        <f t="shared" si="155"/>
        <v>4.5</v>
      </c>
      <c r="N949" s="8">
        <v>40</v>
      </c>
      <c r="O949" s="14">
        <f t="shared" si="149"/>
        <v>4000</v>
      </c>
      <c r="P949" s="8">
        <v>20</v>
      </c>
      <c r="Q949" s="8">
        <f t="shared" si="153"/>
        <v>2</v>
      </c>
      <c r="R949" s="8">
        <f t="shared" si="154"/>
        <v>26.666666666666664</v>
      </c>
      <c r="S949" s="8">
        <f t="shared" si="150"/>
        <v>28.666666666666664</v>
      </c>
      <c r="T949" s="22">
        <f t="shared" ref="T949:T1012" si="156">O949/O$1749</f>
        <v>2.9606821411653246</v>
      </c>
      <c r="U949" s="19">
        <f t="shared" ref="U949:U1012" si="157">U948+T949</f>
        <v>5913.9641313358643</v>
      </c>
      <c r="V949" s="29" t="s">
        <v>2983</v>
      </c>
    </row>
    <row r="950" spans="1:22" ht="15" customHeight="1" x14ac:dyDescent="0.25">
      <c r="A950" t="s">
        <v>518</v>
      </c>
      <c r="B950" t="s">
        <v>637</v>
      </c>
      <c r="C950" t="s">
        <v>2266</v>
      </c>
      <c r="D950" t="s">
        <v>664</v>
      </c>
      <c r="E950" t="s">
        <v>480</v>
      </c>
      <c r="F950" s="5">
        <v>100</v>
      </c>
      <c r="G950" t="s">
        <v>661</v>
      </c>
      <c r="H950" s="3">
        <v>500</v>
      </c>
      <c r="I950" s="3">
        <v>15</v>
      </c>
      <c r="J950" s="3">
        <v>15</v>
      </c>
      <c r="K950" s="3">
        <v>50</v>
      </c>
      <c r="L950">
        <f t="shared" si="148"/>
        <v>0.1125</v>
      </c>
      <c r="M950">
        <f t="shared" si="155"/>
        <v>4.5</v>
      </c>
      <c r="N950" s="8">
        <v>40</v>
      </c>
      <c r="O950" s="14">
        <f t="shared" si="149"/>
        <v>4000</v>
      </c>
      <c r="P950" s="8">
        <v>20</v>
      </c>
      <c r="Q950" s="8">
        <f t="shared" si="153"/>
        <v>2</v>
      </c>
      <c r="R950" s="8">
        <f t="shared" si="154"/>
        <v>26.666666666666664</v>
      </c>
      <c r="S950" s="8">
        <f t="shared" si="150"/>
        <v>28.666666666666664</v>
      </c>
      <c r="T950" s="22">
        <f t="shared" si="156"/>
        <v>2.9606821411653246</v>
      </c>
      <c r="U950" s="19">
        <f t="shared" si="157"/>
        <v>5916.9248134770296</v>
      </c>
      <c r="V950" s="29" t="s">
        <v>2983</v>
      </c>
    </row>
    <row r="951" spans="1:22" ht="15" customHeight="1" x14ac:dyDescent="0.25">
      <c r="A951" t="s">
        <v>518</v>
      </c>
      <c r="B951" t="s">
        <v>637</v>
      </c>
      <c r="C951" t="s">
        <v>2259</v>
      </c>
      <c r="D951" t="s">
        <v>2260</v>
      </c>
      <c r="E951" t="s">
        <v>234</v>
      </c>
      <c r="F951" s="5">
        <v>50</v>
      </c>
      <c r="G951" t="s">
        <v>642</v>
      </c>
      <c r="H951" s="3">
        <v>15</v>
      </c>
      <c r="I951" s="3">
        <v>20</v>
      </c>
      <c r="J951" s="3">
        <v>25</v>
      </c>
      <c r="K951" s="3">
        <v>3</v>
      </c>
      <c r="L951">
        <f t="shared" si="148"/>
        <v>7.4999999999999997E-3</v>
      </c>
      <c r="M951">
        <f t="shared" si="155"/>
        <v>0.6</v>
      </c>
      <c r="N951" s="8">
        <v>80</v>
      </c>
      <c r="O951" s="14">
        <f t="shared" si="149"/>
        <v>4000</v>
      </c>
      <c r="P951" s="8">
        <v>20</v>
      </c>
      <c r="Q951" s="8">
        <f t="shared" si="153"/>
        <v>4</v>
      </c>
      <c r="R951" s="8">
        <f t="shared" si="154"/>
        <v>53.333333333333329</v>
      </c>
      <c r="S951" s="8">
        <f t="shared" si="150"/>
        <v>57.333333333333329</v>
      </c>
      <c r="T951" s="22">
        <f t="shared" si="156"/>
        <v>2.9606821411653246</v>
      </c>
      <c r="U951" s="19">
        <f t="shared" si="157"/>
        <v>5919.8854956181949</v>
      </c>
      <c r="V951" s="29" t="s">
        <v>2983</v>
      </c>
    </row>
    <row r="952" spans="1:22" ht="15" customHeight="1" x14ac:dyDescent="0.25">
      <c r="A952" t="s">
        <v>518</v>
      </c>
      <c r="B952" t="s">
        <v>637</v>
      </c>
      <c r="C952" t="s">
        <v>2266</v>
      </c>
      <c r="D952" t="s">
        <v>660</v>
      </c>
      <c r="E952" t="s">
        <v>480</v>
      </c>
      <c r="F952" s="5">
        <v>99.99</v>
      </c>
      <c r="G952" t="s">
        <v>661</v>
      </c>
      <c r="H952" s="3">
        <v>500</v>
      </c>
      <c r="I952" s="3">
        <v>15</v>
      </c>
      <c r="J952" s="3">
        <v>15</v>
      </c>
      <c r="K952" s="3">
        <v>50</v>
      </c>
      <c r="L952">
        <f t="shared" si="148"/>
        <v>0.1125</v>
      </c>
      <c r="M952">
        <f t="shared" si="155"/>
        <v>4.5</v>
      </c>
      <c r="N952" s="8">
        <v>40</v>
      </c>
      <c r="O952" s="14">
        <f t="shared" si="149"/>
        <v>3999.6</v>
      </c>
      <c r="P952" s="8">
        <v>20</v>
      </c>
      <c r="Q952" s="8">
        <f t="shared" si="153"/>
        <v>2</v>
      </c>
      <c r="R952" s="8">
        <f t="shared" si="154"/>
        <v>26.666666666666664</v>
      </c>
      <c r="S952" s="8">
        <f t="shared" si="150"/>
        <v>28.666666666666664</v>
      </c>
      <c r="T952" s="22">
        <f t="shared" si="156"/>
        <v>2.9603860729512079</v>
      </c>
      <c r="U952" s="19">
        <f t="shared" si="157"/>
        <v>5922.8458816911461</v>
      </c>
      <c r="V952" s="29" t="s">
        <v>2983</v>
      </c>
    </row>
    <row r="953" spans="1:22" ht="15" customHeight="1" x14ac:dyDescent="0.25">
      <c r="A953" t="s">
        <v>518</v>
      </c>
      <c r="B953" t="s">
        <v>637</v>
      </c>
      <c r="C953" t="s">
        <v>2257</v>
      </c>
      <c r="D953" t="s">
        <v>2258</v>
      </c>
      <c r="E953" t="s">
        <v>234</v>
      </c>
      <c r="F953" s="5">
        <v>49.75</v>
      </c>
      <c r="G953" t="s">
        <v>639</v>
      </c>
      <c r="H953" s="3">
        <v>15</v>
      </c>
      <c r="I953" s="3">
        <v>20</v>
      </c>
      <c r="J953" s="3">
        <v>25</v>
      </c>
      <c r="K953" s="3">
        <v>3</v>
      </c>
      <c r="L953">
        <f t="shared" si="148"/>
        <v>7.4999999999999997E-3</v>
      </c>
      <c r="M953">
        <f t="shared" si="155"/>
        <v>0.6</v>
      </c>
      <c r="N953" s="8">
        <v>80</v>
      </c>
      <c r="O953" s="14">
        <f t="shared" si="149"/>
        <v>3980</v>
      </c>
      <c r="P953" s="8">
        <v>20</v>
      </c>
      <c r="Q953" s="8">
        <f t="shared" si="153"/>
        <v>4</v>
      </c>
      <c r="R953" s="8">
        <f t="shared" si="154"/>
        <v>53.333333333333329</v>
      </c>
      <c r="S953" s="8">
        <f t="shared" si="150"/>
        <v>57.333333333333329</v>
      </c>
      <c r="T953" s="22">
        <f t="shared" si="156"/>
        <v>2.9458787304594978</v>
      </c>
      <c r="U953" s="19">
        <f t="shared" si="157"/>
        <v>5925.7917604216054</v>
      </c>
      <c r="V953" s="29" t="s">
        <v>2983</v>
      </c>
    </row>
    <row r="954" spans="1:22" ht="15" customHeight="1" x14ac:dyDescent="0.25">
      <c r="A954" t="s">
        <v>518</v>
      </c>
      <c r="B954" t="s">
        <v>1090</v>
      </c>
      <c r="C954" t="s">
        <v>781</v>
      </c>
      <c r="D954" t="s">
        <v>623</v>
      </c>
      <c r="E954" t="s">
        <v>234</v>
      </c>
      <c r="F954" s="5">
        <v>777</v>
      </c>
      <c r="G954" t="s">
        <v>761</v>
      </c>
      <c r="H954" s="3">
        <v>11.5</v>
      </c>
      <c r="I954" s="3">
        <v>24</v>
      </c>
      <c r="J954" s="3">
        <v>8</v>
      </c>
      <c r="K954" s="3">
        <v>6.72</v>
      </c>
      <c r="L954">
        <f t="shared" si="148"/>
        <v>2.2079999999999999E-3</v>
      </c>
      <c r="M954">
        <f t="shared" si="155"/>
        <v>1.1039999999999999E-2</v>
      </c>
      <c r="N954" s="8">
        <v>5</v>
      </c>
      <c r="O954" s="14">
        <f t="shared" si="149"/>
        <v>3885</v>
      </c>
      <c r="P954" s="8">
        <v>20</v>
      </c>
      <c r="Q954" s="8">
        <f t="shared" si="153"/>
        <v>0.25</v>
      </c>
      <c r="R954" s="8">
        <f t="shared" si="154"/>
        <v>3.333333333333333</v>
      </c>
      <c r="S954" s="8">
        <f t="shared" si="150"/>
        <v>3.583333333333333</v>
      </c>
      <c r="T954" s="22">
        <f t="shared" si="156"/>
        <v>2.8755625296068215</v>
      </c>
      <c r="U954" s="19">
        <f t="shared" si="157"/>
        <v>5928.6673229512126</v>
      </c>
      <c r="V954" s="29" t="s">
        <v>2983</v>
      </c>
    </row>
    <row r="955" spans="1:22" ht="15" customHeight="1" x14ac:dyDescent="0.25">
      <c r="A955" t="s">
        <v>518</v>
      </c>
      <c r="B955" t="s">
        <v>637</v>
      </c>
      <c r="C955" t="s">
        <v>2311</v>
      </c>
      <c r="D955" t="s">
        <v>2312</v>
      </c>
      <c r="E955" t="s">
        <v>234</v>
      </c>
      <c r="F955" s="5">
        <v>94.9</v>
      </c>
      <c r="G955" t="s">
        <v>678</v>
      </c>
      <c r="H955" s="3">
        <v>20</v>
      </c>
      <c r="I955" s="3">
        <v>15</v>
      </c>
      <c r="J955" s="3">
        <v>8</v>
      </c>
      <c r="K955" s="3">
        <v>1</v>
      </c>
      <c r="L955">
        <f t="shared" si="148"/>
        <v>2.3999999999999998E-3</v>
      </c>
      <c r="M955">
        <f t="shared" si="155"/>
        <v>9.5999999999999988E-2</v>
      </c>
      <c r="N955" s="8">
        <v>40</v>
      </c>
      <c r="O955" s="14">
        <f t="shared" si="149"/>
        <v>3796</v>
      </c>
      <c r="P955" s="8">
        <v>20</v>
      </c>
      <c r="Q955" s="8">
        <f t="shared" si="153"/>
        <v>2</v>
      </c>
      <c r="R955" s="8">
        <f t="shared" si="154"/>
        <v>26.666666666666664</v>
      </c>
      <c r="S955" s="8">
        <f t="shared" si="150"/>
        <v>28.666666666666664</v>
      </c>
      <c r="T955" s="22">
        <f t="shared" si="156"/>
        <v>2.8096873519658931</v>
      </c>
      <c r="U955" s="19">
        <f t="shared" si="157"/>
        <v>5931.4770103031788</v>
      </c>
      <c r="V955" s="29" t="s">
        <v>2983</v>
      </c>
    </row>
    <row r="956" spans="1:22" ht="15" customHeight="1" x14ac:dyDescent="0.25">
      <c r="A956" t="s">
        <v>518</v>
      </c>
      <c r="B956" t="s">
        <v>1090</v>
      </c>
      <c r="C956" t="s">
        <v>775</v>
      </c>
      <c r="D956" t="s">
        <v>557</v>
      </c>
      <c r="E956" t="s">
        <v>234</v>
      </c>
      <c r="F956" s="5">
        <v>759</v>
      </c>
      <c r="G956" t="s">
        <v>678</v>
      </c>
      <c r="H956" s="3">
        <v>55</v>
      </c>
      <c r="I956" s="3">
        <v>115</v>
      </c>
      <c r="J956" s="3">
        <v>49</v>
      </c>
      <c r="K956" s="3">
        <v>12.31</v>
      </c>
      <c r="L956">
        <f t="shared" si="148"/>
        <v>0.30992500000000001</v>
      </c>
      <c r="M956">
        <f t="shared" si="155"/>
        <v>1.549625</v>
      </c>
      <c r="N956" s="8">
        <v>5</v>
      </c>
      <c r="O956" s="14">
        <f t="shared" si="149"/>
        <v>3795</v>
      </c>
      <c r="P956" s="8">
        <v>20</v>
      </c>
      <c r="Q956" s="8">
        <f t="shared" si="153"/>
        <v>0.25</v>
      </c>
      <c r="R956" s="8">
        <f t="shared" si="154"/>
        <v>3.333333333333333</v>
      </c>
      <c r="S956" s="8">
        <f t="shared" si="150"/>
        <v>3.583333333333333</v>
      </c>
      <c r="T956" s="22">
        <f t="shared" si="156"/>
        <v>2.8089471814306015</v>
      </c>
      <c r="U956" s="19">
        <f t="shared" si="157"/>
        <v>5934.2859574846098</v>
      </c>
      <c r="V956" s="29" t="s">
        <v>2983</v>
      </c>
    </row>
    <row r="957" spans="1:22" ht="15" customHeight="1" x14ac:dyDescent="0.25">
      <c r="A957" t="s">
        <v>518</v>
      </c>
      <c r="B957" t="s">
        <v>637</v>
      </c>
      <c r="C957" t="s">
        <v>2217</v>
      </c>
      <c r="D957" t="s">
        <v>1240</v>
      </c>
      <c r="E957" t="s">
        <v>2213</v>
      </c>
      <c r="F957" s="5">
        <v>39.9</v>
      </c>
      <c r="G957" t="s">
        <v>2216</v>
      </c>
      <c r="H957" s="3">
        <v>45</v>
      </c>
      <c r="I957" s="3">
        <v>700</v>
      </c>
      <c r="J957" s="3">
        <v>0.5</v>
      </c>
      <c r="K957" s="3">
        <v>1.575E-2</v>
      </c>
      <c r="L957">
        <f t="shared" si="148"/>
        <v>1.575E-2</v>
      </c>
      <c r="M957">
        <f t="shared" si="155"/>
        <v>1.4962500000000001</v>
      </c>
      <c r="N957" s="8">
        <v>95</v>
      </c>
      <c r="O957" s="14">
        <f t="shared" si="149"/>
        <v>3790.5</v>
      </c>
      <c r="P957" s="8">
        <v>20</v>
      </c>
      <c r="Q957" s="8">
        <f t="shared" si="153"/>
        <v>4.75</v>
      </c>
      <c r="R957" s="8">
        <f t="shared" si="154"/>
        <v>63.333333333333329</v>
      </c>
      <c r="S957" s="8">
        <f t="shared" si="150"/>
        <v>68.083333333333329</v>
      </c>
      <c r="T957" s="22">
        <f t="shared" si="156"/>
        <v>2.8056164140217907</v>
      </c>
      <c r="U957" s="19">
        <f t="shared" si="157"/>
        <v>5937.0915738986314</v>
      </c>
      <c r="V957" s="29" t="s">
        <v>2983</v>
      </c>
    </row>
    <row r="958" spans="1:22" ht="15" customHeight="1" x14ac:dyDescent="0.25">
      <c r="A958" t="s">
        <v>518</v>
      </c>
      <c r="B958" t="s">
        <v>637</v>
      </c>
      <c r="C958" t="s">
        <v>2265</v>
      </c>
      <c r="D958" t="s">
        <v>651</v>
      </c>
      <c r="E958" t="s">
        <v>234</v>
      </c>
      <c r="F958" s="5">
        <v>90</v>
      </c>
      <c r="G958" t="s">
        <v>305</v>
      </c>
      <c r="H958" s="3">
        <v>15</v>
      </c>
      <c r="I958" s="3">
        <v>20</v>
      </c>
      <c r="J958" s="3">
        <v>25</v>
      </c>
      <c r="K958" s="3">
        <v>10</v>
      </c>
      <c r="L958">
        <f t="shared" si="148"/>
        <v>7.4999999999999997E-3</v>
      </c>
      <c r="M958">
        <f t="shared" si="155"/>
        <v>0.3</v>
      </c>
      <c r="N958" s="8">
        <v>40</v>
      </c>
      <c r="O958" s="14">
        <f t="shared" si="149"/>
        <v>3600</v>
      </c>
      <c r="P958" s="8">
        <v>20</v>
      </c>
      <c r="Q958" s="8">
        <f t="shared" si="153"/>
        <v>2</v>
      </c>
      <c r="R958" s="8">
        <f t="shared" si="154"/>
        <v>26.666666666666664</v>
      </c>
      <c r="S958" s="8">
        <f t="shared" si="150"/>
        <v>28.666666666666664</v>
      </c>
      <c r="T958" s="22">
        <f t="shared" si="156"/>
        <v>2.6646139270487921</v>
      </c>
      <c r="U958" s="19">
        <f t="shared" si="157"/>
        <v>5939.7561878256802</v>
      </c>
      <c r="V958" s="29" t="s">
        <v>2983</v>
      </c>
    </row>
    <row r="959" spans="1:22" ht="15" customHeight="1" x14ac:dyDescent="0.25">
      <c r="A959" t="s">
        <v>518</v>
      </c>
      <c r="B959" t="s">
        <v>637</v>
      </c>
      <c r="C959" t="s">
        <v>2311</v>
      </c>
      <c r="D959" t="s">
        <v>2313</v>
      </c>
      <c r="E959" t="s">
        <v>234</v>
      </c>
      <c r="F959" s="5">
        <v>89.9</v>
      </c>
      <c r="G959" t="s">
        <v>678</v>
      </c>
      <c r="H959" s="3">
        <v>20</v>
      </c>
      <c r="I959" s="3">
        <v>15</v>
      </c>
      <c r="J959" s="3">
        <v>8</v>
      </c>
      <c r="K959" s="3">
        <v>1</v>
      </c>
      <c r="L959">
        <f t="shared" si="148"/>
        <v>2.3999999999999998E-3</v>
      </c>
      <c r="M959">
        <f t="shared" si="155"/>
        <v>9.5999999999999988E-2</v>
      </c>
      <c r="N959" s="8">
        <v>40</v>
      </c>
      <c r="O959" s="14">
        <f t="shared" si="149"/>
        <v>3596</v>
      </c>
      <c r="P959" s="8">
        <v>20</v>
      </c>
      <c r="Q959" s="8">
        <f t="shared" si="153"/>
        <v>2</v>
      </c>
      <c r="R959" s="8">
        <f t="shared" si="154"/>
        <v>26.666666666666664</v>
      </c>
      <c r="S959" s="8">
        <f t="shared" si="150"/>
        <v>28.666666666666664</v>
      </c>
      <c r="T959" s="22">
        <f t="shared" si="156"/>
        <v>2.6616532449076269</v>
      </c>
      <c r="U959" s="19">
        <f t="shared" si="157"/>
        <v>5942.4178410705881</v>
      </c>
      <c r="V959" s="29" t="s">
        <v>2983</v>
      </c>
    </row>
    <row r="960" spans="1:22" ht="15" customHeight="1" x14ac:dyDescent="0.25">
      <c r="A960" t="s">
        <v>518</v>
      </c>
      <c r="B960" t="s">
        <v>637</v>
      </c>
      <c r="C960" t="s">
        <v>2311</v>
      </c>
      <c r="D960" t="s">
        <v>2313</v>
      </c>
      <c r="E960" t="s">
        <v>234</v>
      </c>
      <c r="F960" s="5">
        <v>89.9</v>
      </c>
      <c r="G960" t="s">
        <v>678</v>
      </c>
      <c r="H960" s="3">
        <v>20</v>
      </c>
      <c r="I960" s="3">
        <v>15</v>
      </c>
      <c r="J960" s="3">
        <v>8</v>
      </c>
      <c r="K960" s="3">
        <v>1</v>
      </c>
      <c r="L960">
        <f t="shared" si="148"/>
        <v>2.3999999999999998E-3</v>
      </c>
      <c r="M960">
        <f t="shared" si="155"/>
        <v>9.5999999999999988E-2</v>
      </c>
      <c r="N960" s="8">
        <v>40</v>
      </c>
      <c r="O960" s="14">
        <f t="shared" si="149"/>
        <v>3596</v>
      </c>
      <c r="P960" s="8">
        <v>20</v>
      </c>
      <c r="Q960" s="8">
        <f t="shared" si="153"/>
        <v>2</v>
      </c>
      <c r="R960" s="8">
        <f t="shared" si="154"/>
        <v>26.666666666666664</v>
      </c>
      <c r="S960" s="8">
        <f t="shared" si="150"/>
        <v>28.666666666666664</v>
      </c>
      <c r="T960" s="22">
        <f t="shared" si="156"/>
        <v>2.6616532449076269</v>
      </c>
      <c r="U960" s="19">
        <f t="shared" si="157"/>
        <v>5945.079494315496</v>
      </c>
      <c r="V960" s="29" t="s">
        <v>2983</v>
      </c>
    </row>
    <row r="961" spans="1:22" ht="15" customHeight="1" x14ac:dyDescent="0.25">
      <c r="A961" t="s">
        <v>518</v>
      </c>
      <c r="B961" t="s">
        <v>637</v>
      </c>
      <c r="C961" t="s">
        <v>2262</v>
      </c>
      <c r="D961" t="s">
        <v>646</v>
      </c>
      <c r="E961" t="s">
        <v>480</v>
      </c>
      <c r="F961" s="5">
        <v>89</v>
      </c>
      <c r="G961" t="s">
        <v>305</v>
      </c>
      <c r="H961" s="3">
        <v>5.5</v>
      </c>
      <c r="I961" s="3">
        <v>130</v>
      </c>
      <c r="J961" s="3">
        <v>35</v>
      </c>
      <c r="K961" s="3">
        <v>8</v>
      </c>
      <c r="L961">
        <f t="shared" si="148"/>
        <v>2.5024999999999999E-2</v>
      </c>
      <c r="M961">
        <f t="shared" si="155"/>
        <v>1.0009999999999999</v>
      </c>
      <c r="N961" s="8">
        <v>40</v>
      </c>
      <c r="O961" s="14">
        <f t="shared" si="149"/>
        <v>3560</v>
      </c>
      <c r="P961" s="8">
        <v>20</v>
      </c>
      <c r="Q961" s="8">
        <f t="shared" si="153"/>
        <v>2</v>
      </c>
      <c r="R961" s="8">
        <f t="shared" si="154"/>
        <v>26.666666666666664</v>
      </c>
      <c r="S961" s="8">
        <f t="shared" si="150"/>
        <v>28.666666666666664</v>
      </c>
      <c r="T961" s="22">
        <f t="shared" si="156"/>
        <v>2.6350071056371389</v>
      </c>
      <c r="U961" s="19">
        <f t="shared" si="157"/>
        <v>5947.7145014211328</v>
      </c>
      <c r="V961" s="29" t="s">
        <v>2983</v>
      </c>
    </row>
    <row r="962" spans="1:22" ht="15" customHeight="1" x14ac:dyDescent="0.25">
      <c r="A962" t="s">
        <v>518</v>
      </c>
      <c r="B962" t="s">
        <v>637</v>
      </c>
      <c r="C962" t="s">
        <v>2262</v>
      </c>
      <c r="D962" t="s">
        <v>2264</v>
      </c>
      <c r="E962" t="s">
        <v>480</v>
      </c>
      <c r="F962" s="5">
        <v>88</v>
      </c>
      <c r="G962" t="s">
        <v>650</v>
      </c>
      <c r="H962" s="3">
        <v>5</v>
      </c>
      <c r="I962" s="3">
        <v>135</v>
      </c>
      <c r="J962" s="3">
        <v>40</v>
      </c>
      <c r="K962" s="3">
        <v>9</v>
      </c>
      <c r="L962">
        <f t="shared" ref="L962:L1025" si="158">J962*I962*H962/1000000</f>
        <v>2.7E-2</v>
      </c>
      <c r="M962">
        <f t="shared" si="155"/>
        <v>1.08</v>
      </c>
      <c r="N962" s="8">
        <v>40</v>
      </c>
      <c r="O962" s="14">
        <f t="shared" ref="O962:O1025" si="159">N962*F962</f>
        <v>3520</v>
      </c>
      <c r="P962" s="8">
        <v>20</v>
      </c>
      <c r="Q962" s="8">
        <f t="shared" si="153"/>
        <v>2</v>
      </c>
      <c r="R962" s="8">
        <f t="shared" si="154"/>
        <v>26.666666666666664</v>
      </c>
      <c r="S962" s="8">
        <f t="shared" ref="S962:S1025" si="160">Q962+R962</f>
        <v>28.666666666666664</v>
      </c>
      <c r="T962" s="22">
        <f t="shared" si="156"/>
        <v>2.6054002842254858</v>
      </c>
      <c r="U962" s="19">
        <f t="shared" si="157"/>
        <v>5950.3199017053585</v>
      </c>
      <c r="V962" s="29" t="s">
        <v>2983</v>
      </c>
    </row>
    <row r="963" spans="1:22" ht="15" customHeight="1" x14ac:dyDescent="0.25">
      <c r="A963" t="s">
        <v>518</v>
      </c>
      <c r="B963" t="s">
        <v>637</v>
      </c>
      <c r="C963" t="s">
        <v>1296</v>
      </c>
      <c r="D963" t="s">
        <v>1298</v>
      </c>
      <c r="E963" t="s">
        <v>234</v>
      </c>
      <c r="F963" s="5">
        <v>100</v>
      </c>
      <c r="G963" t="s">
        <v>683</v>
      </c>
      <c r="H963" s="3">
        <v>15</v>
      </c>
      <c r="I963" s="3">
        <v>15</v>
      </c>
      <c r="J963" s="3">
        <v>8</v>
      </c>
      <c r="K963" s="3">
        <v>1.8E-3</v>
      </c>
      <c r="L963">
        <f t="shared" si="158"/>
        <v>1.8E-3</v>
      </c>
      <c r="M963">
        <f t="shared" si="155"/>
        <v>6.3E-2</v>
      </c>
      <c r="N963" s="8">
        <v>35</v>
      </c>
      <c r="O963" s="14">
        <f t="shared" si="159"/>
        <v>3500</v>
      </c>
      <c r="P963" s="8">
        <v>20</v>
      </c>
      <c r="Q963" s="8">
        <f t="shared" si="153"/>
        <v>1.75</v>
      </c>
      <c r="R963" s="8">
        <f t="shared" si="154"/>
        <v>23.333333333333336</v>
      </c>
      <c r="S963" s="8">
        <f t="shared" si="160"/>
        <v>25.083333333333336</v>
      </c>
      <c r="T963" s="22">
        <f t="shared" si="156"/>
        <v>2.5905968735196589</v>
      </c>
      <c r="U963" s="19">
        <f t="shared" si="157"/>
        <v>5952.9104985788781</v>
      </c>
      <c r="V963" s="29" t="s">
        <v>2983</v>
      </c>
    </row>
    <row r="964" spans="1:22" ht="15" customHeight="1" x14ac:dyDescent="0.25">
      <c r="A964" t="s">
        <v>518</v>
      </c>
      <c r="B964" t="s">
        <v>1090</v>
      </c>
      <c r="C964" t="s">
        <v>2426</v>
      </c>
      <c r="D964" t="s">
        <v>2414</v>
      </c>
      <c r="E964" t="s">
        <v>234</v>
      </c>
      <c r="F964" s="5">
        <v>684.9</v>
      </c>
      <c r="G964" t="s">
        <v>2427</v>
      </c>
      <c r="H964" s="3">
        <v>20</v>
      </c>
      <c r="I964" s="3">
        <v>40</v>
      </c>
      <c r="J964" s="3">
        <v>20</v>
      </c>
      <c r="K964" s="3">
        <v>4</v>
      </c>
      <c r="L964">
        <f t="shared" si="158"/>
        <v>1.6E-2</v>
      </c>
      <c r="M964">
        <f t="shared" si="155"/>
        <v>0.08</v>
      </c>
      <c r="N964" s="8">
        <v>5</v>
      </c>
      <c r="O964" s="14">
        <f t="shared" si="159"/>
        <v>3424.5</v>
      </c>
      <c r="P964" s="8">
        <v>20</v>
      </c>
      <c r="Q964" s="8">
        <f t="shared" si="153"/>
        <v>0.25</v>
      </c>
      <c r="R964" s="8">
        <f t="shared" si="154"/>
        <v>3.333333333333333</v>
      </c>
      <c r="S964" s="8">
        <f t="shared" si="160"/>
        <v>3.583333333333333</v>
      </c>
      <c r="T964" s="22">
        <f t="shared" si="156"/>
        <v>2.5347139981051634</v>
      </c>
      <c r="U964" s="19">
        <f t="shared" si="157"/>
        <v>5955.4452125769831</v>
      </c>
      <c r="V964" s="29" t="s">
        <v>2983</v>
      </c>
    </row>
    <row r="965" spans="1:22" ht="15" customHeight="1" x14ac:dyDescent="0.25">
      <c r="A965" t="s">
        <v>518</v>
      </c>
      <c r="B965" t="s">
        <v>1091</v>
      </c>
      <c r="C965" t="s">
        <v>2149</v>
      </c>
      <c r="D965" t="s">
        <v>841</v>
      </c>
      <c r="E965" t="s">
        <v>833</v>
      </c>
      <c r="F965" s="5">
        <v>1650</v>
      </c>
      <c r="G965" t="s">
        <v>842</v>
      </c>
      <c r="H965" s="3">
        <v>180</v>
      </c>
      <c r="I965" s="3">
        <v>50</v>
      </c>
      <c r="J965" s="3">
        <v>8</v>
      </c>
      <c r="K965" s="3">
        <v>37</v>
      </c>
      <c r="L965">
        <f t="shared" si="158"/>
        <v>7.1999999999999995E-2</v>
      </c>
      <c r="M965">
        <f t="shared" si="155"/>
        <v>0.14399999999999999</v>
      </c>
      <c r="N965" s="8">
        <v>2</v>
      </c>
      <c r="O965" s="14">
        <f t="shared" si="159"/>
        <v>3300</v>
      </c>
      <c r="P965" s="8">
        <v>20</v>
      </c>
      <c r="Q965" s="8">
        <f t="shared" si="153"/>
        <v>0.1</v>
      </c>
      <c r="R965" s="8">
        <f t="shared" si="154"/>
        <v>1.3333333333333333</v>
      </c>
      <c r="S965" s="8">
        <f t="shared" si="160"/>
        <v>1.4333333333333333</v>
      </c>
      <c r="T965" s="22">
        <f t="shared" si="156"/>
        <v>2.4425627664613927</v>
      </c>
      <c r="U965" s="19">
        <f t="shared" si="157"/>
        <v>5957.8877753434444</v>
      </c>
      <c r="V965" s="29" t="s">
        <v>2983</v>
      </c>
    </row>
    <row r="966" spans="1:22" ht="15" customHeight="1" x14ac:dyDescent="0.25">
      <c r="A966" t="s">
        <v>518</v>
      </c>
      <c r="B966" t="s">
        <v>637</v>
      </c>
      <c r="C966" t="s">
        <v>2265</v>
      </c>
      <c r="D966" t="s">
        <v>651</v>
      </c>
      <c r="E966" t="s">
        <v>234</v>
      </c>
      <c r="F966" s="5">
        <v>82.5</v>
      </c>
      <c r="G966" t="s">
        <v>305</v>
      </c>
      <c r="H966" s="3">
        <v>15</v>
      </c>
      <c r="I966" s="3">
        <v>20</v>
      </c>
      <c r="J966" s="3">
        <v>25</v>
      </c>
      <c r="K966" s="3">
        <v>10</v>
      </c>
      <c r="L966">
        <f t="shared" si="158"/>
        <v>7.4999999999999997E-3</v>
      </c>
      <c r="M966">
        <f t="shared" si="155"/>
        <v>0.3</v>
      </c>
      <c r="N966" s="8">
        <v>40</v>
      </c>
      <c r="O966" s="14">
        <f t="shared" si="159"/>
        <v>3300</v>
      </c>
      <c r="P966" s="8">
        <v>20</v>
      </c>
      <c r="Q966" s="8">
        <f t="shared" si="153"/>
        <v>2</v>
      </c>
      <c r="R966" s="8">
        <f t="shared" si="154"/>
        <v>26.666666666666664</v>
      </c>
      <c r="S966" s="8">
        <f t="shared" si="160"/>
        <v>28.666666666666664</v>
      </c>
      <c r="T966" s="22">
        <f t="shared" si="156"/>
        <v>2.4425627664613927</v>
      </c>
      <c r="U966" s="19">
        <f t="shared" si="157"/>
        <v>5960.3303381099058</v>
      </c>
      <c r="V966" s="29" t="s">
        <v>2983</v>
      </c>
    </row>
    <row r="967" spans="1:22" ht="15" customHeight="1" x14ac:dyDescent="0.25">
      <c r="A967" t="s">
        <v>518</v>
      </c>
      <c r="B967" t="s">
        <v>1090</v>
      </c>
      <c r="C967" t="s">
        <v>2331</v>
      </c>
      <c r="D967" t="s">
        <v>2336</v>
      </c>
      <c r="E967" t="s">
        <v>2330</v>
      </c>
      <c r="F967" s="5">
        <v>659</v>
      </c>
      <c r="G967" t="s">
        <v>683</v>
      </c>
      <c r="H967" s="3">
        <v>30</v>
      </c>
      <c r="I967" s="3">
        <v>300</v>
      </c>
      <c r="J967" s="3">
        <v>30</v>
      </c>
      <c r="K967" s="3">
        <v>73.16</v>
      </c>
      <c r="L967">
        <f t="shared" si="158"/>
        <v>0.27</v>
      </c>
      <c r="M967">
        <f t="shared" si="155"/>
        <v>1.35</v>
      </c>
      <c r="N967" s="8">
        <v>5</v>
      </c>
      <c r="O967" s="14">
        <f t="shared" si="159"/>
        <v>3295</v>
      </c>
      <c r="P967" s="8">
        <v>20</v>
      </c>
      <c r="Q967" s="8">
        <f t="shared" ref="Q967:Q987" si="161">N967/P967</f>
        <v>0.25</v>
      </c>
      <c r="R967" s="8">
        <f t="shared" ref="R967:R987" si="162">(N967/30)*P967</f>
        <v>3.333333333333333</v>
      </c>
      <c r="S967" s="8">
        <f t="shared" si="160"/>
        <v>3.583333333333333</v>
      </c>
      <c r="T967" s="22">
        <f t="shared" si="156"/>
        <v>2.4388619137849363</v>
      </c>
      <c r="U967" s="19">
        <f t="shared" si="157"/>
        <v>5962.7692000236912</v>
      </c>
      <c r="V967" s="29" t="s">
        <v>2983</v>
      </c>
    </row>
    <row r="968" spans="1:22" ht="15" customHeight="1" x14ac:dyDescent="0.25">
      <c r="A968" t="s">
        <v>518</v>
      </c>
      <c r="B968" t="s">
        <v>1090</v>
      </c>
      <c r="C968" t="s">
        <v>775</v>
      </c>
      <c r="D968" t="s">
        <v>564</v>
      </c>
      <c r="E968" t="s">
        <v>234</v>
      </c>
      <c r="F968" s="5">
        <v>659</v>
      </c>
      <c r="G968" t="s">
        <v>678</v>
      </c>
      <c r="H968" s="3">
        <v>55</v>
      </c>
      <c r="I968" s="3">
        <v>115</v>
      </c>
      <c r="J968" s="3">
        <v>49</v>
      </c>
      <c r="K968" s="3">
        <v>15</v>
      </c>
      <c r="L968">
        <f t="shared" si="158"/>
        <v>0.30992500000000001</v>
      </c>
      <c r="M968">
        <f t="shared" si="155"/>
        <v>1.549625</v>
      </c>
      <c r="N968" s="8">
        <v>5</v>
      </c>
      <c r="O968" s="14">
        <f t="shared" si="159"/>
        <v>3295</v>
      </c>
      <c r="P968" s="8">
        <v>20</v>
      </c>
      <c r="Q968" s="8">
        <f t="shared" si="161"/>
        <v>0.25</v>
      </c>
      <c r="R968" s="8">
        <f t="shared" si="162"/>
        <v>3.333333333333333</v>
      </c>
      <c r="S968" s="8">
        <f t="shared" si="160"/>
        <v>3.583333333333333</v>
      </c>
      <c r="T968" s="22">
        <f t="shared" si="156"/>
        <v>2.4388619137849363</v>
      </c>
      <c r="U968" s="19">
        <f t="shared" si="157"/>
        <v>5965.2080619374765</v>
      </c>
      <c r="V968" s="29" t="s">
        <v>2983</v>
      </c>
    </row>
    <row r="969" spans="1:22" ht="15" customHeight="1" x14ac:dyDescent="0.25">
      <c r="A969" t="s">
        <v>518</v>
      </c>
      <c r="B969" t="s">
        <v>1090</v>
      </c>
      <c r="C969" t="s">
        <v>775</v>
      </c>
      <c r="D969" t="s">
        <v>554</v>
      </c>
      <c r="E969" t="s">
        <v>234</v>
      </c>
      <c r="F969" s="5">
        <v>659</v>
      </c>
      <c r="G969" t="s">
        <v>678</v>
      </c>
      <c r="H969" s="3">
        <v>55</v>
      </c>
      <c r="I969" s="3">
        <v>115</v>
      </c>
      <c r="J969" s="3">
        <v>49</v>
      </c>
      <c r="K969" s="3">
        <v>12.31</v>
      </c>
      <c r="L969">
        <f t="shared" si="158"/>
        <v>0.30992500000000001</v>
      </c>
      <c r="M969">
        <f t="shared" si="155"/>
        <v>1.549625</v>
      </c>
      <c r="N969" s="8">
        <v>5</v>
      </c>
      <c r="O969" s="14">
        <f t="shared" si="159"/>
        <v>3295</v>
      </c>
      <c r="P969" s="8">
        <v>20</v>
      </c>
      <c r="Q969" s="8">
        <f t="shared" si="161"/>
        <v>0.25</v>
      </c>
      <c r="R969" s="8">
        <f t="shared" si="162"/>
        <v>3.333333333333333</v>
      </c>
      <c r="S969" s="8">
        <f t="shared" si="160"/>
        <v>3.583333333333333</v>
      </c>
      <c r="T969" s="22">
        <f t="shared" si="156"/>
        <v>2.4388619137849363</v>
      </c>
      <c r="U969" s="19">
        <f t="shared" si="157"/>
        <v>5967.6469238512618</v>
      </c>
      <c r="V969" s="29" t="s">
        <v>2983</v>
      </c>
    </row>
    <row r="970" spans="1:22" ht="15" customHeight="1" x14ac:dyDescent="0.25">
      <c r="A970" t="s">
        <v>518</v>
      </c>
      <c r="B970" t="s">
        <v>1090</v>
      </c>
      <c r="C970" t="s">
        <v>784</v>
      </c>
      <c r="D970" t="s">
        <v>787</v>
      </c>
      <c r="E970" t="s">
        <v>234</v>
      </c>
      <c r="F970" s="5">
        <v>657</v>
      </c>
      <c r="G970" t="s">
        <v>761</v>
      </c>
      <c r="H970" s="3">
        <v>125</v>
      </c>
      <c r="I970" s="3">
        <v>75</v>
      </c>
      <c r="J970" s="3">
        <v>4</v>
      </c>
      <c r="K970" s="3">
        <v>13.5</v>
      </c>
      <c r="L970">
        <f t="shared" si="158"/>
        <v>3.7499999999999999E-2</v>
      </c>
      <c r="M970">
        <f t="shared" si="155"/>
        <v>0.1875</v>
      </c>
      <c r="N970" s="8">
        <v>5</v>
      </c>
      <c r="O970" s="14">
        <f t="shared" si="159"/>
        <v>3285</v>
      </c>
      <c r="P970" s="8">
        <v>20</v>
      </c>
      <c r="Q970" s="8">
        <f t="shared" si="161"/>
        <v>0.25</v>
      </c>
      <c r="R970" s="8">
        <f t="shared" si="162"/>
        <v>3.333333333333333</v>
      </c>
      <c r="S970" s="8">
        <f t="shared" si="160"/>
        <v>3.583333333333333</v>
      </c>
      <c r="T970" s="22">
        <f t="shared" si="156"/>
        <v>2.4314602084320227</v>
      </c>
      <c r="U970" s="19">
        <f t="shared" si="157"/>
        <v>5970.0783840596941</v>
      </c>
      <c r="V970" s="29" t="s">
        <v>2983</v>
      </c>
    </row>
    <row r="971" spans="1:22" ht="15" customHeight="1" x14ac:dyDescent="0.25">
      <c r="A971" t="s">
        <v>518</v>
      </c>
      <c r="B971" t="s">
        <v>1090</v>
      </c>
      <c r="C971" t="s">
        <v>2450</v>
      </c>
      <c r="D971" t="s">
        <v>2414</v>
      </c>
      <c r="E971" t="s">
        <v>234</v>
      </c>
      <c r="F971" s="5">
        <v>650</v>
      </c>
      <c r="G971" t="s">
        <v>140</v>
      </c>
      <c r="H971" s="3">
        <v>20</v>
      </c>
      <c r="I971" s="3">
        <v>15</v>
      </c>
      <c r="J971" s="3">
        <v>30</v>
      </c>
      <c r="K971" s="3">
        <v>4</v>
      </c>
      <c r="L971">
        <f t="shared" si="158"/>
        <v>8.9999999999999993E-3</v>
      </c>
      <c r="M971">
        <f t="shared" si="155"/>
        <v>4.4999999999999998E-2</v>
      </c>
      <c r="N971" s="8">
        <v>5</v>
      </c>
      <c r="O971" s="14">
        <f t="shared" si="159"/>
        <v>3250</v>
      </c>
      <c r="P971" s="8">
        <v>20</v>
      </c>
      <c r="Q971" s="8">
        <f t="shared" si="161"/>
        <v>0.25</v>
      </c>
      <c r="R971" s="8">
        <f t="shared" si="162"/>
        <v>3.333333333333333</v>
      </c>
      <c r="S971" s="8">
        <f t="shared" si="160"/>
        <v>3.583333333333333</v>
      </c>
      <c r="T971" s="22">
        <f t="shared" si="156"/>
        <v>2.4055542396968264</v>
      </c>
      <c r="U971" s="19">
        <f t="shared" si="157"/>
        <v>5972.4839382993914</v>
      </c>
      <c r="V971" s="29" t="s">
        <v>2983</v>
      </c>
    </row>
    <row r="972" spans="1:22" ht="15" customHeight="1" x14ac:dyDescent="0.25">
      <c r="A972" t="s">
        <v>518</v>
      </c>
      <c r="B972" t="s">
        <v>637</v>
      </c>
      <c r="C972" t="s">
        <v>2253</v>
      </c>
      <c r="D972" t="s">
        <v>640</v>
      </c>
      <c r="E972" t="s">
        <v>234</v>
      </c>
      <c r="F972" s="5">
        <v>40</v>
      </c>
      <c r="G972" t="s">
        <v>512</v>
      </c>
      <c r="H972" s="3">
        <v>15</v>
      </c>
      <c r="I972" s="3">
        <v>20</v>
      </c>
      <c r="J972" s="3">
        <v>25</v>
      </c>
      <c r="K972" s="3">
        <v>4</v>
      </c>
      <c r="L972">
        <f t="shared" si="158"/>
        <v>7.4999999999999997E-3</v>
      </c>
      <c r="M972">
        <f t="shared" si="155"/>
        <v>0.6</v>
      </c>
      <c r="N972" s="8">
        <v>80</v>
      </c>
      <c r="O972" s="14">
        <f t="shared" si="159"/>
        <v>3200</v>
      </c>
      <c r="P972" s="8">
        <v>20</v>
      </c>
      <c r="Q972" s="8">
        <f t="shared" si="161"/>
        <v>4</v>
      </c>
      <c r="R972" s="8">
        <f t="shared" si="162"/>
        <v>53.333333333333329</v>
      </c>
      <c r="S972" s="8">
        <f t="shared" si="160"/>
        <v>57.333333333333329</v>
      </c>
      <c r="T972" s="22">
        <f t="shared" si="156"/>
        <v>2.3685457129322596</v>
      </c>
      <c r="U972" s="19">
        <f t="shared" si="157"/>
        <v>5974.8524840123237</v>
      </c>
      <c r="V972" s="29" t="s">
        <v>2983</v>
      </c>
    </row>
    <row r="973" spans="1:22" ht="15" customHeight="1" x14ac:dyDescent="0.25">
      <c r="A973" t="s">
        <v>518</v>
      </c>
      <c r="B973" t="s">
        <v>637</v>
      </c>
      <c r="C973" t="s">
        <v>2262</v>
      </c>
      <c r="D973" t="s">
        <v>647</v>
      </c>
      <c r="E973" t="s">
        <v>480</v>
      </c>
      <c r="F973" s="5">
        <v>79</v>
      </c>
      <c r="G973" t="s">
        <v>648</v>
      </c>
      <c r="H973" s="3">
        <v>6</v>
      </c>
      <c r="I973" s="3">
        <v>137</v>
      </c>
      <c r="J973" s="3">
        <v>30</v>
      </c>
      <c r="K973" s="3">
        <v>8</v>
      </c>
      <c r="L973">
        <f t="shared" si="158"/>
        <v>2.4660000000000001E-2</v>
      </c>
      <c r="M973">
        <f t="shared" si="155"/>
        <v>0.98640000000000005</v>
      </c>
      <c r="N973" s="8">
        <v>40</v>
      </c>
      <c r="O973" s="14">
        <f t="shared" si="159"/>
        <v>3160</v>
      </c>
      <c r="P973" s="8">
        <v>20</v>
      </c>
      <c r="Q973" s="8">
        <f t="shared" si="161"/>
        <v>2</v>
      </c>
      <c r="R973" s="8">
        <f t="shared" si="162"/>
        <v>26.666666666666664</v>
      </c>
      <c r="S973" s="8">
        <f t="shared" si="160"/>
        <v>28.666666666666664</v>
      </c>
      <c r="T973" s="22">
        <f t="shared" si="156"/>
        <v>2.3389388915206064</v>
      </c>
      <c r="U973" s="19">
        <f t="shared" si="157"/>
        <v>5977.1914229038439</v>
      </c>
      <c r="V973" s="29" t="s">
        <v>2983</v>
      </c>
    </row>
    <row r="974" spans="1:22" ht="15" customHeight="1" x14ac:dyDescent="0.25">
      <c r="A974" t="s">
        <v>518</v>
      </c>
      <c r="B974" t="s">
        <v>637</v>
      </c>
      <c r="C974" t="s">
        <v>2262</v>
      </c>
      <c r="D974" t="s">
        <v>643</v>
      </c>
      <c r="E974" t="s">
        <v>480</v>
      </c>
      <c r="F974" s="5">
        <v>79</v>
      </c>
      <c r="G974" t="s">
        <v>305</v>
      </c>
      <c r="H974" s="3">
        <v>5.5</v>
      </c>
      <c r="I974" s="3">
        <v>137</v>
      </c>
      <c r="J974" s="3">
        <v>35</v>
      </c>
      <c r="K974" s="3">
        <v>8</v>
      </c>
      <c r="L974">
        <f t="shared" si="158"/>
        <v>2.63725E-2</v>
      </c>
      <c r="M974">
        <f t="shared" si="155"/>
        <v>1.0548999999999999</v>
      </c>
      <c r="N974" s="8">
        <v>40</v>
      </c>
      <c r="O974" s="14">
        <f t="shared" si="159"/>
        <v>3160</v>
      </c>
      <c r="P974" s="8">
        <v>20</v>
      </c>
      <c r="Q974" s="8">
        <f t="shared" si="161"/>
        <v>2</v>
      </c>
      <c r="R974" s="8">
        <f t="shared" si="162"/>
        <v>26.666666666666664</v>
      </c>
      <c r="S974" s="8">
        <f t="shared" si="160"/>
        <v>28.666666666666664</v>
      </c>
      <c r="T974" s="22">
        <f t="shared" si="156"/>
        <v>2.3389388915206064</v>
      </c>
      <c r="U974" s="19">
        <f t="shared" si="157"/>
        <v>5979.5303617953641</v>
      </c>
      <c r="V974" s="29" t="s">
        <v>2983</v>
      </c>
    </row>
    <row r="975" spans="1:22" ht="15" customHeight="1" x14ac:dyDescent="0.25">
      <c r="A975" t="s">
        <v>518</v>
      </c>
      <c r="B975" t="s">
        <v>1090</v>
      </c>
      <c r="C975" t="s">
        <v>775</v>
      </c>
      <c r="D975" t="s">
        <v>594</v>
      </c>
      <c r="E975" t="s">
        <v>234</v>
      </c>
      <c r="F975" s="5">
        <v>629</v>
      </c>
      <c r="G975" t="s">
        <v>678</v>
      </c>
      <c r="H975" s="3">
        <v>55</v>
      </c>
      <c r="I975" s="3">
        <v>115</v>
      </c>
      <c r="J975" s="3">
        <v>49</v>
      </c>
      <c r="K975" s="3">
        <v>13.8</v>
      </c>
      <c r="L975">
        <f t="shared" si="158"/>
        <v>0.30992500000000001</v>
      </c>
      <c r="M975">
        <f t="shared" si="155"/>
        <v>1.549625</v>
      </c>
      <c r="N975" s="8">
        <v>5</v>
      </c>
      <c r="O975" s="14">
        <f t="shared" si="159"/>
        <v>3145</v>
      </c>
      <c r="P975" s="8">
        <v>20</v>
      </c>
      <c r="Q975" s="8">
        <f t="shared" si="161"/>
        <v>0.25</v>
      </c>
      <c r="R975" s="8">
        <f t="shared" si="162"/>
        <v>3.333333333333333</v>
      </c>
      <c r="S975" s="8">
        <f t="shared" si="160"/>
        <v>3.583333333333333</v>
      </c>
      <c r="T975" s="22">
        <f t="shared" si="156"/>
        <v>2.3278363334912364</v>
      </c>
      <c r="U975" s="19">
        <f t="shared" si="157"/>
        <v>5981.8581981288553</v>
      </c>
      <c r="V975" s="29" t="s">
        <v>2983</v>
      </c>
    </row>
    <row r="976" spans="1:22" ht="15" customHeight="1" x14ac:dyDescent="0.25">
      <c r="A976" t="s">
        <v>518</v>
      </c>
      <c r="B976" t="s">
        <v>1091</v>
      </c>
      <c r="C976" t="s">
        <v>2073</v>
      </c>
      <c r="D976" t="s">
        <v>2075</v>
      </c>
      <c r="E976" t="s">
        <v>480</v>
      </c>
      <c r="F976" s="5">
        <v>28.4</v>
      </c>
      <c r="G976" t="s">
        <v>512</v>
      </c>
      <c r="H976" s="3">
        <v>1.3</v>
      </c>
      <c r="I976" s="3">
        <v>16.5</v>
      </c>
      <c r="J976" s="3">
        <v>18.399999999999999</v>
      </c>
      <c r="K976" s="3">
        <v>1.47</v>
      </c>
      <c r="L976">
        <f t="shared" si="158"/>
        <v>3.9467999999999995E-4</v>
      </c>
      <c r="M976">
        <f t="shared" si="155"/>
        <v>4.3414799999999996E-2</v>
      </c>
      <c r="N976" s="8">
        <v>110</v>
      </c>
      <c r="O976" s="14">
        <f t="shared" si="159"/>
        <v>3124</v>
      </c>
      <c r="P976" s="8">
        <v>20</v>
      </c>
      <c r="Q976" s="8">
        <f t="shared" si="161"/>
        <v>5.5</v>
      </c>
      <c r="R976" s="8">
        <f t="shared" si="162"/>
        <v>73.333333333333329</v>
      </c>
      <c r="S976" s="8">
        <f t="shared" si="160"/>
        <v>78.833333333333329</v>
      </c>
      <c r="T976" s="22">
        <f t="shared" si="156"/>
        <v>2.3122927522501184</v>
      </c>
      <c r="U976" s="19">
        <f t="shared" si="157"/>
        <v>5984.1704908811053</v>
      </c>
      <c r="V976" s="29" t="s">
        <v>2983</v>
      </c>
    </row>
    <row r="977" spans="1:22" ht="15" customHeight="1" x14ac:dyDescent="0.25">
      <c r="A977" t="s">
        <v>518</v>
      </c>
      <c r="B977" t="s">
        <v>1091</v>
      </c>
      <c r="C977" t="s">
        <v>2073</v>
      </c>
      <c r="D977" t="s">
        <v>2076</v>
      </c>
      <c r="E977" t="s">
        <v>480</v>
      </c>
      <c r="F977" s="5">
        <v>28.39</v>
      </c>
      <c r="G977" t="s">
        <v>512</v>
      </c>
      <c r="H977" s="3">
        <v>1.3</v>
      </c>
      <c r="I977" s="3">
        <v>18.8</v>
      </c>
      <c r="J977" s="3">
        <v>19</v>
      </c>
      <c r="K977" s="3">
        <v>1.44</v>
      </c>
      <c r="L977">
        <f t="shared" si="158"/>
        <v>4.6436000000000003E-4</v>
      </c>
      <c r="M977">
        <f t="shared" si="155"/>
        <v>5.1079600000000003E-2</v>
      </c>
      <c r="N977" s="8">
        <v>110</v>
      </c>
      <c r="O977" s="14">
        <f t="shared" si="159"/>
        <v>3122.9</v>
      </c>
      <c r="P977" s="8">
        <v>20</v>
      </c>
      <c r="Q977" s="8">
        <f t="shared" si="161"/>
        <v>5.5</v>
      </c>
      <c r="R977" s="8">
        <f t="shared" si="162"/>
        <v>73.333333333333329</v>
      </c>
      <c r="S977" s="8">
        <f t="shared" si="160"/>
        <v>78.833333333333329</v>
      </c>
      <c r="T977" s="22">
        <f t="shared" si="156"/>
        <v>2.3114785646612983</v>
      </c>
      <c r="U977" s="19">
        <f t="shared" si="157"/>
        <v>5986.4819694457665</v>
      </c>
      <c r="V977" s="29" t="s">
        <v>2983</v>
      </c>
    </row>
    <row r="978" spans="1:22" ht="15" customHeight="1" x14ac:dyDescent="0.25">
      <c r="A978" t="s">
        <v>518</v>
      </c>
      <c r="B978" t="s">
        <v>1090</v>
      </c>
      <c r="C978" t="s">
        <v>750</v>
      </c>
      <c r="D978" t="s">
        <v>756</v>
      </c>
      <c r="E978" t="s">
        <v>234</v>
      </c>
      <c r="F978" s="5">
        <v>619</v>
      </c>
      <c r="G978" t="s">
        <v>757</v>
      </c>
      <c r="H978" s="3">
        <v>100</v>
      </c>
      <c r="I978" s="3">
        <v>100</v>
      </c>
      <c r="J978" s="3">
        <v>100</v>
      </c>
      <c r="K978" s="3">
        <v>0.7</v>
      </c>
      <c r="L978">
        <f t="shared" si="158"/>
        <v>1</v>
      </c>
      <c r="M978">
        <f t="shared" si="155"/>
        <v>5</v>
      </c>
      <c r="N978" s="8">
        <v>5</v>
      </c>
      <c r="O978" s="14">
        <f t="shared" si="159"/>
        <v>3095</v>
      </c>
      <c r="P978" s="8">
        <v>20</v>
      </c>
      <c r="Q978" s="8">
        <f t="shared" si="161"/>
        <v>0.25</v>
      </c>
      <c r="R978" s="8">
        <f t="shared" si="162"/>
        <v>3.333333333333333</v>
      </c>
      <c r="S978" s="8">
        <f t="shared" si="160"/>
        <v>3.583333333333333</v>
      </c>
      <c r="T978" s="22">
        <f t="shared" si="156"/>
        <v>2.2908278067266701</v>
      </c>
      <c r="U978" s="19">
        <f t="shared" si="157"/>
        <v>5988.7727972524935</v>
      </c>
      <c r="V978" s="29" t="s">
        <v>2983</v>
      </c>
    </row>
    <row r="979" spans="1:22" ht="15" customHeight="1" x14ac:dyDescent="0.25">
      <c r="A979" t="s">
        <v>518</v>
      </c>
      <c r="B979" t="s">
        <v>1091</v>
      </c>
      <c r="C979" t="s">
        <v>1185</v>
      </c>
      <c r="D979" t="s">
        <v>1186</v>
      </c>
      <c r="E979" t="s">
        <v>234</v>
      </c>
      <c r="F979" s="5">
        <v>33.799999999999997</v>
      </c>
      <c r="G979" t="s">
        <v>1150</v>
      </c>
      <c r="H979">
        <v>10</v>
      </c>
      <c r="I979">
        <v>10</v>
      </c>
      <c r="J979">
        <v>10</v>
      </c>
      <c r="K979" s="3">
        <v>0.9</v>
      </c>
      <c r="L979">
        <f t="shared" si="158"/>
        <v>1E-3</v>
      </c>
      <c r="M979">
        <f t="shared" si="155"/>
        <v>0.09</v>
      </c>
      <c r="N979" s="8">
        <v>90</v>
      </c>
      <c r="O979" s="14">
        <f t="shared" si="159"/>
        <v>3041.9999999999995</v>
      </c>
      <c r="P979" s="8">
        <v>20</v>
      </c>
      <c r="Q979" s="8">
        <f t="shared" si="161"/>
        <v>4.5</v>
      </c>
      <c r="R979" s="8">
        <f t="shared" si="162"/>
        <v>60</v>
      </c>
      <c r="S979" s="8">
        <f t="shared" si="160"/>
        <v>64.5</v>
      </c>
      <c r="T979" s="22">
        <f t="shared" si="156"/>
        <v>2.2515987683562289</v>
      </c>
      <c r="U979" s="19">
        <f t="shared" si="157"/>
        <v>5991.02439602085</v>
      </c>
      <c r="V979" s="29" t="s">
        <v>2983</v>
      </c>
    </row>
    <row r="980" spans="1:22" ht="15" customHeight="1" x14ac:dyDescent="0.25">
      <c r="A980" t="s">
        <v>518</v>
      </c>
      <c r="B980" t="s">
        <v>637</v>
      </c>
      <c r="C980" t="s">
        <v>2265</v>
      </c>
      <c r="D980" t="s">
        <v>651</v>
      </c>
      <c r="E980" t="s">
        <v>234</v>
      </c>
      <c r="F980" s="5">
        <v>75</v>
      </c>
      <c r="G980" t="s">
        <v>305</v>
      </c>
      <c r="H980" s="3">
        <v>15</v>
      </c>
      <c r="I980" s="3">
        <v>20</v>
      </c>
      <c r="J980" s="3">
        <v>25</v>
      </c>
      <c r="K980" s="3">
        <v>10</v>
      </c>
      <c r="L980">
        <f t="shared" si="158"/>
        <v>7.4999999999999997E-3</v>
      </c>
      <c r="M980">
        <f t="shared" si="155"/>
        <v>0.3</v>
      </c>
      <c r="N980" s="8">
        <v>40</v>
      </c>
      <c r="O980" s="14">
        <f t="shared" si="159"/>
        <v>3000</v>
      </c>
      <c r="P980" s="8">
        <v>20</v>
      </c>
      <c r="Q980" s="8">
        <f t="shared" si="161"/>
        <v>2</v>
      </c>
      <c r="R980" s="8">
        <f t="shared" si="162"/>
        <v>26.666666666666664</v>
      </c>
      <c r="S980" s="8">
        <f t="shared" si="160"/>
        <v>28.666666666666664</v>
      </c>
      <c r="T980" s="22">
        <f t="shared" si="156"/>
        <v>2.2205116058739933</v>
      </c>
      <c r="U980" s="19">
        <f t="shared" si="157"/>
        <v>5993.2449076267239</v>
      </c>
      <c r="V980" s="29" t="s">
        <v>2983</v>
      </c>
    </row>
    <row r="981" spans="1:22" ht="15" customHeight="1" x14ac:dyDescent="0.25">
      <c r="A981" t="s">
        <v>518</v>
      </c>
      <c r="B981" t="s">
        <v>637</v>
      </c>
      <c r="C981" t="s">
        <v>2265</v>
      </c>
      <c r="D981" t="s">
        <v>652</v>
      </c>
      <c r="E981" t="s">
        <v>234</v>
      </c>
      <c r="F981" s="5">
        <v>74.849999999999994</v>
      </c>
      <c r="G981" t="s">
        <v>305</v>
      </c>
      <c r="H981" s="3">
        <v>15</v>
      </c>
      <c r="I981" s="3">
        <v>20</v>
      </c>
      <c r="J981" s="3">
        <v>25</v>
      </c>
      <c r="K981" s="3">
        <v>10</v>
      </c>
      <c r="L981">
        <f t="shared" si="158"/>
        <v>7.4999999999999997E-3</v>
      </c>
      <c r="M981">
        <f t="shared" si="155"/>
        <v>0.3</v>
      </c>
      <c r="N981" s="8">
        <v>40</v>
      </c>
      <c r="O981" s="14">
        <f t="shared" si="159"/>
        <v>2994</v>
      </c>
      <c r="P981" s="8">
        <v>20</v>
      </c>
      <c r="Q981" s="8">
        <f t="shared" si="161"/>
        <v>2</v>
      </c>
      <c r="R981" s="8">
        <f t="shared" si="162"/>
        <v>26.666666666666664</v>
      </c>
      <c r="S981" s="8">
        <f t="shared" si="160"/>
        <v>28.666666666666664</v>
      </c>
      <c r="T981" s="22">
        <f t="shared" si="156"/>
        <v>2.2160705826622453</v>
      </c>
      <c r="U981" s="19">
        <f t="shared" si="157"/>
        <v>5995.4609782093858</v>
      </c>
      <c r="V981" s="29" t="s">
        <v>2983</v>
      </c>
    </row>
    <row r="982" spans="1:22" ht="15" customHeight="1" x14ac:dyDescent="0.25">
      <c r="A982" t="s">
        <v>518</v>
      </c>
      <c r="B982" t="s">
        <v>1090</v>
      </c>
      <c r="C982" t="s">
        <v>2331</v>
      </c>
      <c r="D982" t="s">
        <v>715</v>
      </c>
      <c r="E982" t="s">
        <v>2330</v>
      </c>
      <c r="F982" s="5">
        <v>589</v>
      </c>
      <c r="G982" t="s">
        <v>2323</v>
      </c>
      <c r="H982" s="3">
        <v>110</v>
      </c>
      <c r="I982" s="3">
        <v>90</v>
      </c>
      <c r="J982" s="3">
        <v>100</v>
      </c>
      <c r="K982" s="3">
        <v>103</v>
      </c>
      <c r="L982">
        <f t="shared" si="158"/>
        <v>0.99</v>
      </c>
      <c r="M982">
        <f t="shared" si="155"/>
        <v>4.95</v>
      </c>
      <c r="N982" s="8">
        <v>5</v>
      </c>
      <c r="O982" s="14">
        <f t="shared" si="159"/>
        <v>2945</v>
      </c>
      <c r="P982" s="8">
        <v>20</v>
      </c>
      <c r="Q982" s="8">
        <f t="shared" si="161"/>
        <v>0.25</v>
      </c>
      <c r="R982" s="8">
        <f t="shared" si="162"/>
        <v>3.333333333333333</v>
      </c>
      <c r="S982" s="8">
        <f t="shared" si="160"/>
        <v>3.583333333333333</v>
      </c>
      <c r="T982" s="22">
        <f t="shared" si="156"/>
        <v>2.1798022264329702</v>
      </c>
      <c r="U982" s="19">
        <f t="shared" si="157"/>
        <v>5997.6407804358187</v>
      </c>
      <c r="V982" s="29" t="s">
        <v>2983</v>
      </c>
    </row>
    <row r="983" spans="1:22" ht="15" customHeight="1" x14ac:dyDescent="0.25">
      <c r="A983" t="s">
        <v>518</v>
      </c>
      <c r="B983" t="s">
        <v>1090</v>
      </c>
      <c r="C983" t="s">
        <v>775</v>
      </c>
      <c r="D983" t="s">
        <v>581</v>
      </c>
      <c r="E983" t="s">
        <v>234</v>
      </c>
      <c r="F983" s="5">
        <v>579</v>
      </c>
      <c r="G983" t="s">
        <v>678</v>
      </c>
      <c r="H983" s="3">
        <v>55</v>
      </c>
      <c r="I983" s="3">
        <v>115</v>
      </c>
      <c r="J983" s="3">
        <v>49</v>
      </c>
      <c r="K983" s="3">
        <v>15.1</v>
      </c>
      <c r="L983">
        <f t="shared" si="158"/>
        <v>0.30992500000000001</v>
      </c>
      <c r="M983">
        <f t="shared" si="155"/>
        <v>1.549625</v>
      </c>
      <c r="N983" s="8">
        <v>5</v>
      </c>
      <c r="O983" s="14">
        <f t="shared" si="159"/>
        <v>2895</v>
      </c>
      <c r="P983" s="8">
        <v>20</v>
      </c>
      <c r="Q983" s="8">
        <f t="shared" si="161"/>
        <v>0.25</v>
      </c>
      <c r="R983" s="8">
        <f t="shared" si="162"/>
        <v>3.333333333333333</v>
      </c>
      <c r="S983" s="8">
        <f t="shared" si="160"/>
        <v>3.583333333333333</v>
      </c>
      <c r="T983" s="22">
        <f t="shared" si="156"/>
        <v>2.1427936996684038</v>
      </c>
      <c r="U983" s="19">
        <f t="shared" si="157"/>
        <v>5999.7835741354875</v>
      </c>
      <c r="V983" s="29" t="s">
        <v>2983</v>
      </c>
    </row>
    <row r="984" spans="1:22" ht="15" customHeight="1" x14ac:dyDescent="0.25">
      <c r="A984" t="s">
        <v>518</v>
      </c>
      <c r="B984" t="s">
        <v>1090</v>
      </c>
      <c r="C984" t="s">
        <v>775</v>
      </c>
      <c r="D984" t="s">
        <v>590</v>
      </c>
      <c r="E984" t="s">
        <v>234</v>
      </c>
      <c r="F984" s="5">
        <v>579</v>
      </c>
      <c r="G984" t="s">
        <v>678</v>
      </c>
      <c r="H984" s="3">
        <v>55</v>
      </c>
      <c r="I984" s="3">
        <v>115</v>
      </c>
      <c r="J984" s="3">
        <v>49</v>
      </c>
      <c r="K984" s="3">
        <v>10.5</v>
      </c>
      <c r="L984">
        <f t="shared" si="158"/>
        <v>0.30992500000000001</v>
      </c>
      <c r="M984">
        <f t="shared" si="155"/>
        <v>1.549625</v>
      </c>
      <c r="N984" s="8">
        <v>5</v>
      </c>
      <c r="O984" s="14">
        <f t="shared" si="159"/>
        <v>2895</v>
      </c>
      <c r="P984" s="8">
        <v>20</v>
      </c>
      <c r="Q984" s="8">
        <f t="shared" si="161"/>
        <v>0.25</v>
      </c>
      <c r="R984" s="8">
        <f t="shared" si="162"/>
        <v>3.333333333333333</v>
      </c>
      <c r="S984" s="8">
        <f t="shared" si="160"/>
        <v>3.583333333333333</v>
      </c>
      <c r="T984" s="22">
        <f t="shared" si="156"/>
        <v>2.1427936996684038</v>
      </c>
      <c r="U984" s="19">
        <f t="shared" si="157"/>
        <v>6001.9263678351563</v>
      </c>
      <c r="V984" s="29" t="s">
        <v>2983</v>
      </c>
    </row>
    <row r="985" spans="1:22" ht="15" customHeight="1" x14ac:dyDescent="0.25">
      <c r="A985" t="s">
        <v>518</v>
      </c>
      <c r="B985" t="s">
        <v>637</v>
      </c>
      <c r="C985" t="s">
        <v>2238</v>
      </c>
      <c r="D985" t="s">
        <v>1301</v>
      </c>
      <c r="E985" t="s">
        <v>2213</v>
      </c>
      <c r="F985" s="5">
        <v>71.91</v>
      </c>
      <c r="G985" t="s">
        <v>2236</v>
      </c>
      <c r="H985" s="3">
        <v>4</v>
      </c>
      <c r="I985" s="3">
        <v>500</v>
      </c>
      <c r="J985" s="3">
        <v>3</v>
      </c>
      <c r="K985" s="3">
        <v>6.0000000000000001E-3</v>
      </c>
      <c r="L985">
        <f t="shared" si="158"/>
        <v>6.0000000000000001E-3</v>
      </c>
      <c r="M985">
        <f t="shared" si="155"/>
        <v>0.24</v>
      </c>
      <c r="N985" s="8">
        <v>40</v>
      </c>
      <c r="O985" s="14">
        <f t="shared" si="159"/>
        <v>2876.3999999999996</v>
      </c>
      <c r="P985" s="8">
        <v>20</v>
      </c>
      <c r="Q985" s="8">
        <f t="shared" si="161"/>
        <v>2</v>
      </c>
      <c r="R985" s="8">
        <f t="shared" si="162"/>
        <v>26.666666666666664</v>
      </c>
      <c r="S985" s="8">
        <f t="shared" si="160"/>
        <v>28.666666666666664</v>
      </c>
      <c r="T985" s="22">
        <f t="shared" si="156"/>
        <v>2.1290265277119844</v>
      </c>
      <c r="U985" s="19">
        <f t="shared" si="157"/>
        <v>6004.0553943628684</v>
      </c>
      <c r="V985" s="29" t="s">
        <v>2983</v>
      </c>
    </row>
    <row r="986" spans="1:22" ht="15" customHeight="1" x14ac:dyDescent="0.25">
      <c r="A986" t="s">
        <v>518</v>
      </c>
      <c r="B986" t="s">
        <v>1091</v>
      </c>
      <c r="C986" t="s">
        <v>2192</v>
      </c>
      <c r="D986" t="s">
        <v>2193</v>
      </c>
      <c r="E986" t="s">
        <v>833</v>
      </c>
      <c r="F986" s="5">
        <v>29.9</v>
      </c>
      <c r="G986" t="s">
        <v>606</v>
      </c>
      <c r="H986" s="3">
        <v>1</v>
      </c>
      <c r="I986" s="3">
        <v>30</v>
      </c>
      <c r="J986" s="3">
        <v>13</v>
      </c>
      <c r="K986" s="3">
        <v>3</v>
      </c>
      <c r="L986">
        <f t="shared" si="158"/>
        <v>3.8999999999999999E-4</v>
      </c>
      <c r="M986">
        <f t="shared" si="155"/>
        <v>3.705E-2</v>
      </c>
      <c r="N986" s="8">
        <v>95</v>
      </c>
      <c r="O986" s="14">
        <f t="shared" si="159"/>
        <v>2840.5</v>
      </c>
      <c r="P986" s="8">
        <v>20</v>
      </c>
      <c r="Q986" s="8">
        <f t="shared" si="161"/>
        <v>4.75</v>
      </c>
      <c r="R986" s="8">
        <f t="shared" si="162"/>
        <v>63.333333333333329</v>
      </c>
      <c r="S986" s="8">
        <f t="shared" si="160"/>
        <v>68.083333333333329</v>
      </c>
      <c r="T986" s="22">
        <f t="shared" si="156"/>
        <v>2.1024544054950263</v>
      </c>
      <c r="U986" s="19">
        <f t="shared" si="157"/>
        <v>6006.1578487683637</v>
      </c>
      <c r="V986" s="29" t="s">
        <v>2983</v>
      </c>
    </row>
    <row r="987" spans="1:22" ht="15" customHeight="1" x14ac:dyDescent="0.25">
      <c r="A987" t="s">
        <v>518</v>
      </c>
      <c r="B987" t="s">
        <v>637</v>
      </c>
      <c r="C987" t="s">
        <v>2235</v>
      </c>
      <c r="D987" t="s">
        <v>1299</v>
      </c>
      <c r="E987" t="s">
        <v>2213</v>
      </c>
      <c r="F987" s="5">
        <v>35</v>
      </c>
      <c r="G987" t="s">
        <v>2236</v>
      </c>
      <c r="H987" s="3">
        <v>2</v>
      </c>
      <c r="I987" s="3">
        <v>350</v>
      </c>
      <c r="J987" s="3">
        <v>3.5</v>
      </c>
      <c r="K987" s="3">
        <v>2.4499999999999999E-3</v>
      </c>
      <c r="L987">
        <f t="shared" si="158"/>
        <v>2.4499999999999999E-3</v>
      </c>
      <c r="M987">
        <f t="shared" si="155"/>
        <v>0.19600000000000001</v>
      </c>
      <c r="N987" s="8">
        <v>80</v>
      </c>
      <c r="O987" s="14">
        <f t="shared" si="159"/>
        <v>2800</v>
      </c>
      <c r="P987" s="8">
        <v>20</v>
      </c>
      <c r="Q987" s="8">
        <f t="shared" si="161"/>
        <v>4</v>
      </c>
      <c r="R987" s="8">
        <f t="shared" si="162"/>
        <v>53.333333333333329</v>
      </c>
      <c r="S987" s="8">
        <f t="shared" si="160"/>
        <v>57.333333333333329</v>
      </c>
      <c r="T987" s="22">
        <f t="shared" si="156"/>
        <v>2.0724774988157271</v>
      </c>
      <c r="U987" s="19">
        <f t="shared" si="157"/>
        <v>6008.2303262671794</v>
      </c>
      <c r="V987" s="29" t="s">
        <v>2983</v>
      </c>
    </row>
    <row r="988" spans="1:22" ht="15" customHeight="1" x14ac:dyDescent="0.25">
      <c r="A988" t="s">
        <v>518</v>
      </c>
      <c r="B988" t="s">
        <v>519</v>
      </c>
      <c r="C988" t="s">
        <v>550</v>
      </c>
      <c r="D988" t="s">
        <v>558</v>
      </c>
      <c r="E988" t="s">
        <v>24</v>
      </c>
      <c r="F988" s="5">
        <v>8</v>
      </c>
      <c r="G988" t="s">
        <v>543</v>
      </c>
      <c r="H988" s="3">
        <v>5</v>
      </c>
      <c r="I988" s="3">
        <v>20</v>
      </c>
      <c r="J988" s="3">
        <v>10</v>
      </c>
      <c r="K988" s="3">
        <v>1</v>
      </c>
      <c r="L988">
        <f t="shared" si="158"/>
        <v>1E-3</v>
      </c>
      <c r="M988">
        <f t="shared" si="155"/>
        <v>0.35000000000000003</v>
      </c>
      <c r="N988" s="8">
        <v>350</v>
      </c>
      <c r="O988" s="14">
        <f t="shared" si="159"/>
        <v>2800</v>
      </c>
      <c r="P988" s="8">
        <v>25</v>
      </c>
      <c r="Q988" s="8">
        <f>P988/N988</f>
        <v>7.1428571428571425E-2</v>
      </c>
      <c r="R988" s="8">
        <f>P988+Q988</f>
        <v>25.071428571428573</v>
      </c>
      <c r="S988" s="8">
        <f t="shared" si="160"/>
        <v>25.142857142857146</v>
      </c>
      <c r="T988" s="22">
        <f t="shared" si="156"/>
        <v>2.0724774988157271</v>
      </c>
      <c r="U988" s="19">
        <f t="shared" si="157"/>
        <v>6010.3028037659951</v>
      </c>
      <c r="V988" s="29" t="s">
        <v>2983</v>
      </c>
    </row>
    <row r="989" spans="1:22" ht="15" customHeight="1" x14ac:dyDescent="0.25">
      <c r="A989" t="s">
        <v>518</v>
      </c>
      <c r="B989" t="s">
        <v>1091</v>
      </c>
      <c r="C989" t="s">
        <v>2063</v>
      </c>
      <c r="D989" t="s">
        <v>2067</v>
      </c>
      <c r="E989" t="s">
        <v>480</v>
      </c>
      <c r="F989" s="5">
        <v>25.1</v>
      </c>
      <c r="G989" t="s">
        <v>512</v>
      </c>
      <c r="H989" s="3">
        <v>120</v>
      </c>
      <c r="I989" s="3">
        <v>19.5</v>
      </c>
      <c r="J989" s="3">
        <v>1</v>
      </c>
      <c r="K989" s="3">
        <v>1.28</v>
      </c>
      <c r="L989">
        <f t="shared" si="158"/>
        <v>2.3400000000000001E-3</v>
      </c>
      <c r="M989">
        <f t="shared" si="155"/>
        <v>0.25740000000000002</v>
      </c>
      <c r="N989" s="8">
        <v>110</v>
      </c>
      <c r="O989" s="14">
        <f t="shared" si="159"/>
        <v>2761</v>
      </c>
      <c r="P989" s="8">
        <v>20</v>
      </c>
      <c r="Q989" s="8">
        <f t="shared" ref="Q989:Q997" si="163">N989/P989</f>
        <v>5.5</v>
      </c>
      <c r="R989" s="8">
        <f t="shared" ref="R989:R997" si="164">(N989/30)*P989</f>
        <v>73.333333333333329</v>
      </c>
      <c r="S989" s="8">
        <f t="shared" si="160"/>
        <v>78.833333333333329</v>
      </c>
      <c r="T989" s="22">
        <f t="shared" si="156"/>
        <v>2.0436108479393651</v>
      </c>
      <c r="U989" s="19">
        <f t="shared" si="157"/>
        <v>6012.3464146139349</v>
      </c>
      <c r="V989" s="29" t="s">
        <v>2983</v>
      </c>
    </row>
    <row r="990" spans="1:22" ht="15" customHeight="1" x14ac:dyDescent="0.25">
      <c r="A990" t="s">
        <v>518</v>
      </c>
      <c r="B990" t="s">
        <v>1090</v>
      </c>
      <c r="C990" t="s">
        <v>2406</v>
      </c>
      <c r="D990" t="s">
        <v>2407</v>
      </c>
      <c r="E990" t="s">
        <v>234</v>
      </c>
      <c r="F990" s="5">
        <v>544</v>
      </c>
      <c r="G990" t="s">
        <v>2408</v>
      </c>
      <c r="H990" s="3">
        <v>35</v>
      </c>
      <c r="I990" s="3">
        <v>7</v>
      </c>
      <c r="J990" s="3">
        <v>4</v>
      </c>
      <c r="K990" s="3">
        <v>25</v>
      </c>
      <c r="L990">
        <f t="shared" si="158"/>
        <v>9.7999999999999997E-4</v>
      </c>
      <c r="M990">
        <f t="shared" si="155"/>
        <v>4.8999999999999998E-3</v>
      </c>
      <c r="N990" s="8">
        <v>5</v>
      </c>
      <c r="O990" s="14">
        <f t="shared" si="159"/>
        <v>2720</v>
      </c>
      <c r="P990" s="8">
        <v>20</v>
      </c>
      <c r="Q990" s="8">
        <f t="shared" si="163"/>
        <v>0.25</v>
      </c>
      <c r="R990" s="8">
        <f t="shared" si="164"/>
        <v>3.333333333333333</v>
      </c>
      <c r="S990" s="8">
        <f t="shared" si="160"/>
        <v>3.583333333333333</v>
      </c>
      <c r="T990" s="22">
        <f t="shared" si="156"/>
        <v>2.0132638559924207</v>
      </c>
      <c r="U990" s="19">
        <f t="shared" si="157"/>
        <v>6014.3596784699275</v>
      </c>
      <c r="V990" s="29" t="s">
        <v>2983</v>
      </c>
    </row>
    <row r="991" spans="1:22" ht="15" customHeight="1" x14ac:dyDescent="0.25">
      <c r="A991" t="s">
        <v>518</v>
      </c>
      <c r="B991" t="s">
        <v>1090</v>
      </c>
      <c r="C991" t="s">
        <v>2331</v>
      </c>
      <c r="D991" t="s">
        <v>2333</v>
      </c>
      <c r="E991" t="s">
        <v>2330</v>
      </c>
      <c r="F991" s="5">
        <v>539</v>
      </c>
      <c r="G991" t="s">
        <v>683</v>
      </c>
      <c r="H991" s="3">
        <v>20</v>
      </c>
      <c r="I991" s="3">
        <v>600</v>
      </c>
      <c r="J991" s="3">
        <v>20</v>
      </c>
      <c r="K991" s="3">
        <v>45</v>
      </c>
      <c r="L991">
        <f t="shared" si="158"/>
        <v>0.24</v>
      </c>
      <c r="M991">
        <f t="shared" si="155"/>
        <v>1.2</v>
      </c>
      <c r="N991" s="8">
        <v>5</v>
      </c>
      <c r="O991" s="14">
        <f t="shared" si="159"/>
        <v>2695</v>
      </c>
      <c r="P991" s="8">
        <v>20</v>
      </c>
      <c r="Q991" s="8">
        <f t="shared" si="163"/>
        <v>0.25</v>
      </c>
      <c r="R991" s="8">
        <f t="shared" si="164"/>
        <v>3.333333333333333</v>
      </c>
      <c r="S991" s="8">
        <f t="shared" si="160"/>
        <v>3.583333333333333</v>
      </c>
      <c r="T991" s="22">
        <f t="shared" si="156"/>
        <v>1.9947595926101374</v>
      </c>
      <c r="U991" s="19">
        <f t="shared" si="157"/>
        <v>6016.3544380625381</v>
      </c>
      <c r="V991" s="29" t="s">
        <v>2983</v>
      </c>
    </row>
    <row r="992" spans="1:22" ht="15" customHeight="1" x14ac:dyDescent="0.25">
      <c r="A992" t="s">
        <v>518</v>
      </c>
      <c r="B992" t="s">
        <v>637</v>
      </c>
      <c r="C992" t="s">
        <v>2212</v>
      </c>
      <c r="D992" t="s">
        <v>1251</v>
      </c>
      <c r="E992" t="s">
        <v>2213</v>
      </c>
      <c r="F992" s="5">
        <v>27.99</v>
      </c>
      <c r="G992" t="s">
        <v>2214</v>
      </c>
      <c r="H992" s="3">
        <v>100</v>
      </c>
      <c r="I992" s="3">
        <v>680</v>
      </c>
      <c r="J992" s="3">
        <v>0.8</v>
      </c>
      <c r="K992" s="3">
        <v>5.4399999999999997E-2</v>
      </c>
      <c r="L992">
        <f t="shared" si="158"/>
        <v>5.4399999999999997E-2</v>
      </c>
      <c r="M992">
        <f t="shared" si="155"/>
        <v>5.1680000000000001</v>
      </c>
      <c r="N992" s="8">
        <v>95</v>
      </c>
      <c r="O992" s="14">
        <f t="shared" si="159"/>
        <v>2659.0499999999997</v>
      </c>
      <c r="P992" s="8">
        <v>20</v>
      </c>
      <c r="Q992" s="8">
        <f t="shared" si="163"/>
        <v>4.75</v>
      </c>
      <c r="R992" s="8">
        <f t="shared" si="164"/>
        <v>63.333333333333329</v>
      </c>
      <c r="S992" s="8">
        <f t="shared" si="160"/>
        <v>68.083333333333329</v>
      </c>
      <c r="T992" s="22">
        <f t="shared" si="156"/>
        <v>1.9681504618664138</v>
      </c>
      <c r="U992" s="19">
        <f t="shared" si="157"/>
        <v>6018.3225885244046</v>
      </c>
      <c r="V992" s="29" t="s">
        <v>2983</v>
      </c>
    </row>
    <row r="993" spans="1:22" ht="15" customHeight="1" x14ac:dyDescent="0.25">
      <c r="A993" t="s">
        <v>518</v>
      </c>
      <c r="B993" t="s">
        <v>637</v>
      </c>
      <c r="C993" t="s">
        <v>2284</v>
      </c>
      <c r="D993" t="s">
        <v>702</v>
      </c>
      <c r="E993" t="s">
        <v>24</v>
      </c>
      <c r="F993" s="5">
        <v>52.88</v>
      </c>
      <c r="G993" t="s">
        <v>703</v>
      </c>
      <c r="H993" s="3">
        <v>10</v>
      </c>
      <c r="I993" s="3">
        <v>15</v>
      </c>
      <c r="J993" s="3">
        <v>10</v>
      </c>
      <c r="K993" s="3">
        <v>2</v>
      </c>
      <c r="L993">
        <f t="shared" si="158"/>
        <v>1.5E-3</v>
      </c>
      <c r="M993">
        <f t="shared" si="155"/>
        <v>7.4999999999999997E-2</v>
      </c>
      <c r="N993" s="8">
        <v>50</v>
      </c>
      <c r="O993" s="14">
        <f t="shared" si="159"/>
        <v>2644</v>
      </c>
      <c r="P993" s="8">
        <v>20</v>
      </c>
      <c r="Q993" s="8">
        <f t="shared" si="163"/>
        <v>2.5</v>
      </c>
      <c r="R993" s="8">
        <f t="shared" si="164"/>
        <v>33.333333333333336</v>
      </c>
      <c r="S993" s="8">
        <f t="shared" si="160"/>
        <v>35.833333333333336</v>
      </c>
      <c r="T993" s="22">
        <f t="shared" si="156"/>
        <v>1.9570108953102796</v>
      </c>
      <c r="U993" s="19">
        <f t="shared" si="157"/>
        <v>6020.2795994197149</v>
      </c>
      <c r="V993" s="29" t="s">
        <v>2983</v>
      </c>
    </row>
    <row r="994" spans="1:22" ht="15" customHeight="1" x14ac:dyDescent="0.25">
      <c r="A994" t="s">
        <v>518</v>
      </c>
      <c r="B994" t="s">
        <v>637</v>
      </c>
      <c r="C994" t="s">
        <v>2262</v>
      </c>
      <c r="D994" t="s">
        <v>644</v>
      </c>
      <c r="E994" t="s">
        <v>480</v>
      </c>
      <c r="F994" s="5">
        <v>65</v>
      </c>
      <c r="G994" t="s">
        <v>305</v>
      </c>
      <c r="H994" s="3">
        <v>6</v>
      </c>
      <c r="I994" s="3">
        <v>130</v>
      </c>
      <c r="J994" s="3">
        <v>30</v>
      </c>
      <c r="K994" s="3">
        <v>8.5</v>
      </c>
      <c r="L994">
        <f t="shared" si="158"/>
        <v>2.3400000000000001E-2</v>
      </c>
      <c r="M994">
        <f t="shared" si="155"/>
        <v>0.93600000000000005</v>
      </c>
      <c r="N994" s="8">
        <v>40</v>
      </c>
      <c r="O994" s="14">
        <f t="shared" si="159"/>
        <v>2600</v>
      </c>
      <c r="P994" s="8">
        <v>20</v>
      </c>
      <c r="Q994" s="8">
        <f t="shared" si="163"/>
        <v>2</v>
      </c>
      <c r="R994" s="8">
        <f t="shared" si="164"/>
        <v>26.666666666666664</v>
      </c>
      <c r="S994" s="8">
        <f t="shared" si="160"/>
        <v>28.666666666666664</v>
      </c>
      <c r="T994" s="22">
        <f t="shared" si="156"/>
        <v>1.924443391757461</v>
      </c>
      <c r="U994" s="19">
        <f t="shared" si="157"/>
        <v>6022.2040428114724</v>
      </c>
      <c r="V994" s="29" t="s">
        <v>2983</v>
      </c>
    </row>
    <row r="995" spans="1:22" ht="15" customHeight="1" x14ac:dyDescent="0.25">
      <c r="A995" t="s">
        <v>518</v>
      </c>
      <c r="B995" t="s">
        <v>637</v>
      </c>
      <c r="C995" t="s">
        <v>2262</v>
      </c>
      <c r="D995" t="s">
        <v>649</v>
      </c>
      <c r="E995" t="s">
        <v>480</v>
      </c>
      <c r="F995" s="5">
        <v>65</v>
      </c>
      <c r="G995" t="s">
        <v>648</v>
      </c>
      <c r="H995" s="3">
        <v>6</v>
      </c>
      <c r="I995" s="3">
        <v>137</v>
      </c>
      <c r="J995" s="3">
        <v>30</v>
      </c>
      <c r="K995" s="3">
        <v>8</v>
      </c>
      <c r="L995">
        <f t="shared" si="158"/>
        <v>2.4660000000000001E-2</v>
      </c>
      <c r="M995">
        <f t="shared" si="155"/>
        <v>0.98640000000000005</v>
      </c>
      <c r="N995" s="8">
        <v>40</v>
      </c>
      <c r="O995" s="14">
        <f t="shared" si="159"/>
        <v>2600</v>
      </c>
      <c r="P995" s="8">
        <v>20</v>
      </c>
      <c r="Q995" s="8">
        <f t="shared" si="163"/>
        <v>2</v>
      </c>
      <c r="R995" s="8">
        <f t="shared" si="164"/>
        <v>26.666666666666664</v>
      </c>
      <c r="S995" s="8">
        <f t="shared" si="160"/>
        <v>28.666666666666664</v>
      </c>
      <c r="T995" s="22">
        <f t="shared" si="156"/>
        <v>1.924443391757461</v>
      </c>
      <c r="U995" s="19">
        <f t="shared" si="157"/>
        <v>6024.1284862032298</v>
      </c>
      <c r="V995" s="29" t="s">
        <v>2983</v>
      </c>
    </row>
    <row r="996" spans="1:22" ht="15" customHeight="1" x14ac:dyDescent="0.25">
      <c r="A996" t="s">
        <v>518</v>
      </c>
      <c r="B996" t="s">
        <v>1090</v>
      </c>
      <c r="C996" t="s">
        <v>2329</v>
      </c>
      <c r="D996" t="s">
        <v>712</v>
      </c>
      <c r="E996" t="s">
        <v>2330</v>
      </c>
      <c r="F996" s="5">
        <v>519</v>
      </c>
      <c r="G996" t="s">
        <v>2323</v>
      </c>
      <c r="H996" s="3">
        <v>110</v>
      </c>
      <c r="I996" s="3">
        <v>90</v>
      </c>
      <c r="J996" s="3">
        <v>100</v>
      </c>
      <c r="K996" s="3">
        <v>19.2</v>
      </c>
      <c r="L996">
        <f t="shared" si="158"/>
        <v>0.99</v>
      </c>
      <c r="M996">
        <f t="shared" si="155"/>
        <v>4.95</v>
      </c>
      <c r="N996" s="8">
        <v>5</v>
      </c>
      <c r="O996" s="14">
        <f t="shared" si="159"/>
        <v>2595</v>
      </c>
      <c r="P996" s="8">
        <v>20</v>
      </c>
      <c r="Q996" s="8">
        <f t="shared" si="163"/>
        <v>0.25</v>
      </c>
      <c r="R996" s="8">
        <f t="shared" si="164"/>
        <v>3.333333333333333</v>
      </c>
      <c r="S996" s="8">
        <f t="shared" si="160"/>
        <v>3.583333333333333</v>
      </c>
      <c r="T996" s="22">
        <f t="shared" si="156"/>
        <v>1.9207425390810042</v>
      </c>
      <c r="U996" s="19">
        <f t="shared" si="157"/>
        <v>6026.0492287423112</v>
      </c>
      <c r="V996" s="29" t="s">
        <v>2983</v>
      </c>
    </row>
    <row r="997" spans="1:22" ht="15" customHeight="1" x14ac:dyDescent="0.25">
      <c r="A997" t="s">
        <v>518</v>
      </c>
      <c r="B997" t="s">
        <v>1090</v>
      </c>
      <c r="C997" t="s">
        <v>775</v>
      </c>
      <c r="D997" t="s">
        <v>587</v>
      </c>
      <c r="E997" t="s">
        <v>234</v>
      </c>
      <c r="F997" s="5">
        <v>499</v>
      </c>
      <c r="G997" t="s">
        <v>679</v>
      </c>
      <c r="H997" s="3">
        <v>105</v>
      </c>
      <c r="I997" s="3">
        <v>65</v>
      </c>
      <c r="J997" s="3">
        <v>19</v>
      </c>
      <c r="K997" s="3">
        <v>19</v>
      </c>
      <c r="L997">
        <f t="shared" si="158"/>
        <v>0.12967500000000001</v>
      </c>
      <c r="M997">
        <f t="shared" si="155"/>
        <v>0.64837500000000003</v>
      </c>
      <c r="N997" s="8">
        <v>5</v>
      </c>
      <c r="O997" s="14">
        <f t="shared" si="159"/>
        <v>2495</v>
      </c>
      <c r="P997" s="8">
        <v>20</v>
      </c>
      <c r="Q997" s="8">
        <f t="shared" si="163"/>
        <v>0.25</v>
      </c>
      <c r="R997" s="8">
        <f t="shared" si="164"/>
        <v>3.333333333333333</v>
      </c>
      <c r="S997" s="8">
        <f t="shared" si="160"/>
        <v>3.583333333333333</v>
      </c>
      <c r="T997" s="22">
        <f t="shared" si="156"/>
        <v>1.8467254855518711</v>
      </c>
      <c r="U997" s="19">
        <f t="shared" si="157"/>
        <v>6027.8959542278635</v>
      </c>
      <c r="V997" s="29" t="s">
        <v>2983</v>
      </c>
    </row>
    <row r="998" spans="1:22" ht="15" customHeight="1" x14ac:dyDescent="0.25">
      <c r="A998" t="s">
        <v>518</v>
      </c>
      <c r="B998" t="s">
        <v>519</v>
      </c>
      <c r="C998" t="s">
        <v>556</v>
      </c>
      <c r="D998" t="s">
        <v>557</v>
      </c>
      <c r="E998" t="s">
        <v>24</v>
      </c>
      <c r="F998" s="5">
        <v>6.9</v>
      </c>
      <c r="G998" t="s">
        <v>543</v>
      </c>
      <c r="H998" s="3">
        <v>5</v>
      </c>
      <c r="I998" s="3">
        <v>20</v>
      </c>
      <c r="J998" s="3">
        <v>10</v>
      </c>
      <c r="K998" s="3">
        <v>1</v>
      </c>
      <c r="L998">
        <f t="shared" si="158"/>
        <v>1E-3</v>
      </c>
      <c r="M998">
        <f t="shared" si="155"/>
        <v>0.35000000000000003</v>
      </c>
      <c r="N998" s="8">
        <v>350</v>
      </c>
      <c r="O998" s="14">
        <f t="shared" si="159"/>
        <v>2415</v>
      </c>
      <c r="P998" s="8">
        <v>25</v>
      </c>
      <c r="Q998" s="8">
        <f>P998/N998</f>
        <v>7.1428571428571425E-2</v>
      </c>
      <c r="R998" s="8">
        <f>P998+Q998</f>
        <v>25.071428571428573</v>
      </c>
      <c r="S998" s="8">
        <f t="shared" si="160"/>
        <v>25.142857142857146</v>
      </c>
      <c r="T998" s="22">
        <f t="shared" si="156"/>
        <v>1.7875118427285648</v>
      </c>
      <c r="U998" s="19">
        <f t="shared" si="157"/>
        <v>6029.6834660705917</v>
      </c>
      <c r="V998" s="29" t="s">
        <v>2983</v>
      </c>
    </row>
    <row r="999" spans="1:22" ht="15" customHeight="1" x14ac:dyDescent="0.25">
      <c r="A999" t="s">
        <v>518</v>
      </c>
      <c r="B999" t="s">
        <v>637</v>
      </c>
      <c r="C999" t="s">
        <v>2265</v>
      </c>
      <c r="D999" t="s">
        <v>651</v>
      </c>
      <c r="E999" t="s">
        <v>234</v>
      </c>
      <c r="F999" s="5">
        <v>60</v>
      </c>
      <c r="G999" t="s">
        <v>305</v>
      </c>
      <c r="H999" s="3">
        <v>15</v>
      </c>
      <c r="I999" s="3">
        <v>20</v>
      </c>
      <c r="J999" s="3">
        <v>25</v>
      </c>
      <c r="K999" s="3">
        <v>10</v>
      </c>
      <c r="L999">
        <f t="shared" si="158"/>
        <v>7.4999999999999997E-3</v>
      </c>
      <c r="M999">
        <f t="shared" si="155"/>
        <v>0.3</v>
      </c>
      <c r="N999" s="8">
        <v>40</v>
      </c>
      <c r="O999" s="14">
        <f t="shared" si="159"/>
        <v>2400</v>
      </c>
      <c r="P999" s="8">
        <v>20</v>
      </c>
      <c r="Q999" s="8">
        <f t="shared" ref="Q999:Q1030" si="165">N999/P999</f>
        <v>2</v>
      </c>
      <c r="R999" s="8">
        <f t="shared" ref="R999:R1030" si="166">(N999/30)*P999</f>
        <v>26.666666666666664</v>
      </c>
      <c r="S999" s="8">
        <f t="shared" si="160"/>
        <v>28.666666666666664</v>
      </c>
      <c r="T999" s="22">
        <f t="shared" si="156"/>
        <v>1.7764092846991948</v>
      </c>
      <c r="U999" s="19">
        <f t="shared" si="157"/>
        <v>6031.4598753552909</v>
      </c>
      <c r="V999" s="29" t="s">
        <v>2983</v>
      </c>
    </row>
    <row r="1000" spans="1:22" ht="15" customHeight="1" x14ac:dyDescent="0.25">
      <c r="A1000" t="s">
        <v>518</v>
      </c>
      <c r="B1000" t="s">
        <v>637</v>
      </c>
      <c r="C1000" t="s">
        <v>2223</v>
      </c>
      <c r="D1000" t="s">
        <v>1262</v>
      </c>
      <c r="E1000" t="s">
        <v>234</v>
      </c>
      <c r="F1000" s="5">
        <v>60</v>
      </c>
      <c r="G1000" t="s">
        <v>2224</v>
      </c>
      <c r="H1000" s="3">
        <v>23</v>
      </c>
      <c r="I1000" s="3">
        <v>15</v>
      </c>
      <c r="J1000" s="3">
        <v>17</v>
      </c>
      <c r="K1000" s="3">
        <v>5.8650000000000004E-3</v>
      </c>
      <c r="L1000">
        <f t="shared" si="158"/>
        <v>5.8650000000000004E-3</v>
      </c>
      <c r="M1000">
        <f t="shared" si="155"/>
        <v>0.23460000000000003</v>
      </c>
      <c r="N1000" s="8">
        <v>40</v>
      </c>
      <c r="O1000" s="14">
        <f t="shared" si="159"/>
        <v>2400</v>
      </c>
      <c r="P1000" s="8">
        <v>20</v>
      </c>
      <c r="Q1000" s="8">
        <f t="shared" si="165"/>
        <v>2</v>
      </c>
      <c r="R1000" s="8">
        <f t="shared" si="166"/>
        <v>26.666666666666664</v>
      </c>
      <c r="S1000" s="8">
        <f t="shared" si="160"/>
        <v>28.666666666666664</v>
      </c>
      <c r="T1000" s="22">
        <f t="shared" si="156"/>
        <v>1.7764092846991948</v>
      </c>
      <c r="U1000" s="19">
        <f t="shared" si="157"/>
        <v>6033.2362846399901</v>
      </c>
      <c r="V1000" s="29" t="s">
        <v>2983</v>
      </c>
    </row>
    <row r="1001" spans="1:22" ht="15" customHeight="1" x14ac:dyDescent="0.25">
      <c r="A1001" t="s">
        <v>518</v>
      </c>
      <c r="B1001" t="s">
        <v>637</v>
      </c>
      <c r="C1001" t="s">
        <v>2262</v>
      </c>
      <c r="D1001" t="s">
        <v>646</v>
      </c>
      <c r="E1001" t="s">
        <v>480</v>
      </c>
      <c r="F1001" s="5">
        <v>59</v>
      </c>
      <c r="G1001" t="s">
        <v>305</v>
      </c>
      <c r="H1001" s="3">
        <v>5.5</v>
      </c>
      <c r="I1001" s="3">
        <v>137</v>
      </c>
      <c r="J1001" s="3">
        <v>30</v>
      </c>
      <c r="K1001" s="3">
        <v>8</v>
      </c>
      <c r="L1001">
        <f t="shared" si="158"/>
        <v>2.2605E-2</v>
      </c>
      <c r="M1001">
        <f t="shared" si="155"/>
        <v>0.9042</v>
      </c>
      <c r="N1001" s="8">
        <v>40</v>
      </c>
      <c r="O1001" s="14">
        <f t="shared" si="159"/>
        <v>2360</v>
      </c>
      <c r="P1001" s="8">
        <v>20</v>
      </c>
      <c r="Q1001" s="8">
        <f t="shared" si="165"/>
        <v>2</v>
      </c>
      <c r="R1001" s="8">
        <f t="shared" si="166"/>
        <v>26.666666666666664</v>
      </c>
      <c r="S1001" s="8">
        <f t="shared" si="160"/>
        <v>28.666666666666664</v>
      </c>
      <c r="T1001" s="22">
        <f t="shared" si="156"/>
        <v>1.7468024632875414</v>
      </c>
      <c r="U1001" s="19">
        <f t="shared" si="157"/>
        <v>6034.9830871032773</v>
      </c>
      <c r="V1001" s="29" t="s">
        <v>2983</v>
      </c>
    </row>
    <row r="1002" spans="1:22" ht="15" customHeight="1" x14ac:dyDescent="0.25">
      <c r="A1002" t="s">
        <v>518</v>
      </c>
      <c r="B1002" t="s">
        <v>637</v>
      </c>
      <c r="C1002" t="s">
        <v>2265</v>
      </c>
      <c r="D1002" t="s">
        <v>652</v>
      </c>
      <c r="E1002" t="s">
        <v>234</v>
      </c>
      <c r="F1002" s="5">
        <v>58.5</v>
      </c>
      <c r="G1002" t="s">
        <v>305</v>
      </c>
      <c r="H1002" s="3">
        <v>15</v>
      </c>
      <c r="I1002" s="3">
        <v>20</v>
      </c>
      <c r="J1002" s="3">
        <v>25</v>
      </c>
      <c r="K1002" s="3">
        <v>10</v>
      </c>
      <c r="L1002">
        <f t="shared" si="158"/>
        <v>7.4999999999999997E-3</v>
      </c>
      <c r="M1002">
        <f t="shared" si="155"/>
        <v>0.3</v>
      </c>
      <c r="N1002" s="8">
        <v>40</v>
      </c>
      <c r="O1002" s="14">
        <f t="shared" si="159"/>
        <v>2340</v>
      </c>
      <c r="P1002" s="8">
        <v>20</v>
      </c>
      <c r="Q1002" s="8">
        <f t="shared" si="165"/>
        <v>2</v>
      </c>
      <c r="R1002" s="8">
        <f t="shared" si="166"/>
        <v>26.666666666666664</v>
      </c>
      <c r="S1002" s="8">
        <f t="shared" si="160"/>
        <v>28.666666666666664</v>
      </c>
      <c r="T1002" s="22">
        <f t="shared" si="156"/>
        <v>1.7319990525817148</v>
      </c>
      <c r="U1002" s="19">
        <f t="shared" si="157"/>
        <v>6036.7150861558594</v>
      </c>
      <c r="V1002" s="29" t="s">
        <v>2983</v>
      </c>
    </row>
    <row r="1003" spans="1:22" ht="15" customHeight="1" x14ac:dyDescent="0.25">
      <c r="A1003" t="s">
        <v>518</v>
      </c>
      <c r="B1003" t="s">
        <v>637</v>
      </c>
      <c r="C1003" t="s">
        <v>2265</v>
      </c>
      <c r="D1003" t="s">
        <v>657</v>
      </c>
      <c r="E1003" t="s">
        <v>234</v>
      </c>
      <c r="F1003" s="5">
        <v>97.5</v>
      </c>
      <c r="G1003" t="s">
        <v>650</v>
      </c>
      <c r="H1003" s="3">
        <v>15</v>
      </c>
      <c r="I1003" s="3">
        <v>20</v>
      </c>
      <c r="J1003" s="3">
        <v>25</v>
      </c>
      <c r="K1003" s="3">
        <v>8</v>
      </c>
      <c r="L1003">
        <f t="shared" si="158"/>
        <v>7.4999999999999997E-3</v>
      </c>
      <c r="M1003">
        <f t="shared" si="155"/>
        <v>0.18</v>
      </c>
      <c r="N1003" s="8">
        <v>24</v>
      </c>
      <c r="O1003" s="14">
        <f t="shared" si="159"/>
        <v>2340</v>
      </c>
      <c r="P1003" s="8">
        <v>20</v>
      </c>
      <c r="Q1003" s="8">
        <f t="shared" si="165"/>
        <v>1.2</v>
      </c>
      <c r="R1003" s="8">
        <f t="shared" si="166"/>
        <v>16</v>
      </c>
      <c r="S1003" s="8">
        <f t="shared" si="160"/>
        <v>17.2</v>
      </c>
      <c r="T1003" s="22">
        <f t="shared" si="156"/>
        <v>1.7319990525817148</v>
      </c>
      <c r="U1003" s="19">
        <f t="shared" si="157"/>
        <v>6038.4470852084414</v>
      </c>
      <c r="V1003" s="29" t="s">
        <v>2983</v>
      </c>
    </row>
    <row r="1004" spans="1:22" ht="15" customHeight="1" x14ac:dyDescent="0.25">
      <c r="A1004" t="s">
        <v>518</v>
      </c>
      <c r="B1004" t="s">
        <v>1090</v>
      </c>
      <c r="C1004" t="s">
        <v>775</v>
      </c>
      <c r="D1004" t="s">
        <v>585</v>
      </c>
      <c r="E1004" t="s">
        <v>234</v>
      </c>
      <c r="F1004" s="5">
        <v>459</v>
      </c>
      <c r="G1004" t="s">
        <v>678</v>
      </c>
      <c r="H1004" s="3">
        <v>55</v>
      </c>
      <c r="I1004" s="3">
        <v>115</v>
      </c>
      <c r="J1004" s="3">
        <v>49</v>
      </c>
      <c r="K1004" s="3">
        <v>13.7</v>
      </c>
      <c r="L1004">
        <f t="shared" si="158"/>
        <v>0.30992500000000001</v>
      </c>
      <c r="M1004">
        <f t="shared" si="155"/>
        <v>1.549625</v>
      </c>
      <c r="N1004" s="8">
        <v>5</v>
      </c>
      <c r="O1004" s="14">
        <f t="shared" si="159"/>
        <v>2295</v>
      </c>
      <c r="P1004" s="8">
        <v>20</v>
      </c>
      <c r="Q1004" s="8">
        <f t="shared" si="165"/>
        <v>0.25</v>
      </c>
      <c r="R1004" s="8">
        <f t="shared" si="166"/>
        <v>3.333333333333333</v>
      </c>
      <c r="S1004" s="8">
        <f t="shared" si="160"/>
        <v>3.583333333333333</v>
      </c>
      <c r="T1004" s="22">
        <f t="shared" si="156"/>
        <v>1.6986913784936051</v>
      </c>
      <c r="U1004" s="19">
        <f t="shared" si="157"/>
        <v>6040.1457765869354</v>
      </c>
      <c r="V1004" s="29" t="s">
        <v>2983</v>
      </c>
    </row>
    <row r="1005" spans="1:22" ht="15" customHeight="1" x14ac:dyDescent="0.25">
      <c r="A1005" t="s">
        <v>518</v>
      </c>
      <c r="B1005" t="s">
        <v>1090</v>
      </c>
      <c r="C1005" t="s">
        <v>779</v>
      </c>
      <c r="D1005" t="s">
        <v>615</v>
      </c>
      <c r="E1005" t="s">
        <v>234</v>
      </c>
      <c r="F1005" s="5">
        <v>445</v>
      </c>
      <c r="G1005" t="s">
        <v>692</v>
      </c>
      <c r="H1005" s="3">
        <v>75</v>
      </c>
      <c r="I1005" s="3">
        <v>75</v>
      </c>
      <c r="J1005" s="3">
        <v>30</v>
      </c>
      <c r="K1005" s="3">
        <v>8.8000000000000007</v>
      </c>
      <c r="L1005">
        <f t="shared" si="158"/>
        <v>0.16875000000000001</v>
      </c>
      <c r="M1005">
        <f t="shared" si="155"/>
        <v>0.84375</v>
      </c>
      <c r="N1005" s="8">
        <v>5</v>
      </c>
      <c r="O1005" s="14">
        <f t="shared" si="159"/>
        <v>2225</v>
      </c>
      <c r="P1005" s="8">
        <v>20</v>
      </c>
      <c r="Q1005" s="8">
        <f t="shared" si="165"/>
        <v>0.25</v>
      </c>
      <c r="R1005" s="8">
        <f t="shared" si="166"/>
        <v>3.333333333333333</v>
      </c>
      <c r="S1005" s="8">
        <f t="shared" si="160"/>
        <v>3.583333333333333</v>
      </c>
      <c r="T1005" s="22">
        <f t="shared" si="156"/>
        <v>1.6468794410232117</v>
      </c>
      <c r="U1005" s="19">
        <f t="shared" si="157"/>
        <v>6041.7926560279584</v>
      </c>
      <c r="V1005" s="29" t="s">
        <v>2983</v>
      </c>
    </row>
    <row r="1006" spans="1:22" ht="15" customHeight="1" x14ac:dyDescent="0.25">
      <c r="A1006" t="s">
        <v>518</v>
      </c>
      <c r="B1006" t="s">
        <v>1091</v>
      </c>
      <c r="C1006" t="s">
        <v>2202</v>
      </c>
      <c r="D1006" t="s">
        <v>2203</v>
      </c>
      <c r="E1006" t="s">
        <v>833</v>
      </c>
      <c r="F1006" s="5">
        <v>22.9</v>
      </c>
      <c r="G1006" t="s">
        <v>606</v>
      </c>
      <c r="H1006" s="3">
        <v>2.8</v>
      </c>
      <c r="I1006" s="3">
        <v>27</v>
      </c>
      <c r="J1006" s="3">
        <v>13</v>
      </c>
      <c r="K1006" s="3">
        <v>3</v>
      </c>
      <c r="L1006">
        <f t="shared" si="158"/>
        <v>9.8280000000000004E-4</v>
      </c>
      <c r="M1006">
        <f t="shared" ref="M1006:M1069" si="167">L1006*N1006</f>
        <v>9.3366000000000005E-2</v>
      </c>
      <c r="N1006" s="8">
        <v>95</v>
      </c>
      <c r="O1006" s="14">
        <f t="shared" si="159"/>
        <v>2175.5</v>
      </c>
      <c r="P1006" s="8">
        <v>20</v>
      </c>
      <c r="Q1006" s="8">
        <f t="shared" si="165"/>
        <v>4.75</v>
      </c>
      <c r="R1006" s="8">
        <f t="shared" si="166"/>
        <v>63.333333333333329</v>
      </c>
      <c r="S1006" s="8">
        <f t="shared" si="160"/>
        <v>68.083333333333329</v>
      </c>
      <c r="T1006" s="22">
        <f t="shared" si="156"/>
        <v>1.610240999526291</v>
      </c>
      <c r="U1006" s="19">
        <f t="shared" si="157"/>
        <v>6043.4028970274849</v>
      </c>
      <c r="V1006" s="29" t="s">
        <v>2983</v>
      </c>
    </row>
    <row r="1007" spans="1:22" ht="15" customHeight="1" x14ac:dyDescent="0.25">
      <c r="A1007" t="s">
        <v>518</v>
      </c>
      <c r="B1007" t="s">
        <v>637</v>
      </c>
      <c r="C1007" t="s">
        <v>2265</v>
      </c>
      <c r="D1007" t="s">
        <v>656</v>
      </c>
      <c r="E1007" t="s">
        <v>234</v>
      </c>
      <c r="F1007" s="5">
        <v>90</v>
      </c>
      <c r="G1007" t="s">
        <v>650</v>
      </c>
      <c r="H1007" s="3">
        <v>15</v>
      </c>
      <c r="I1007" s="3">
        <v>20</v>
      </c>
      <c r="J1007" s="3">
        <v>25</v>
      </c>
      <c r="K1007" s="3">
        <v>8</v>
      </c>
      <c r="L1007">
        <f t="shared" si="158"/>
        <v>7.4999999999999997E-3</v>
      </c>
      <c r="M1007">
        <f t="shared" si="167"/>
        <v>0.18</v>
      </c>
      <c r="N1007" s="8">
        <v>24</v>
      </c>
      <c r="O1007" s="14">
        <f t="shared" si="159"/>
        <v>2160</v>
      </c>
      <c r="P1007" s="8">
        <v>20</v>
      </c>
      <c r="Q1007" s="8">
        <f t="shared" si="165"/>
        <v>1.2</v>
      </c>
      <c r="R1007" s="8">
        <f t="shared" si="166"/>
        <v>16</v>
      </c>
      <c r="S1007" s="8">
        <f t="shared" si="160"/>
        <v>17.2</v>
      </c>
      <c r="T1007" s="22">
        <f t="shared" si="156"/>
        <v>1.5987683562292754</v>
      </c>
      <c r="U1007" s="19">
        <f t="shared" si="157"/>
        <v>6045.0016653837138</v>
      </c>
      <c r="V1007" s="29" t="s">
        <v>2983</v>
      </c>
    </row>
    <row r="1008" spans="1:22" ht="15" customHeight="1" x14ac:dyDescent="0.25">
      <c r="A1008" t="s">
        <v>518</v>
      </c>
      <c r="B1008" t="s">
        <v>1091</v>
      </c>
      <c r="C1008" t="s">
        <v>1217</v>
      </c>
      <c r="D1008" t="s">
        <v>1218</v>
      </c>
      <c r="E1008" t="s">
        <v>234</v>
      </c>
      <c r="F1008" s="5">
        <v>23.6</v>
      </c>
      <c r="G1008" t="s">
        <v>1219</v>
      </c>
      <c r="H1008">
        <v>12</v>
      </c>
      <c r="I1008">
        <v>10</v>
      </c>
      <c r="J1008">
        <v>20</v>
      </c>
      <c r="K1008" s="3">
        <v>0</v>
      </c>
      <c r="L1008">
        <f t="shared" si="158"/>
        <v>2.3999999999999998E-3</v>
      </c>
      <c r="M1008">
        <f t="shared" si="167"/>
        <v>0.21599999999999997</v>
      </c>
      <c r="N1008" s="8">
        <v>90</v>
      </c>
      <c r="O1008" s="14">
        <f t="shared" si="159"/>
        <v>2124</v>
      </c>
      <c r="P1008" s="8">
        <v>20</v>
      </c>
      <c r="Q1008" s="8">
        <f t="shared" si="165"/>
        <v>4.5</v>
      </c>
      <c r="R1008" s="8">
        <f t="shared" si="166"/>
        <v>60</v>
      </c>
      <c r="S1008" s="8">
        <f t="shared" si="160"/>
        <v>64.5</v>
      </c>
      <c r="T1008" s="22">
        <f t="shared" si="156"/>
        <v>1.5721222169587874</v>
      </c>
      <c r="U1008" s="19">
        <f t="shared" si="157"/>
        <v>6046.5737876006724</v>
      </c>
      <c r="V1008" s="29" t="s">
        <v>2983</v>
      </c>
    </row>
    <row r="1009" spans="1:22" ht="15" customHeight="1" x14ac:dyDescent="0.25">
      <c r="A1009" t="s">
        <v>518</v>
      </c>
      <c r="B1009" t="s">
        <v>637</v>
      </c>
      <c r="C1009" t="s">
        <v>2265</v>
      </c>
      <c r="D1009" t="s">
        <v>651</v>
      </c>
      <c r="E1009" t="s">
        <v>234</v>
      </c>
      <c r="F1009" s="5">
        <v>52.5</v>
      </c>
      <c r="G1009" t="s">
        <v>305</v>
      </c>
      <c r="H1009" s="3">
        <v>15</v>
      </c>
      <c r="I1009" s="3">
        <v>20</v>
      </c>
      <c r="J1009" s="3">
        <v>25</v>
      </c>
      <c r="K1009" s="3">
        <v>10</v>
      </c>
      <c r="L1009">
        <f t="shared" si="158"/>
        <v>7.4999999999999997E-3</v>
      </c>
      <c r="M1009">
        <f t="shared" si="167"/>
        <v>0.3</v>
      </c>
      <c r="N1009" s="8">
        <v>40</v>
      </c>
      <c r="O1009" s="14">
        <f t="shared" si="159"/>
        <v>2100</v>
      </c>
      <c r="P1009" s="8">
        <v>20</v>
      </c>
      <c r="Q1009" s="8">
        <f t="shared" si="165"/>
        <v>2</v>
      </c>
      <c r="R1009" s="8">
        <f t="shared" si="166"/>
        <v>26.666666666666664</v>
      </c>
      <c r="S1009" s="8">
        <f t="shared" si="160"/>
        <v>28.666666666666664</v>
      </c>
      <c r="T1009" s="22">
        <f t="shared" si="156"/>
        <v>1.5543581241117954</v>
      </c>
      <c r="U1009" s="19">
        <f t="shared" si="157"/>
        <v>6048.1281457247842</v>
      </c>
      <c r="V1009" s="29" t="s">
        <v>2983</v>
      </c>
    </row>
    <row r="1010" spans="1:22" ht="15" customHeight="1" x14ac:dyDescent="0.25">
      <c r="A1010" t="s">
        <v>518</v>
      </c>
      <c r="B1010" t="s">
        <v>1091</v>
      </c>
      <c r="C1010" t="s">
        <v>2073</v>
      </c>
      <c r="D1010" t="s">
        <v>2078</v>
      </c>
      <c r="E1010" t="s">
        <v>480</v>
      </c>
      <c r="F1010" s="5">
        <v>29.5</v>
      </c>
      <c r="G1010" t="s">
        <v>512</v>
      </c>
      <c r="H1010" s="3">
        <v>1.3</v>
      </c>
      <c r="I1010" s="3">
        <v>27</v>
      </c>
      <c r="J1010" s="3">
        <v>10.5</v>
      </c>
      <c r="K1010" s="3">
        <v>1.62</v>
      </c>
      <c r="L1010">
        <f t="shared" si="158"/>
        <v>3.6854999999999999E-4</v>
      </c>
      <c r="M1010">
        <f t="shared" si="167"/>
        <v>2.5798499999999999E-2</v>
      </c>
      <c r="N1010" s="8">
        <v>70</v>
      </c>
      <c r="O1010" s="14">
        <f t="shared" si="159"/>
        <v>2065</v>
      </c>
      <c r="P1010" s="8">
        <v>20</v>
      </c>
      <c r="Q1010" s="8">
        <f t="shared" si="165"/>
        <v>3.5</v>
      </c>
      <c r="R1010" s="8">
        <f t="shared" si="166"/>
        <v>46.666666666666671</v>
      </c>
      <c r="S1010" s="8">
        <f t="shared" si="160"/>
        <v>50.166666666666671</v>
      </c>
      <c r="T1010" s="22">
        <f t="shared" si="156"/>
        <v>1.5284521553765988</v>
      </c>
      <c r="U1010" s="19">
        <f t="shared" si="157"/>
        <v>6049.6565978801609</v>
      </c>
      <c r="V1010" s="29" t="s">
        <v>2983</v>
      </c>
    </row>
    <row r="1011" spans="1:22" ht="15" customHeight="1" x14ac:dyDescent="0.25">
      <c r="A1011" t="s">
        <v>518</v>
      </c>
      <c r="B1011" t="s">
        <v>637</v>
      </c>
      <c r="C1011" t="s">
        <v>2234</v>
      </c>
      <c r="D1011" t="s">
        <v>1293</v>
      </c>
      <c r="E1011" t="s">
        <v>234</v>
      </c>
      <c r="F1011" s="5">
        <v>135</v>
      </c>
      <c r="G1011" t="s">
        <v>683</v>
      </c>
      <c r="H1011" s="3">
        <v>10</v>
      </c>
      <c r="I1011" s="3">
        <v>10</v>
      </c>
      <c r="J1011" s="3">
        <v>6</v>
      </c>
      <c r="K1011" s="3">
        <v>5.9999999999999995E-4</v>
      </c>
      <c r="L1011">
        <f t="shared" si="158"/>
        <v>5.9999999999999995E-4</v>
      </c>
      <c r="M1011">
        <f t="shared" si="167"/>
        <v>8.9999999999999993E-3</v>
      </c>
      <c r="N1011" s="8">
        <v>15</v>
      </c>
      <c r="O1011" s="14">
        <f t="shared" si="159"/>
        <v>2025</v>
      </c>
      <c r="P1011" s="8">
        <v>20</v>
      </c>
      <c r="Q1011" s="8">
        <f t="shared" si="165"/>
        <v>0.75</v>
      </c>
      <c r="R1011" s="8">
        <f t="shared" si="166"/>
        <v>10</v>
      </c>
      <c r="S1011" s="8">
        <f t="shared" si="160"/>
        <v>10.75</v>
      </c>
      <c r="T1011" s="22">
        <f t="shared" si="156"/>
        <v>1.4988453339649455</v>
      </c>
      <c r="U1011" s="19">
        <f t="shared" si="157"/>
        <v>6051.1554432141256</v>
      </c>
      <c r="V1011" s="29" t="s">
        <v>2983</v>
      </c>
    </row>
    <row r="1012" spans="1:22" ht="15" customHeight="1" x14ac:dyDescent="0.25">
      <c r="A1012" t="s">
        <v>518</v>
      </c>
      <c r="B1012" t="s">
        <v>637</v>
      </c>
      <c r="C1012" t="s">
        <v>2245</v>
      </c>
      <c r="D1012" t="s">
        <v>1307</v>
      </c>
      <c r="E1012" t="s">
        <v>234</v>
      </c>
      <c r="F1012" s="5">
        <v>25</v>
      </c>
      <c r="G1012" t="s">
        <v>2244</v>
      </c>
      <c r="H1012" s="3">
        <v>15</v>
      </c>
      <c r="I1012" s="3">
        <v>20</v>
      </c>
      <c r="J1012" s="3">
        <v>15</v>
      </c>
      <c r="K1012" s="3">
        <v>4.4999999999999997E-3</v>
      </c>
      <c r="L1012">
        <f t="shared" si="158"/>
        <v>4.4999999999999997E-3</v>
      </c>
      <c r="M1012">
        <f t="shared" si="167"/>
        <v>0.36</v>
      </c>
      <c r="N1012" s="8">
        <v>80</v>
      </c>
      <c r="O1012" s="14">
        <f t="shared" si="159"/>
        <v>2000</v>
      </c>
      <c r="P1012" s="8">
        <v>20</v>
      </c>
      <c r="Q1012" s="8">
        <f t="shared" si="165"/>
        <v>4</v>
      </c>
      <c r="R1012" s="8">
        <f t="shared" si="166"/>
        <v>53.333333333333329</v>
      </c>
      <c r="S1012" s="8">
        <f t="shared" si="160"/>
        <v>57.333333333333329</v>
      </c>
      <c r="T1012" s="22">
        <f t="shared" si="156"/>
        <v>1.4803410705826623</v>
      </c>
      <c r="U1012" s="19">
        <f t="shared" si="157"/>
        <v>6052.6357842847083</v>
      </c>
      <c r="V1012" s="29" t="s">
        <v>2983</v>
      </c>
    </row>
    <row r="1013" spans="1:22" ht="15" customHeight="1" x14ac:dyDescent="0.25">
      <c r="A1013" t="s">
        <v>518</v>
      </c>
      <c r="B1013" t="s">
        <v>1090</v>
      </c>
      <c r="C1013" t="s">
        <v>775</v>
      </c>
      <c r="D1013" t="s">
        <v>560</v>
      </c>
      <c r="E1013" t="s">
        <v>234</v>
      </c>
      <c r="F1013" s="5">
        <v>399</v>
      </c>
      <c r="G1013" t="s">
        <v>678</v>
      </c>
      <c r="H1013" s="3">
        <v>55</v>
      </c>
      <c r="I1013" s="3">
        <v>115</v>
      </c>
      <c r="J1013" s="3">
        <v>49</v>
      </c>
      <c r="K1013" s="3">
        <v>15</v>
      </c>
      <c r="L1013">
        <f t="shared" si="158"/>
        <v>0.30992500000000001</v>
      </c>
      <c r="M1013">
        <f t="shared" si="167"/>
        <v>1.549625</v>
      </c>
      <c r="N1013" s="8">
        <v>5</v>
      </c>
      <c r="O1013" s="14">
        <f t="shared" si="159"/>
        <v>1995</v>
      </c>
      <c r="P1013" s="8">
        <v>20</v>
      </c>
      <c r="Q1013" s="8">
        <f t="shared" si="165"/>
        <v>0.25</v>
      </c>
      <c r="R1013" s="8">
        <f t="shared" si="166"/>
        <v>3.333333333333333</v>
      </c>
      <c r="S1013" s="8">
        <f t="shared" si="160"/>
        <v>3.583333333333333</v>
      </c>
      <c r="T1013" s="22">
        <f t="shared" ref="T1013:T1076" si="168">O1013/O$1749</f>
        <v>1.4766402179062057</v>
      </c>
      <c r="U1013" s="19">
        <f t="shared" ref="U1013:U1076" si="169">U1012+T1013</f>
        <v>6054.1124245026149</v>
      </c>
      <c r="V1013" s="29" t="s">
        <v>2983</v>
      </c>
    </row>
    <row r="1014" spans="1:22" ht="15" customHeight="1" x14ac:dyDescent="0.25">
      <c r="A1014" t="s">
        <v>518</v>
      </c>
      <c r="B1014" t="s">
        <v>1090</v>
      </c>
      <c r="C1014" t="s">
        <v>775</v>
      </c>
      <c r="D1014" t="s">
        <v>583</v>
      </c>
      <c r="E1014" t="s">
        <v>234</v>
      </c>
      <c r="F1014" s="5">
        <v>399</v>
      </c>
      <c r="G1014" t="s">
        <v>678</v>
      </c>
      <c r="H1014" s="3">
        <v>55</v>
      </c>
      <c r="I1014" s="3">
        <v>115</v>
      </c>
      <c r="J1014" s="3">
        <v>49</v>
      </c>
      <c r="K1014" s="3">
        <v>13.7</v>
      </c>
      <c r="L1014">
        <f t="shared" si="158"/>
        <v>0.30992500000000001</v>
      </c>
      <c r="M1014">
        <f t="shared" si="167"/>
        <v>1.549625</v>
      </c>
      <c r="N1014" s="8">
        <v>5</v>
      </c>
      <c r="O1014" s="14">
        <f t="shared" si="159"/>
        <v>1995</v>
      </c>
      <c r="P1014" s="8">
        <v>20</v>
      </c>
      <c r="Q1014" s="8">
        <f t="shared" si="165"/>
        <v>0.25</v>
      </c>
      <c r="R1014" s="8">
        <f t="shared" si="166"/>
        <v>3.333333333333333</v>
      </c>
      <c r="S1014" s="8">
        <f t="shared" si="160"/>
        <v>3.583333333333333</v>
      </c>
      <c r="T1014" s="22">
        <f t="shared" si="168"/>
        <v>1.4766402179062057</v>
      </c>
      <c r="U1014" s="19">
        <f t="shared" si="169"/>
        <v>6055.5890647205215</v>
      </c>
      <c r="V1014" s="29" t="s">
        <v>2983</v>
      </c>
    </row>
    <row r="1015" spans="1:22" ht="15" customHeight="1" x14ac:dyDescent="0.25">
      <c r="A1015" t="s">
        <v>518</v>
      </c>
      <c r="B1015" t="s">
        <v>637</v>
      </c>
      <c r="C1015" t="s">
        <v>2265</v>
      </c>
      <c r="D1015" t="s">
        <v>658</v>
      </c>
      <c r="E1015" t="s">
        <v>234</v>
      </c>
      <c r="F1015" s="5">
        <v>82.5</v>
      </c>
      <c r="G1015" t="s">
        <v>650</v>
      </c>
      <c r="H1015" s="3">
        <v>15</v>
      </c>
      <c r="I1015" s="3">
        <v>20</v>
      </c>
      <c r="J1015" s="3">
        <v>25</v>
      </c>
      <c r="K1015" s="3">
        <v>8</v>
      </c>
      <c r="L1015">
        <f t="shared" si="158"/>
        <v>7.4999999999999997E-3</v>
      </c>
      <c r="M1015">
        <f t="shared" si="167"/>
        <v>0.18</v>
      </c>
      <c r="N1015" s="8">
        <v>24</v>
      </c>
      <c r="O1015" s="14">
        <f t="shared" si="159"/>
        <v>1980</v>
      </c>
      <c r="P1015" s="8">
        <v>20</v>
      </c>
      <c r="Q1015" s="8">
        <f t="shared" si="165"/>
        <v>1.2</v>
      </c>
      <c r="R1015" s="8">
        <f t="shared" si="166"/>
        <v>16</v>
      </c>
      <c r="S1015" s="8">
        <f t="shared" si="160"/>
        <v>17.2</v>
      </c>
      <c r="T1015" s="22">
        <f t="shared" si="168"/>
        <v>1.4655376598768357</v>
      </c>
      <c r="U1015" s="19">
        <f t="shared" si="169"/>
        <v>6057.0546023803981</v>
      </c>
      <c r="V1015" s="29" t="s">
        <v>2983</v>
      </c>
    </row>
    <row r="1016" spans="1:22" ht="15" customHeight="1" x14ac:dyDescent="0.25">
      <c r="A1016" t="s">
        <v>518</v>
      </c>
      <c r="B1016" t="s">
        <v>637</v>
      </c>
      <c r="C1016" t="s">
        <v>2265</v>
      </c>
      <c r="D1016" t="s">
        <v>659</v>
      </c>
      <c r="E1016" t="s">
        <v>234</v>
      </c>
      <c r="F1016" s="5">
        <v>82.5</v>
      </c>
      <c r="G1016" t="s">
        <v>650</v>
      </c>
      <c r="H1016" s="3">
        <v>15</v>
      </c>
      <c r="I1016" s="3">
        <v>20</v>
      </c>
      <c r="J1016" s="3">
        <v>25</v>
      </c>
      <c r="K1016" s="3">
        <v>8</v>
      </c>
      <c r="L1016">
        <f t="shared" si="158"/>
        <v>7.4999999999999997E-3</v>
      </c>
      <c r="M1016">
        <f t="shared" si="167"/>
        <v>0.18</v>
      </c>
      <c r="N1016" s="8">
        <v>24</v>
      </c>
      <c r="O1016" s="14">
        <f t="shared" si="159"/>
        <v>1980</v>
      </c>
      <c r="P1016" s="8">
        <v>20</v>
      </c>
      <c r="Q1016" s="8">
        <f t="shared" si="165"/>
        <v>1.2</v>
      </c>
      <c r="R1016" s="8">
        <f t="shared" si="166"/>
        <v>16</v>
      </c>
      <c r="S1016" s="8">
        <f t="shared" si="160"/>
        <v>17.2</v>
      </c>
      <c r="T1016" s="22">
        <f t="shared" si="168"/>
        <v>1.4655376598768357</v>
      </c>
      <c r="U1016" s="19">
        <f t="shared" si="169"/>
        <v>6058.5201400402748</v>
      </c>
      <c r="V1016" s="29" t="s">
        <v>2983</v>
      </c>
    </row>
    <row r="1017" spans="1:22" ht="15" customHeight="1" x14ac:dyDescent="0.25">
      <c r="A1017" t="s">
        <v>518</v>
      </c>
      <c r="B1017" t="s">
        <v>637</v>
      </c>
      <c r="C1017" t="s">
        <v>2223</v>
      </c>
      <c r="D1017" t="s">
        <v>1261</v>
      </c>
      <c r="E1017" t="s">
        <v>234</v>
      </c>
      <c r="F1017" s="5">
        <v>55</v>
      </c>
      <c r="G1017" t="s">
        <v>2224</v>
      </c>
      <c r="H1017" s="3">
        <v>25</v>
      </c>
      <c r="I1017" s="3">
        <v>23</v>
      </c>
      <c r="J1017" s="3">
        <v>16</v>
      </c>
      <c r="K1017" s="3">
        <v>9.1999999999999998E-3</v>
      </c>
      <c r="L1017">
        <f t="shared" si="158"/>
        <v>9.1999999999999998E-3</v>
      </c>
      <c r="M1017">
        <f t="shared" si="167"/>
        <v>0.33119999999999999</v>
      </c>
      <c r="N1017" s="8">
        <v>36</v>
      </c>
      <c r="O1017" s="14">
        <f t="shared" si="159"/>
        <v>1980</v>
      </c>
      <c r="P1017" s="8">
        <v>20</v>
      </c>
      <c r="Q1017" s="8">
        <f t="shared" si="165"/>
        <v>1.8</v>
      </c>
      <c r="R1017" s="8">
        <f t="shared" si="166"/>
        <v>24</v>
      </c>
      <c r="S1017" s="8">
        <f t="shared" si="160"/>
        <v>25.8</v>
      </c>
      <c r="T1017" s="22">
        <f t="shared" si="168"/>
        <v>1.4655376598768357</v>
      </c>
      <c r="U1017" s="19">
        <f t="shared" si="169"/>
        <v>6059.9856777001514</v>
      </c>
      <c r="V1017" s="29" t="s">
        <v>2983</v>
      </c>
    </row>
    <row r="1018" spans="1:22" ht="15" customHeight="1" x14ac:dyDescent="0.25">
      <c r="A1018" t="s">
        <v>518</v>
      </c>
      <c r="B1018" t="s">
        <v>1090</v>
      </c>
      <c r="C1018" t="s">
        <v>2400</v>
      </c>
      <c r="D1018" t="s">
        <v>2388</v>
      </c>
      <c r="E1018" t="s">
        <v>2390</v>
      </c>
      <c r="F1018" s="5">
        <v>392</v>
      </c>
      <c r="G1018" t="s">
        <v>2393</v>
      </c>
      <c r="H1018" s="3">
        <v>80</v>
      </c>
      <c r="I1018" s="3">
        <v>120</v>
      </c>
      <c r="J1018" s="3">
        <v>90</v>
      </c>
      <c r="K1018" s="3">
        <v>11</v>
      </c>
      <c r="L1018">
        <f t="shared" si="158"/>
        <v>0.86399999999999999</v>
      </c>
      <c r="M1018">
        <f t="shared" si="167"/>
        <v>4.32</v>
      </c>
      <c r="N1018" s="8">
        <v>5</v>
      </c>
      <c r="O1018" s="14">
        <f t="shared" si="159"/>
        <v>1960</v>
      </c>
      <c r="P1018" s="8">
        <v>20</v>
      </c>
      <c r="Q1018" s="8">
        <f t="shared" si="165"/>
        <v>0.25</v>
      </c>
      <c r="R1018" s="8">
        <f t="shared" si="166"/>
        <v>3.333333333333333</v>
      </c>
      <c r="S1018" s="8">
        <f t="shared" si="160"/>
        <v>3.583333333333333</v>
      </c>
      <c r="T1018" s="22">
        <f t="shared" si="168"/>
        <v>1.4507342491710091</v>
      </c>
      <c r="U1018" s="19">
        <f t="shared" si="169"/>
        <v>6061.4364119493221</v>
      </c>
      <c r="V1018" s="29" t="s">
        <v>2983</v>
      </c>
    </row>
    <row r="1019" spans="1:22" ht="15" customHeight="1" x14ac:dyDescent="0.25">
      <c r="A1019" t="s">
        <v>518</v>
      </c>
      <c r="B1019" t="s">
        <v>1090</v>
      </c>
      <c r="C1019" t="s">
        <v>775</v>
      </c>
      <c r="D1019" t="s">
        <v>601</v>
      </c>
      <c r="E1019" t="s">
        <v>234</v>
      </c>
      <c r="F1019" s="5">
        <v>389</v>
      </c>
      <c r="G1019" t="s">
        <v>678</v>
      </c>
      <c r="H1019" s="3">
        <v>55</v>
      </c>
      <c r="I1019" s="3">
        <v>115</v>
      </c>
      <c r="J1019" s="3">
        <v>49</v>
      </c>
      <c r="K1019" s="3">
        <v>13.7</v>
      </c>
      <c r="L1019">
        <f t="shared" si="158"/>
        <v>0.30992500000000001</v>
      </c>
      <c r="M1019">
        <f t="shared" si="167"/>
        <v>1.549625</v>
      </c>
      <c r="N1019" s="8">
        <v>5</v>
      </c>
      <c r="O1019" s="14">
        <f t="shared" si="159"/>
        <v>1945</v>
      </c>
      <c r="P1019" s="8">
        <v>20</v>
      </c>
      <c r="Q1019" s="8">
        <f t="shared" si="165"/>
        <v>0.25</v>
      </c>
      <c r="R1019" s="8">
        <f t="shared" si="166"/>
        <v>3.333333333333333</v>
      </c>
      <c r="S1019" s="8">
        <f t="shared" si="160"/>
        <v>3.583333333333333</v>
      </c>
      <c r="T1019" s="22">
        <f t="shared" si="168"/>
        <v>1.4396316911416391</v>
      </c>
      <c r="U1019" s="19">
        <f t="shared" si="169"/>
        <v>6062.8760436404636</v>
      </c>
      <c r="V1019" s="29" t="s">
        <v>2983</v>
      </c>
    </row>
    <row r="1020" spans="1:22" ht="15" customHeight="1" x14ac:dyDescent="0.25">
      <c r="A1020" t="s">
        <v>518</v>
      </c>
      <c r="B1020" t="s">
        <v>637</v>
      </c>
      <c r="C1020" t="s">
        <v>2262</v>
      </c>
      <c r="D1020" t="s">
        <v>2263</v>
      </c>
      <c r="E1020" t="s">
        <v>480</v>
      </c>
      <c r="F1020" s="5">
        <v>79</v>
      </c>
      <c r="G1020" t="s">
        <v>650</v>
      </c>
      <c r="H1020" s="3">
        <v>5</v>
      </c>
      <c r="I1020" s="3">
        <v>135</v>
      </c>
      <c r="J1020" s="3">
        <v>35</v>
      </c>
      <c r="K1020" s="3">
        <v>8</v>
      </c>
      <c r="L1020">
        <f t="shared" si="158"/>
        <v>2.3625E-2</v>
      </c>
      <c r="M1020">
        <f t="shared" si="167"/>
        <v>0.56699999999999995</v>
      </c>
      <c r="N1020" s="8">
        <v>24</v>
      </c>
      <c r="O1020" s="14">
        <f t="shared" si="159"/>
        <v>1896</v>
      </c>
      <c r="P1020" s="8">
        <v>20</v>
      </c>
      <c r="Q1020" s="8">
        <f t="shared" si="165"/>
        <v>1.2</v>
      </c>
      <c r="R1020" s="8">
        <f t="shared" si="166"/>
        <v>16</v>
      </c>
      <c r="S1020" s="8">
        <f t="shared" si="160"/>
        <v>17.2</v>
      </c>
      <c r="T1020" s="22">
        <f t="shared" si="168"/>
        <v>1.4033633349123638</v>
      </c>
      <c r="U1020" s="19">
        <f t="shared" si="169"/>
        <v>6064.2794069753763</v>
      </c>
      <c r="V1020" s="29" t="s">
        <v>2983</v>
      </c>
    </row>
    <row r="1021" spans="1:22" ht="15" customHeight="1" x14ac:dyDescent="0.25">
      <c r="A1021" t="s">
        <v>518</v>
      </c>
      <c r="B1021" t="s">
        <v>637</v>
      </c>
      <c r="C1021" t="s">
        <v>2262</v>
      </c>
      <c r="D1021" t="s">
        <v>2263</v>
      </c>
      <c r="E1021" t="s">
        <v>480</v>
      </c>
      <c r="F1021" s="5">
        <v>79</v>
      </c>
      <c r="G1021" t="s">
        <v>650</v>
      </c>
      <c r="H1021" s="3">
        <v>5</v>
      </c>
      <c r="I1021" s="3">
        <v>135</v>
      </c>
      <c r="J1021" s="3">
        <v>35</v>
      </c>
      <c r="K1021" s="3">
        <v>8</v>
      </c>
      <c r="L1021">
        <f t="shared" si="158"/>
        <v>2.3625E-2</v>
      </c>
      <c r="M1021">
        <f t="shared" si="167"/>
        <v>0.56699999999999995</v>
      </c>
      <c r="N1021" s="8">
        <v>24</v>
      </c>
      <c r="O1021" s="14">
        <f t="shared" si="159"/>
        <v>1896</v>
      </c>
      <c r="P1021" s="8">
        <v>20</v>
      </c>
      <c r="Q1021" s="8">
        <f t="shared" si="165"/>
        <v>1.2</v>
      </c>
      <c r="R1021" s="8">
        <f t="shared" si="166"/>
        <v>16</v>
      </c>
      <c r="S1021" s="8">
        <f t="shared" si="160"/>
        <v>17.2</v>
      </c>
      <c r="T1021" s="22">
        <f t="shared" si="168"/>
        <v>1.4033633349123638</v>
      </c>
      <c r="U1021" s="19">
        <f t="shared" si="169"/>
        <v>6065.682770310289</v>
      </c>
      <c r="V1021" s="29" t="s">
        <v>2983</v>
      </c>
    </row>
    <row r="1022" spans="1:22" ht="15" customHeight="1" x14ac:dyDescent="0.25">
      <c r="A1022" t="s">
        <v>518</v>
      </c>
      <c r="B1022" t="s">
        <v>637</v>
      </c>
      <c r="C1022" t="s">
        <v>2281</v>
      </c>
      <c r="D1022" t="s">
        <v>684</v>
      </c>
      <c r="E1022" t="s">
        <v>24</v>
      </c>
      <c r="F1022" s="5">
        <v>47</v>
      </c>
      <c r="G1022" t="s">
        <v>685</v>
      </c>
      <c r="H1022" s="3">
        <v>4</v>
      </c>
      <c r="I1022" s="3">
        <v>18</v>
      </c>
      <c r="J1022" s="3">
        <v>4</v>
      </c>
      <c r="K1022" s="3">
        <v>1.2</v>
      </c>
      <c r="L1022">
        <f t="shared" si="158"/>
        <v>2.8800000000000001E-4</v>
      </c>
      <c r="M1022">
        <f t="shared" si="167"/>
        <v>1.1520000000000001E-2</v>
      </c>
      <c r="N1022" s="8">
        <v>40</v>
      </c>
      <c r="O1022" s="14">
        <f t="shared" si="159"/>
        <v>1880</v>
      </c>
      <c r="P1022" s="8">
        <v>20</v>
      </c>
      <c r="Q1022" s="8">
        <f t="shared" si="165"/>
        <v>2</v>
      </c>
      <c r="R1022" s="8">
        <f t="shared" si="166"/>
        <v>26.666666666666664</v>
      </c>
      <c r="S1022" s="8">
        <f t="shared" si="160"/>
        <v>28.666666666666664</v>
      </c>
      <c r="T1022" s="22">
        <f t="shared" si="168"/>
        <v>1.3915206063477026</v>
      </c>
      <c r="U1022" s="19">
        <f t="shared" si="169"/>
        <v>6067.0742909166365</v>
      </c>
      <c r="V1022" s="29" t="s">
        <v>2983</v>
      </c>
    </row>
    <row r="1023" spans="1:22" ht="15" customHeight="1" x14ac:dyDescent="0.25">
      <c r="A1023" t="s">
        <v>518</v>
      </c>
      <c r="B1023" t="s">
        <v>1091</v>
      </c>
      <c r="C1023" t="s">
        <v>2073</v>
      </c>
      <c r="D1023" t="s">
        <v>2080</v>
      </c>
      <c r="E1023" t="s">
        <v>480</v>
      </c>
      <c r="F1023" s="5">
        <v>31.2</v>
      </c>
      <c r="G1023" t="s">
        <v>797</v>
      </c>
      <c r="H1023" s="3">
        <v>1.3</v>
      </c>
      <c r="I1023" s="3">
        <v>25.5</v>
      </c>
      <c r="J1023" s="3">
        <v>14</v>
      </c>
      <c r="K1023" s="3">
        <v>1.88</v>
      </c>
      <c r="L1023">
        <f t="shared" si="158"/>
        <v>4.6410000000000001E-4</v>
      </c>
      <c r="M1023">
        <f t="shared" si="167"/>
        <v>2.7845999999999999E-2</v>
      </c>
      <c r="N1023" s="8">
        <v>60</v>
      </c>
      <c r="O1023" s="14">
        <f t="shared" si="159"/>
        <v>1872</v>
      </c>
      <c r="P1023" s="8">
        <v>20</v>
      </c>
      <c r="Q1023" s="8">
        <f t="shared" si="165"/>
        <v>3</v>
      </c>
      <c r="R1023" s="8">
        <f t="shared" si="166"/>
        <v>40</v>
      </c>
      <c r="S1023" s="8">
        <f t="shared" si="160"/>
        <v>43</v>
      </c>
      <c r="T1023" s="22">
        <f t="shared" si="168"/>
        <v>1.385599242065372</v>
      </c>
      <c r="U1023" s="19">
        <f t="shared" si="169"/>
        <v>6068.4598901587015</v>
      </c>
      <c r="V1023" s="29" t="s">
        <v>2983</v>
      </c>
    </row>
    <row r="1024" spans="1:22" ht="15" customHeight="1" x14ac:dyDescent="0.25">
      <c r="A1024" t="s">
        <v>518</v>
      </c>
      <c r="B1024" t="s">
        <v>637</v>
      </c>
      <c r="C1024" t="s">
        <v>2281</v>
      </c>
      <c r="D1024" t="s">
        <v>686</v>
      </c>
      <c r="E1024" t="s">
        <v>24</v>
      </c>
      <c r="F1024" s="5">
        <v>46.32</v>
      </c>
      <c r="G1024" t="s">
        <v>687</v>
      </c>
      <c r="H1024" s="3">
        <v>4</v>
      </c>
      <c r="I1024" s="3">
        <v>18</v>
      </c>
      <c r="J1024" s="3">
        <v>4</v>
      </c>
      <c r="K1024" s="3">
        <v>1.2</v>
      </c>
      <c r="L1024">
        <f t="shared" si="158"/>
        <v>2.8800000000000001E-4</v>
      </c>
      <c r="M1024">
        <f t="shared" si="167"/>
        <v>1.1520000000000001E-2</v>
      </c>
      <c r="N1024" s="8">
        <v>40</v>
      </c>
      <c r="O1024" s="14">
        <f t="shared" si="159"/>
        <v>1852.8</v>
      </c>
      <c r="P1024" s="8">
        <v>20</v>
      </c>
      <c r="Q1024" s="8">
        <f t="shared" si="165"/>
        <v>2</v>
      </c>
      <c r="R1024" s="8">
        <f t="shared" si="166"/>
        <v>26.666666666666664</v>
      </c>
      <c r="S1024" s="8">
        <f t="shared" si="160"/>
        <v>28.666666666666664</v>
      </c>
      <c r="T1024" s="22">
        <f t="shared" si="168"/>
        <v>1.3713879677877783</v>
      </c>
      <c r="U1024" s="19">
        <f t="shared" si="169"/>
        <v>6069.8312781264895</v>
      </c>
      <c r="V1024" s="29" t="s">
        <v>2983</v>
      </c>
    </row>
    <row r="1025" spans="1:22" ht="15" customHeight="1" x14ac:dyDescent="0.25">
      <c r="A1025" t="s">
        <v>518</v>
      </c>
      <c r="B1025" t="s">
        <v>1090</v>
      </c>
      <c r="C1025" t="s">
        <v>2374</v>
      </c>
      <c r="D1025" t="s">
        <v>2376</v>
      </c>
      <c r="E1025" t="s">
        <v>234</v>
      </c>
      <c r="F1025" s="5">
        <v>369</v>
      </c>
      <c r="G1025" t="s">
        <v>683</v>
      </c>
      <c r="H1025" s="3">
        <v>100</v>
      </c>
      <c r="I1025" s="3">
        <v>100</v>
      </c>
      <c r="J1025" s="3">
        <v>100</v>
      </c>
      <c r="K1025" s="3">
        <v>55</v>
      </c>
      <c r="L1025">
        <f t="shared" si="158"/>
        <v>1</v>
      </c>
      <c r="M1025">
        <f t="shared" si="167"/>
        <v>5</v>
      </c>
      <c r="N1025" s="8">
        <v>5</v>
      </c>
      <c r="O1025" s="14">
        <f t="shared" si="159"/>
        <v>1845</v>
      </c>
      <c r="P1025" s="8">
        <v>20</v>
      </c>
      <c r="Q1025" s="8">
        <f t="shared" si="165"/>
        <v>0.25</v>
      </c>
      <c r="R1025" s="8">
        <f t="shared" si="166"/>
        <v>3.333333333333333</v>
      </c>
      <c r="S1025" s="8">
        <f t="shared" si="160"/>
        <v>3.583333333333333</v>
      </c>
      <c r="T1025" s="22">
        <f t="shared" si="168"/>
        <v>1.365614637612506</v>
      </c>
      <c r="U1025" s="19">
        <f t="shared" si="169"/>
        <v>6071.1968927641019</v>
      </c>
      <c r="V1025" s="29" t="s">
        <v>2983</v>
      </c>
    </row>
    <row r="1026" spans="1:22" ht="15" customHeight="1" x14ac:dyDescent="0.25">
      <c r="A1026" t="s">
        <v>518</v>
      </c>
      <c r="B1026" t="s">
        <v>637</v>
      </c>
      <c r="C1026" t="s">
        <v>2265</v>
      </c>
      <c r="D1026" t="s">
        <v>655</v>
      </c>
      <c r="E1026" t="s">
        <v>234</v>
      </c>
      <c r="F1026" s="5">
        <v>75</v>
      </c>
      <c r="G1026" t="s">
        <v>650</v>
      </c>
      <c r="H1026" s="3">
        <v>15</v>
      </c>
      <c r="I1026" s="3">
        <v>20</v>
      </c>
      <c r="J1026" s="3">
        <v>25</v>
      </c>
      <c r="K1026" s="3">
        <v>8</v>
      </c>
      <c r="L1026">
        <f t="shared" ref="L1026:L1089" si="170">J1026*I1026*H1026/1000000</f>
        <v>7.4999999999999997E-3</v>
      </c>
      <c r="M1026">
        <f t="shared" si="167"/>
        <v>0.18</v>
      </c>
      <c r="N1026" s="8">
        <v>24</v>
      </c>
      <c r="O1026" s="14">
        <f t="shared" ref="O1026:O1089" si="171">N1026*F1026</f>
        <v>1800</v>
      </c>
      <c r="P1026" s="8">
        <v>20</v>
      </c>
      <c r="Q1026" s="8">
        <f t="shared" si="165"/>
        <v>1.2</v>
      </c>
      <c r="R1026" s="8">
        <f t="shared" si="166"/>
        <v>16</v>
      </c>
      <c r="S1026" s="8">
        <f t="shared" ref="S1026:S1089" si="172">Q1026+R1026</f>
        <v>17.2</v>
      </c>
      <c r="T1026" s="22">
        <f t="shared" si="168"/>
        <v>1.332306963524396</v>
      </c>
      <c r="U1026" s="19">
        <f t="shared" si="169"/>
        <v>6072.5291997276263</v>
      </c>
      <c r="V1026" s="29" t="s">
        <v>2983</v>
      </c>
    </row>
    <row r="1027" spans="1:22" ht="15" customHeight="1" x14ac:dyDescent="0.25">
      <c r="A1027" t="s">
        <v>518</v>
      </c>
      <c r="B1027" t="s">
        <v>1091</v>
      </c>
      <c r="C1027" t="s">
        <v>2073</v>
      </c>
      <c r="D1027" t="s">
        <v>2079</v>
      </c>
      <c r="E1027" t="s">
        <v>480</v>
      </c>
      <c r="F1027" s="5">
        <v>25.6</v>
      </c>
      <c r="G1027" t="s">
        <v>797</v>
      </c>
      <c r="H1027" s="3">
        <v>1.3</v>
      </c>
      <c r="I1027" s="3">
        <v>26</v>
      </c>
      <c r="J1027" s="3">
        <v>13</v>
      </c>
      <c r="K1027" s="3">
        <v>1.69</v>
      </c>
      <c r="L1027">
        <f t="shared" si="170"/>
        <v>4.3940000000000006E-4</v>
      </c>
      <c r="M1027">
        <f t="shared" si="167"/>
        <v>3.0758000000000004E-2</v>
      </c>
      <c r="N1027" s="8">
        <v>70</v>
      </c>
      <c r="O1027" s="14">
        <f t="shared" si="171"/>
        <v>1792</v>
      </c>
      <c r="P1027" s="8">
        <v>20</v>
      </c>
      <c r="Q1027" s="8">
        <f t="shared" si="165"/>
        <v>3.5</v>
      </c>
      <c r="R1027" s="8">
        <f t="shared" si="166"/>
        <v>46.666666666666671</v>
      </c>
      <c r="S1027" s="8">
        <f t="shared" si="172"/>
        <v>50.166666666666671</v>
      </c>
      <c r="T1027" s="22">
        <f t="shared" si="168"/>
        <v>1.3263855992420654</v>
      </c>
      <c r="U1027" s="19">
        <f t="shared" si="169"/>
        <v>6073.8555853268681</v>
      </c>
      <c r="V1027" s="29" t="s">
        <v>2983</v>
      </c>
    </row>
    <row r="1028" spans="1:22" ht="15" customHeight="1" x14ac:dyDescent="0.25">
      <c r="A1028" t="s">
        <v>518</v>
      </c>
      <c r="B1028" t="s">
        <v>1090</v>
      </c>
      <c r="C1028" t="s">
        <v>784</v>
      </c>
      <c r="D1028" t="s">
        <v>636</v>
      </c>
      <c r="E1028" t="s">
        <v>234</v>
      </c>
      <c r="F1028" s="5">
        <v>357</v>
      </c>
      <c r="G1028" t="s">
        <v>761</v>
      </c>
      <c r="H1028" s="3">
        <v>125</v>
      </c>
      <c r="I1028" s="3">
        <v>75</v>
      </c>
      <c r="J1028" s="3">
        <v>4</v>
      </c>
      <c r="K1028" s="3">
        <v>13.5</v>
      </c>
      <c r="L1028">
        <f t="shared" si="170"/>
        <v>3.7499999999999999E-2</v>
      </c>
      <c r="M1028">
        <f t="shared" si="167"/>
        <v>0.1875</v>
      </c>
      <c r="N1028" s="8">
        <v>5</v>
      </c>
      <c r="O1028" s="14">
        <f t="shared" si="171"/>
        <v>1785</v>
      </c>
      <c r="P1028" s="8">
        <v>20</v>
      </c>
      <c r="Q1028" s="8">
        <f t="shared" si="165"/>
        <v>0.25</v>
      </c>
      <c r="R1028" s="8">
        <f t="shared" si="166"/>
        <v>3.333333333333333</v>
      </c>
      <c r="S1028" s="8">
        <f t="shared" si="172"/>
        <v>3.583333333333333</v>
      </c>
      <c r="T1028" s="22">
        <f t="shared" si="168"/>
        <v>1.321204405495026</v>
      </c>
      <c r="U1028" s="19">
        <f t="shared" si="169"/>
        <v>6075.1767897323634</v>
      </c>
      <c r="V1028" s="29" t="s">
        <v>2983</v>
      </c>
    </row>
    <row r="1029" spans="1:22" ht="15" customHeight="1" x14ac:dyDescent="0.25">
      <c r="A1029" t="s">
        <v>518</v>
      </c>
      <c r="B1029" t="s">
        <v>1090</v>
      </c>
      <c r="C1029" t="s">
        <v>777</v>
      </c>
      <c r="D1029" t="s">
        <v>610</v>
      </c>
      <c r="E1029" t="s">
        <v>13</v>
      </c>
      <c r="F1029" s="5">
        <v>345.9</v>
      </c>
      <c r="G1029" t="s">
        <v>778</v>
      </c>
      <c r="H1029" s="3">
        <v>53.5</v>
      </c>
      <c r="I1029" s="3">
        <v>57.5</v>
      </c>
      <c r="J1029" s="3">
        <v>59</v>
      </c>
      <c r="K1029" s="3">
        <v>14</v>
      </c>
      <c r="L1029">
        <f t="shared" si="170"/>
        <v>0.18149874999999999</v>
      </c>
      <c r="M1029">
        <f t="shared" si="167"/>
        <v>0.90749374999999999</v>
      </c>
      <c r="N1029" s="8">
        <v>5</v>
      </c>
      <c r="O1029" s="14">
        <f t="shared" si="171"/>
        <v>1729.5</v>
      </c>
      <c r="P1029" s="8">
        <v>20</v>
      </c>
      <c r="Q1029" s="8">
        <f t="shared" si="165"/>
        <v>0.25</v>
      </c>
      <c r="R1029" s="8">
        <f t="shared" si="166"/>
        <v>3.333333333333333</v>
      </c>
      <c r="S1029" s="8">
        <f t="shared" si="172"/>
        <v>3.583333333333333</v>
      </c>
      <c r="T1029" s="22">
        <f t="shared" si="168"/>
        <v>1.2801249407863573</v>
      </c>
      <c r="U1029" s="19">
        <f t="shared" si="169"/>
        <v>6076.4569146731501</v>
      </c>
      <c r="V1029" s="29" t="s">
        <v>2983</v>
      </c>
    </row>
    <row r="1030" spans="1:22" ht="15" customHeight="1" x14ac:dyDescent="0.25">
      <c r="A1030" t="s">
        <v>518</v>
      </c>
      <c r="B1030" t="s">
        <v>1090</v>
      </c>
      <c r="C1030" t="s">
        <v>779</v>
      </c>
      <c r="D1030" t="s">
        <v>617</v>
      </c>
      <c r="E1030" t="s">
        <v>234</v>
      </c>
      <c r="F1030" s="5">
        <v>345</v>
      </c>
      <c r="G1030" t="s">
        <v>692</v>
      </c>
      <c r="H1030" s="3">
        <v>75</v>
      </c>
      <c r="I1030" s="3">
        <v>75</v>
      </c>
      <c r="J1030" s="3">
        <v>30</v>
      </c>
      <c r="K1030" s="3">
        <v>8.8000000000000007</v>
      </c>
      <c r="L1030">
        <f t="shared" si="170"/>
        <v>0.16875000000000001</v>
      </c>
      <c r="M1030">
        <f t="shared" si="167"/>
        <v>0.84375</v>
      </c>
      <c r="N1030" s="8">
        <v>5</v>
      </c>
      <c r="O1030" s="14">
        <f t="shared" si="171"/>
        <v>1725</v>
      </c>
      <c r="P1030" s="8">
        <v>20</v>
      </c>
      <c r="Q1030" s="8">
        <f t="shared" si="165"/>
        <v>0.25</v>
      </c>
      <c r="R1030" s="8">
        <f t="shared" si="166"/>
        <v>3.333333333333333</v>
      </c>
      <c r="S1030" s="8">
        <f t="shared" si="172"/>
        <v>3.583333333333333</v>
      </c>
      <c r="T1030" s="22">
        <f t="shared" si="168"/>
        <v>1.2767941733775463</v>
      </c>
      <c r="U1030" s="19">
        <f t="shared" si="169"/>
        <v>6077.7337088465274</v>
      </c>
      <c r="V1030" s="29" t="s">
        <v>2983</v>
      </c>
    </row>
    <row r="1031" spans="1:22" ht="15" customHeight="1" x14ac:dyDescent="0.25">
      <c r="A1031" t="s">
        <v>518</v>
      </c>
      <c r="B1031" t="s">
        <v>637</v>
      </c>
      <c r="C1031" t="s">
        <v>2212</v>
      </c>
      <c r="D1031" t="s">
        <v>1239</v>
      </c>
      <c r="E1031" t="s">
        <v>2213</v>
      </c>
      <c r="F1031" s="5">
        <v>47</v>
      </c>
      <c r="G1031" t="s">
        <v>2216</v>
      </c>
      <c r="H1031" s="3">
        <v>25</v>
      </c>
      <c r="I1031" s="3">
        <v>600</v>
      </c>
      <c r="J1031" s="3">
        <v>0.54</v>
      </c>
      <c r="K1031" s="3">
        <v>8.0999999999999996E-3</v>
      </c>
      <c r="L1031">
        <f t="shared" si="170"/>
        <v>8.0999999999999996E-3</v>
      </c>
      <c r="M1031">
        <f t="shared" si="167"/>
        <v>0.29159999999999997</v>
      </c>
      <c r="N1031" s="8">
        <v>36</v>
      </c>
      <c r="O1031" s="14">
        <f t="shared" si="171"/>
        <v>1692</v>
      </c>
      <c r="P1031" s="8">
        <v>20</v>
      </c>
      <c r="Q1031" s="8">
        <f t="shared" ref="Q1031:Q1062" si="173">N1031/P1031</f>
        <v>1.8</v>
      </c>
      <c r="R1031" s="8">
        <f t="shared" ref="R1031:R1062" si="174">(N1031/30)*P1031</f>
        <v>24</v>
      </c>
      <c r="S1031" s="8">
        <f t="shared" si="172"/>
        <v>25.8</v>
      </c>
      <c r="T1031" s="22">
        <f t="shared" si="168"/>
        <v>1.2523685457129323</v>
      </c>
      <c r="U1031" s="19">
        <f t="shared" si="169"/>
        <v>6078.9860773922401</v>
      </c>
      <c r="V1031" s="29" t="s">
        <v>2983</v>
      </c>
    </row>
    <row r="1032" spans="1:22" ht="15" customHeight="1" x14ac:dyDescent="0.25">
      <c r="A1032" t="s">
        <v>518</v>
      </c>
      <c r="B1032" t="s">
        <v>1091</v>
      </c>
      <c r="C1032" t="s">
        <v>2063</v>
      </c>
      <c r="D1032" t="s">
        <v>2065</v>
      </c>
      <c r="E1032" t="s">
        <v>480</v>
      </c>
      <c r="F1032" s="5">
        <v>15.2</v>
      </c>
      <c r="G1032" t="s">
        <v>512</v>
      </c>
      <c r="H1032" s="3">
        <v>90</v>
      </c>
      <c r="I1032" s="3">
        <v>19.5</v>
      </c>
      <c r="J1032" s="3">
        <v>1</v>
      </c>
      <c r="K1032" s="3">
        <v>1.33</v>
      </c>
      <c r="L1032">
        <f t="shared" si="170"/>
        <v>1.755E-3</v>
      </c>
      <c r="M1032">
        <f t="shared" si="167"/>
        <v>0.19305</v>
      </c>
      <c r="N1032" s="8">
        <v>110</v>
      </c>
      <c r="O1032" s="14">
        <f t="shared" si="171"/>
        <v>1672</v>
      </c>
      <c r="P1032" s="8">
        <v>20</v>
      </c>
      <c r="Q1032" s="8">
        <f t="shared" si="173"/>
        <v>5.5</v>
      </c>
      <c r="R1032" s="8">
        <f t="shared" si="174"/>
        <v>73.333333333333329</v>
      </c>
      <c r="S1032" s="8">
        <f t="shared" si="172"/>
        <v>78.833333333333329</v>
      </c>
      <c r="T1032" s="22">
        <f t="shared" si="168"/>
        <v>1.2375651350071057</v>
      </c>
      <c r="U1032" s="19">
        <f t="shared" si="169"/>
        <v>6080.2236425272467</v>
      </c>
      <c r="V1032" s="29" t="s">
        <v>2983</v>
      </c>
    </row>
    <row r="1033" spans="1:22" ht="15" customHeight="1" x14ac:dyDescent="0.25">
      <c r="A1033" t="s">
        <v>518</v>
      </c>
      <c r="B1033" t="s">
        <v>1091</v>
      </c>
      <c r="C1033" t="s">
        <v>2198</v>
      </c>
      <c r="D1033" t="s">
        <v>2199</v>
      </c>
      <c r="E1033" t="s">
        <v>833</v>
      </c>
      <c r="F1033" s="5">
        <v>17.5</v>
      </c>
      <c r="G1033" t="s">
        <v>606</v>
      </c>
      <c r="H1033" s="3">
        <v>1</v>
      </c>
      <c r="I1033" s="3">
        <v>19</v>
      </c>
      <c r="J1033" s="3">
        <v>8.5</v>
      </c>
      <c r="K1033" s="3">
        <v>3.5</v>
      </c>
      <c r="L1033">
        <f t="shared" si="170"/>
        <v>1.615E-4</v>
      </c>
      <c r="M1033">
        <f t="shared" si="167"/>
        <v>1.53425E-2</v>
      </c>
      <c r="N1033" s="8">
        <v>95</v>
      </c>
      <c r="O1033" s="14">
        <f t="shared" si="171"/>
        <v>1662.5</v>
      </c>
      <c r="P1033" s="8">
        <v>20</v>
      </c>
      <c r="Q1033" s="8">
        <f t="shared" si="173"/>
        <v>4.75</v>
      </c>
      <c r="R1033" s="8">
        <f t="shared" si="174"/>
        <v>63.333333333333329</v>
      </c>
      <c r="S1033" s="8">
        <f t="shared" si="172"/>
        <v>68.083333333333329</v>
      </c>
      <c r="T1033" s="22">
        <f t="shared" si="168"/>
        <v>1.2305335149218379</v>
      </c>
      <c r="U1033" s="19">
        <f t="shared" si="169"/>
        <v>6081.4541760421689</v>
      </c>
      <c r="V1033" s="29" t="s">
        <v>2983</v>
      </c>
    </row>
    <row r="1034" spans="1:22" ht="15" customHeight="1" x14ac:dyDescent="0.25">
      <c r="A1034" t="s">
        <v>518</v>
      </c>
      <c r="B1034" t="s">
        <v>637</v>
      </c>
      <c r="C1034" t="s">
        <v>1296</v>
      </c>
      <c r="D1034" t="s">
        <v>1297</v>
      </c>
      <c r="E1034" t="s">
        <v>234</v>
      </c>
      <c r="F1034" s="5">
        <v>110</v>
      </c>
      <c r="G1034" t="s">
        <v>683</v>
      </c>
      <c r="H1034" s="3">
        <v>15</v>
      </c>
      <c r="I1034" s="3">
        <v>15</v>
      </c>
      <c r="J1034" s="3">
        <v>4</v>
      </c>
      <c r="K1034" s="3">
        <v>8.9999999999999998E-4</v>
      </c>
      <c r="L1034">
        <f t="shared" si="170"/>
        <v>8.9999999999999998E-4</v>
      </c>
      <c r="M1034">
        <f t="shared" si="167"/>
        <v>1.35E-2</v>
      </c>
      <c r="N1034" s="8">
        <v>15</v>
      </c>
      <c r="O1034" s="14">
        <f t="shared" si="171"/>
        <v>1650</v>
      </c>
      <c r="P1034" s="8">
        <v>20</v>
      </c>
      <c r="Q1034" s="8">
        <f t="shared" si="173"/>
        <v>0.75</v>
      </c>
      <c r="R1034" s="8">
        <f t="shared" si="174"/>
        <v>10</v>
      </c>
      <c r="S1034" s="8">
        <f t="shared" si="172"/>
        <v>10.75</v>
      </c>
      <c r="T1034" s="22">
        <f t="shared" si="168"/>
        <v>1.2212813832306963</v>
      </c>
      <c r="U1034" s="19">
        <f t="shared" si="169"/>
        <v>6082.6754574254001</v>
      </c>
      <c r="V1034" s="29" t="s">
        <v>2983</v>
      </c>
    </row>
    <row r="1035" spans="1:22" ht="15" customHeight="1" x14ac:dyDescent="0.25">
      <c r="A1035" t="s">
        <v>518</v>
      </c>
      <c r="B1035" t="s">
        <v>1090</v>
      </c>
      <c r="C1035" t="s">
        <v>2396</v>
      </c>
      <c r="D1035" t="s">
        <v>2397</v>
      </c>
      <c r="E1035" t="s">
        <v>234</v>
      </c>
      <c r="F1035" s="5">
        <v>330</v>
      </c>
      <c r="G1035" t="s">
        <v>2393</v>
      </c>
      <c r="H1035" s="3">
        <v>40</v>
      </c>
      <c r="I1035" s="3">
        <v>53</v>
      </c>
      <c r="J1035" s="3">
        <v>40</v>
      </c>
      <c r="K1035" s="3">
        <v>12</v>
      </c>
      <c r="L1035">
        <f t="shared" si="170"/>
        <v>8.48E-2</v>
      </c>
      <c r="M1035">
        <f t="shared" si="167"/>
        <v>0.42399999999999999</v>
      </c>
      <c r="N1035" s="8">
        <v>5</v>
      </c>
      <c r="O1035" s="14">
        <f t="shared" si="171"/>
        <v>1650</v>
      </c>
      <c r="P1035" s="8">
        <v>20</v>
      </c>
      <c r="Q1035" s="8">
        <f t="shared" si="173"/>
        <v>0.25</v>
      </c>
      <c r="R1035" s="8">
        <f t="shared" si="174"/>
        <v>3.333333333333333</v>
      </c>
      <c r="S1035" s="8">
        <f t="shared" si="172"/>
        <v>3.583333333333333</v>
      </c>
      <c r="T1035" s="22">
        <f t="shared" si="168"/>
        <v>1.2212813832306963</v>
      </c>
      <c r="U1035" s="19">
        <f t="shared" si="169"/>
        <v>6083.8967388086312</v>
      </c>
      <c r="V1035" s="29" t="s">
        <v>2983</v>
      </c>
    </row>
    <row r="1036" spans="1:22" ht="15" customHeight="1" x14ac:dyDescent="0.25">
      <c r="A1036" t="s">
        <v>518</v>
      </c>
      <c r="B1036" t="s">
        <v>1090</v>
      </c>
      <c r="C1036" t="s">
        <v>2331</v>
      </c>
      <c r="D1036" t="s">
        <v>2335</v>
      </c>
      <c r="E1036" t="s">
        <v>2330</v>
      </c>
      <c r="F1036" s="5">
        <v>329</v>
      </c>
      <c r="G1036" t="s">
        <v>683</v>
      </c>
      <c r="H1036" s="3">
        <v>40</v>
      </c>
      <c r="I1036" s="3">
        <v>300</v>
      </c>
      <c r="J1036" s="3">
        <v>40</v>
      </c>
      <c r="K1036" s="3">
        <v>52.6</v>
      </c>
      <c r="L1036">
        <f t="shared" si="170"/>
        <v>0.48</v>
      </c>
      <c r="M1036">
        <f t="shared" si="167"/>
        <v>2.4</v>
      </c>
      <c r="N1036" s="8">
        <v>5</v>
      </c>
      <c r="O1036" s="14">
        <f t="shared" si="171"/>
        <v>1645</v>
      </c>
      <c r="P1036" s="8">
        <v>20</v>
      </c>
      <c r="Q1036" s="8">
        <f t="shared" si="173"/>
        <v>0.25</v>
      </c>
      <c r="R1036" s="8">
        <f t="shared" si="174"/>
        <v>3.333333333333333</v>
      </c>
      <c r="S1036" s="8">
        <f t="shared" si="172"/>
        <v>3.583333333333333</v>
      </c>
      <c r="T1036" s="22">
        <f t="shared" si="168"/>
        <v>1.2175805305542398</v>
      </c>
      <c r="U1036" s="19">
        <f t="shared" si="169"/>
        <v>6085.1143193391854</v>
      </c>
      <c r="V1036" s="29" t="s">
        <v>2983</v>
      </c>
    </row>
    <row r="1037" spans="1:22" ht="15" customHeight="1" x14ac:dyDescent="0.25">
      <c r="A1037" t="s">
        <v>518</v>
      </c>
      <c r="B1037" t="s">
        <v>1090</v>
      </c>
      <c r="C1037" t="s">
        <v>2329</v>
      </c>
      <c r="D1037" t="s">
        <v>713</v>
      </c>
      <c r="E1037" t="s">
        <v>2330</v>
      </c>
      <c r="F1037" s="5">
        <v>329</v>
      </c>
      <c r="G1037" t="s">
        <v>2323</v>
      </c>
      <c r="H1037" s="3">
        <v>110</v>
      </c>
      <c r="I1037" s="3">
        <v>90</v>
      </c>
      <c r="J1037" s="3">
        <v>100</v>
      </c>
      <c r="K1037" s="3">
        <v>19.2</v>
      </c>
      <c r="L1037">
        <f t="shared" si="170"/>
        <v>0.99</v>
      </c>
      <c r="M1037">
        <f t="shared" si="167"/>
        <v>4.95</v>
      </c>
      <c r="N1037" s="8">
        <v>5</v>
      </c>
      <c r="O1037" s="14">
        <f t="shared" si="171"/>
        <v>1645</v>
      </c>
      <c r="P1037" s="8">
        <v>20</v>
      </c>
      <c r="Q1037" s="8">
        <f t="shared" si="173"/>
        <v>0.25</v>
      </c>
      <c r="R1037" s="8">
        <f t="shared" si="174"/>
        <v>3.333333333333333</v>
      </c>
      <c r="S1037" s="8">
        <f t="shared" si="172"/>
        <v>3.583333333333333</v>
      </c>
      <c r="T1037" s="22">
        <f t="shared" si="168"/>
        <v>1.2175805305542398</v>
      </c>
      <c r="U1037" s="19">
        <f t="shared" si="169"/>
        <v>6086.3318998697396</v>
      </c>
      <c r="V1037" s="29" t="s">
        <v>2983</v>
      </c>
    </row>
    <row r="1038" spans="1:22" ht="15" customHeight="1" x14ac:dyDescent="0.25">
      <c r="A1038" t="s">
        <v>518</v>
      </c>
      <c r="B1038" t="s">
        <v>1090</v>
      </c>
      <c r="C1038" t="s">
        <v>2322</v>
      </c>
      <c r="D1038" t="s">
        <v>2327</v>
      </c>
      <c r="E1038" t="s">
        <v>234</v>
      </c>
      <c r="F1038" s="5">
        <v>315.5</v>
      </c>
      <c r="G1038" t="s">
        <v>683</v>
      </c>
      <c r="H1038" s="3">
        <v>100</v>
      </c>
      <c r="I1038" s="3">
        <v>100</v>
      </c>
      <c r="J1038" s="3">
        <v>100</v>
      </c>
      <c r="K1038" s="3">
        <v>4.84</v>
      </c>
      <c r="L1038">
        <f t="shared" si="170"/>
        <v>1</v>
      </c>
      <c r="M1038">
        <f t="shared" si="167"/>
        <v>5</v>
      </c>
      <c r="N1038" s="8">
        <v>5</v>
      </c>
      <c r="O1038" s="14">
        <f t="shared" si="171"/>
        <v>1577.5</v>
      </c>
      <c r="P1038" s="8">
        <v>20</v>
      </c>
      <c r="Q1038" s="8">
        <f t="shared" si="173"/>
        <v>0.25</v>
      </c>
      <c r="R1038" s="8">
        <f t="shared" si="174"/>
        <v>3.333333333333333</v>
      </c>
      <c r="S1038" s="8">
        <f t="shared" si="172"/>
        <v>3.583333333333333</v>
      </c>
      <c r="T1038" s="22">
        <f t="shared" si="168"/>
        <v>1.1676190194220748</v>
      </c>
      <c r="U1038" s="19">
        <f t="shared" si="169"/>
        <v>6087.4995188891617</v>
      </c>
      <c r="V1038" s="29" t="s">
        <v>2983</v>
      </c>
    </row>
    <row r="1039" spans="1:22" ht="15" customHeight="1" x14ac:dyDescent="0.25">
      <c r="A1039" t="s">
        <v>518</v>
      </c>
      <c r="B1039" t="s">
        <v>637</v>
      </c>
      <c r="C1039" t="s">
        <v>2281</v>
      </c>
      <c r="D1039" t="s">
        <v>2282</v>
      </c>
      <c r="E1039" t="s">
        <v>24</v>
      </c>
      <c r="F1039" s="5">
        <v>39</v>
      </c>
      <c r="G1039" t="s">
        <v>688</v>
      </c>
      <c r="H1039" s="3">
        <v>4</v>
      </c>
      <c r="I1039" s="3">
        <v>30</v>
      </c>
      <c r="J1039" s="3">
        <v>4</v>
      </c>
      <c r="K1039" s="3">
        <v>1.5</v>
      </c>
      <c r="L1039">
        <f t="shared" si="170"/>
        <v>4.8000000000000001E-4</v>
      </c>
      <c r="M1039">
        <f t="shared" si="167"/>
        <v>1.9200000000000002E-2</v>
      </c>
      <c r="N1039" s="8">
        <v>40</v>
      </c>
      <c r="O1039" s="14">
        <f t="shared" si="171"/>
        <v>1560</v>
      </c>
      <c r="P1039" s="8">
        <v>20</v>
      </c>
      <c r="Q1039" s="8">
        <f t="shared" si="173"/>
        <v>2</v>
      </c>
      <c r="R1039" s="8">
        <f t="shared" si="174"/>
        <v>26.666666666666664</v>
      </c>
      <c r="S1039" s="8">
        <f t="shared" si="172"/>
        <v>28.666666666666664</v>
      </c>
      <c r="T1039" s="22">
        <f t="shared" si="168"/>
        <v>1.1546660350544766</v>
      </c>
      <c r="U1039" s="19">
        <f t="shared" si="169"/>
        <v>6088.6541849242158</v>
      </c>
      <c r="V1039" s="29" t="s">
        <v>2983</v>
      </c>
    </row>
    <row r="1040" spans="1:22" ht="15" customHeight="1" x14ac:dyDescent="0.25">
      <c r="A1040" t="s">
        <v>518</v>
      </c>
      <c r="B1040" t="s">
        <v>637</v>
      </c>
      <c r="C1040" t="s">
        <v>2281</v>
      </c>
      <c r="D1040" t="s">
        <v>2283</v>
      </c>
      <c r="E1040" t="s">
        <v>24</v>
      </c>
      <c r="F1040" s="5">
        <v>38.9</v>
      </c>
      <c r="G1040" t="s">
        <v>689</v>
      </c>
      <c r="H1040" s="3">
        <v>4</v>
      </c>
      <c r="I1040" s="3">
        <v>20</v>
      </c>
      <c r="J1040" s="3">
        <v>4</v>
      </c>
      <c r="K1040" s="3">
        <v>1</v>
      </c>
      <c r="L1040">
        <f t="shared" si="170"/>
        <v>3.2000000000000003E-4</v>
      </c>
      <c r="M1040">
        <f t="shared" si="167"/>
        <v>1.2800000000000001E-2</v>
      </c>
      <c r="N1040" s="8">
        <v>40</v>
      </c>
      <c r="O1040" s="14">
        <f t="shared" si="171"/>
        <v>1556</v>
      </c>
      <c r="P1040" s="8">
        <v>20</v>
      </c>
      <c r="Q1040" s="8">
        <f t="shared" si="173"/>
        <v>2</v>
      </c>
      <c r="R1040" s="8">
        <f t="shared" si="174"/>
        <v>26.666666666666664</v>
      </c>
      <c r="S1040" s="8">
        <f t="shared" si="172"/>
        <v>28.666666666666664</v>
      </c>
      <c r="T1040" s="22">
        <f t="shared" si="168"/>
        <v>1.1517053529133112</v>
      </c>
      <c r="U1040" s="19">
        <f t="shared" si="169"/>
        <v>6089.805890277129</v>
      </c>
      <c r="V1040" s="29" t="s">
        <v>2983</v>
      </c>
    </row>
    <row r="1041" spans="1:22" ht="15" customHeight="1" x14ac:dyDescent="0.25">
      <c r="A1041" t="s">
        <v>518</v>
      </c>
      <c r="B1041" t="s">
        <v>1090</v>
      </c>
      <c r="C1041" t="s">
        <v>750</v>
      </c>
      <c r="D1041" t="s">
        <v>758</v>
      </c>
      <c r="E1041" t="s">
        <v>234</v>
      </c>
      <c r="F1041" s="5">
        <v>309</v>
      </c>
      <c r="G1041" t="s">
        <v>692</v>
      </c>
      <c r="H1041" s="3">
        <v>100</v>
      </c>
      <c r="I1041" s="3">
        <v>100</v>
      </c>
      <c r="J1041" s="3">
        <v>100</v>
      </c>
      <c r="K1041" s="3">
        <v>1.9</v>
      </c>
      <c r="L1041">
        <f t="shared" si="170"/>
        <v>1</v>
      </c>
      <c r="M1041">
        <f t="shared" si="167"/>
        <v>5</v>
      </c>
      <c r="N1041" s="8">
        <v>5</v>
      </c>
      <c r="O1041" s="14">
        <f t="shared" si="171"/>
        <v>1545</v>
      </c>
      <c r="P1041" s="8">
        <v>20</v>
      </c>
      <c r="Q1041" s="8">
        <f t="shared" si="173"/>
        <v>0.25</v>
      </c>
      <c r="R1041" s="8">
        <f t="shared" si="174"/>
        <v>3.333333333333333</v>
      </c>
      <c r="S1041" s="8">
        <f t="shared" si="172"/>
        <v>3.583333333333333</v>
      </c>
      <c r="T1041" s="22">
        <f t="shared" si="168"/>
        <v>1.1435634770251066</v>
      </c>
      <c r="U1041" s="19">
        <f t="shared" si="169"/>
        <v>6090.9494537541541</v>
      </c>
      <c r="V1041" s="29" t="s">
        <v>2983</v>
      </c>
    </row>
    <row r="1042" spans="1:22" ht="15" customHeight="1" x14ac:dyDescent="0.25">
      <c r="A1042" t="s">
        <v>518</v>
      </c>
      <c r="B1042" t="s">
        <v>1090</v>
      </c>
      <c r="C1042" t="s">
        <v>750</v>
      </c>
      <c r="D1042" t="s">
        <v>764</v>
      </c>
      <c r="E1042" t="s">
        <v>234</v>
      </c>
      <c r="F1042" s="5">
        <v>303.8</v>
      </c>
      <c r="G1042" t="s">
        <v>140</v>
      </c>
      <c r="H1042" s="3">
        <v>100</v>
      </c>
      <c r="I1042" s="3">
        <v>100</v>
      </c>
      <c r="J1042" s="3">
        <v>100</v>
      </c>
      <c r="K1042" s="3">
        <v>1.8</v>
      </c>
      <c r="L1042">
        <f t="shared" si="170"/>
        <v>1</v>
      </c>
      <c r="M1042">
        <f t="shared" si="167"/>
        <v>5</v>
      </c>
      <c r="N1042" s="8">
        <v>5</v>
      </c>
      <c r="O1042" s="14">
        <f t="shared" si="171"/>
        <v>1519</v>
      </c>
      <c r="P1042" s="8">
        <v>20</v>
      </c>
      <c r="Q1042" s="8">
        <f t="shared" si="173"/>
        <v>0.25</v>
      </c>
      <c r="R1042" s="8">
        <f t="shared" si="174"/>
        <v>3.333333333333333</v>
      </c>
      <c r="S1042" s="8">
        <f t="shared" si="172"/>
        <v>3.583333333333333</v>
      </c>
      <c r="T1042" s="22">
        <f t="shared" si="168"/>
        <v>1.1243190431075321</v>
      </c>
      <c r="U1042" s="19">
        <f t="shared" si="169"/>
        <v>6092.0737727972619</v>
      </c>
      <c r="V1042" s="29" t="s">
        <v>2983</v>
      </c>
    </row>
    <row r="1043" spans="1:22" ht="15" customHeight="1" x14ac:dyDescent="0.25">
      <c r="A1043" t="s">
        <v>518</v>
      </c>
      <c r="B1043" t="s">
        <v>1090</v>
      </c>
      <c r="C1043" t="s">
        <v>776</v>
      </c>
      <c r="D1043" t="s">
        <v>603</v>
      </c>
      <c r="E1043" t="s">
        <v>13</v>
      </c>
      <c r="F1043" s="5">
        <v>299.89999999999998</v>
      </c>
      <c r="G1043" t="s">
        <v>678</v>
      </c>
      <c r="H1043" s="3">
        <v>44</v>
      </c>
      <c r="I1043" s="3">
        <v>33</v>
      </c>
      <c r="J1043" s="3">
        <v>13</v>
      </c>
      <c r="K1043" s="3">
        <v>7</v>
      </c>
      <c r="L1043">
        <f t="shared" si="170"/>
        <v>1.8876E-2</v>
      </c>
      <c r="M1043">
        <f t="shared" si="167"/>
        <v>9.4380000000000006E-2</v>
      </c>
      <c r="N1043" s="8">
        <v>5</v>
      </c>
      <c r="O1043" s="14">
        <f t="shared" si="171"/>
        <v>1499.5</v>
      </c>
      <c r="P1043" s="8">
        <v>20</v>
      </c>
      <c r="Q1043" s="8">
        <f t="shared" si="173"/>
        <v>0.25</v>
      </c>
      <c r="R1043" s="8">
        <f t="shared" si="174"/>
        <v>3.333333333333333</v>
      </c>
      <c r="S1043" s="8">
        <f t="shared" si="172"/>
        <v>3.583333333333333</v>
      </c>
      <c r="T1043" s="22">
        <f t="shared" si="168"/>
        <v>1.1098857176693511</v>
      </c>
      <c r="U1043" s="19">
        <f t="shared" si="169"/>
        <v>6093.1836585149313</v>
      </c>
      <c r="V1043" s="29" t="s">
        <v>2983</v>
      </c>
    </row>
    <row r="1044" spans="1:22" ht="15" customHeight="1" x14ac:dyDescent="0.25">
      <c r="A1044" t="s">
        <v>518</v>
      </c>
      <c r="B1044" t="s">
        <v>1090</v>
      </c>
      <c r="C1044" t="s">
        <v>750</v>
      </c>
      <c r="D1044" t="s">
        <v>759</v>
      </c>
      <c r="E1044" t="s">
        <v>234</v>
      </c>
      <c r="F1044" s="5">
        <v>299</v>
      </c>
      <c r="G1044" t="s">
        <v>753</v>
      </c>
      <c r="H1044" s="3">
        <v>100</v>
      </c>
      <c r="I1044" s="3">
        <v>100</v>
      </c>
      <c r="J1044" s="3">
        <v>100</v>
      </c>
      <c r="K1044" s="3">
        <v>0.7</v>
      </c>
      <c r="L1044">
        <f t="shared" si="170"/>
        <v>1</v>
      </c>
      <c r="M1044">
        <f t="shared" si="167"/>
        <v>5</v>
      </c>
      <c r="N1044" s="8">
        <v>5</v>
      </c>
      <c r="O1044" s="14">
        <f t="shared" si="171"/>
        <v>1495</v>
      </c>
      <c r="P1044" s="8">
        <v>20</v>
      </c>
      <c r="Q1044" s="8">
        <f t="shared" si="173"/>
        <v>0.25</v>
      </c>
      <c r="R1044" s="8">
        <f t="shared" si="174"/>
        <v>3.333333333333333</v>
      </c>
      <c r="S1044" s="8">
        <f t="shared" si="172"/>
        <v>3.583333333333333</v>
      </c>
      <c r="T1044" s="22">
        <f t="shared" si="168"/>
        <v>1.1065549502605401</v>
      </c>
      <c r="U1044" s="19">
        <f t="shared" si="169"/>
        <v>6094.2902134651922</v>
      </c>
      <c r="V1044" s="29" t="s">
        <v>2983</v>
      </c>
    </row>
    <row r="1045" spans="1:22" ht="15" customHeight="1" x14ac:dyDescent="0.25">
      <c r="A1045" t="s">
        <v>518</v>
      </c>
      <c r="B1045" t="s">
        <v>1090</v>
      </c>
      <c r="C1045" t="s">
        <v>771</v>
      </c>
      <c r="D1045" t="s">
        <v>540</v>
      </c>
      <c r="E1045" t="s">
        <v>234</v>
      </c>
      <c r="F1045" s="5">
        <v>297</v>
      </c>
      <c r="G1045" t="s">
        <v>683</v>
      </c>
      <c r="H1045" s="3">
        <v>10</v>
      </c>
      <c r="I1045" s="3">
        <v>15</v>
      </c>
      <c r="J1045" s="3">
        <v>25</v>
      </c>
      <c r="K1045" s="3">
        <v>0.6</v>
      </c>
      <c r="L1045">
        <f t="shared" si="170"/>
        <v>3.7499999999999999E-3</v>
      </c>
      <c r="M1045">
        <f t="shared" si="167"/>
        <v>1.8749999999999999E-2</v>
      </c>
      <c r="N1045" s="8">
        <v>5</v>
      </c>
      <c r="O1045" s="14">
        <f t="shared" si="171"/>
        <v>1485</v>
      </c>
      <c r="P1045" s="8">
        <v>20</v>
      </c>
      <c r="Q1045" s="8">
        <f t="shared" si="173"/>
        <v>0.25</v>
      </c>
      <c r="R1045" s="8">
        <f t="shared" si="174"/>
        <v>3.333333333333333</v>
      </c>
      <c r="S1045" s="8">
        <f t="shared" si="172"/>
        <v>3.583333333333333</v>
      </c>
      <c r="T1045" s="22">
        <f t="shared" si="168"/>
        <v>1.0991532449076267</v>
      </c>
      <c r="U1045" s="19">
        <f t="shared" si="169"/>
        <v>6095.3893667101001</v>
      </c>
      <c r="V1045" s="29" t="s">
        <v>2983</v>
      </c>
    </row>
    <row r="1046" spans="1:22" ht="15" customHeight="1" x14ac:dyDescent="0.25">
      <c r="A1046" t="s">
        <v>518</v>
      </c>
      <c r="B1046" t="s">
        <v>1091</v>
      </c>
      <c r="C1046" t="s">
        <v>2099</v>
      </c>
      <c r="D1046" t="s">
        <v>2101</v>
      </c>
      <c r="E1046" t="s">
        <v>800</v>
      </c>
      <c r="F1046" s="5">
        <v>738</v>
      </c>
      <c r="G1046" t="s">
        <v>805</v>
      </c>
      <c r="H1046" s="3">
        <v>50</v>
      </c>
      <c r="I1046" s="3">
        <v>60</v>
      </c>
      <c r="J1046" s="3">
        <v>60</v>
      </c>
      <c r="K1046" s="3">
        <v>16</v>
      </c>
      <c r="L1046">
        <f t="shared" si="170"/>
        <v>0.18</v>
      </c>
      <c r="M1046">
        <f t="shared" si="167"/>
        <v>0.36</v>
      </c>
      <c r="N1046" s="8">
        <v>2</v>
      </c>
      <c r="O1046" s="14">
        <f t="shared" si="171"/>
        <v>1476</v>
      </c>
      <c r="P1046" s="8">
        <v>20</v>
      </c>
      <c r="Q1046" s="8">
        <f t="shared" si="173"/>
        <v>0.1</v>
      </c>
      <c r="R1046" s="8">
        <f t="shared" si="174"/>
        <v>1.3333333333333333</v>
      </c>
      <c r="S1046" s="8">
        <f t="shared" si="172"/>
        <v>1.4333333333333333</v>
      </c>
      <c r="T1046" s="22">
        <f t="shared" si="168"/>
        <v>1.0924917100900047</v>
      </c>
      <c r="U1046" s="19">
        <f t="shared" si="169"/>
        <v>6096.4818584201903</v>
      </c>
      <c r="V1046" s="29" t="s">
        <v>2983</v>
      </c>
    </row>
    <row r="1047" spans="1:22" ht="15" customHeight="1" x14ac:dyDescent="0.25">
      <c r="A1047" t="s">
        <v>518</v>
      </c>
      <c r="B1047" t="s">
        <v>637</v>
      </c>
      <c r="C1047" t="s">
        <v>2262</v>
      </c>
      <c r="D1047" t="s">
        <v>645</v>
      </c>
      <c r="E1047" t="s">
        <v>480</v>
      </c>
      <c r="F1047" s="5">
        <v>36</v>
      </c>
      <c r="G1047" t="s">
        <v>305</v>
      </c>
      <c r="H1047" s="3">
        <v>5.5</v>
      </c>
      <c r="I1047" s="3">
        <v>140</v>
      </c>
      <c r="J1047" s="3">
        <v>40</v>
      </c>
      <c r="K1047" s="3">
        <v>9</v>
      </c>
      <c r="L1047">
        <f t="shared" si="170"/>
        <v>3.0800000000000001E-2</v>
      </c>
      <c r="M1047">
        <f t="shared" si="167"/>
        <v>1.232</v>
      </c>
      <c r="N1047" s="8">
        <v>40</v>
      </c>
      <c r="O1047" s="14">
        <f t="shared" si="171"/>
        <v>1440</v>
      </c>
      <c r="P1047" s="8">
        <v>20</v>
      </c>
      <c r="Q1047" s="8">
        <f t="shared" si="173"/>
        <v>2</v>
      </c>
      <c r="R1047" s="8">
        <f t="shared" si="174"/>
        <v>26.666666666666664</v>
      </c>
      <c r="S1047" s="8">
        <f t="shared" si="172"/>
        <v>28.666666666666664</v>
      </c>
      <c r="T1047" s="22">
        <f t="shared" si="168"/>
        <v>1.0658455708195169</v>
      </c>
      <c r="U1047" s="19">
        <f t="shared" si="169"/>
        <v>6097.5477039910102</v>
      </c>
      <c r="V1047" s="29" t="s">
        <v>2983</v>
      </c>
    </row>
    <row r="1048" spans="1:22" ht="15" customHeight="1" x14ac:dyDescent="0.25">
      <c r="A1048" t="s">
        <v>518</v>
      </c>
      <c r="B1048" t="s">
        <v>1091</v>
      </c>
      <c r="C1048" t="s">
        <v>2136</v>
      </c>
      <c r="D1048" t="s">
        <v>2137</v>
      </c>
      <c r="E1048" t="s">
        <v>833</v>
      </c>
      <c r="F1048" s="5">
        <v>15</v>
      </c>
      <c r="G1048" t="s">
        <v>822</v>
      </c>
      <c r="H1048" s="3">
        <v>33.5</v>
      </c>
      <c r="I1048" s="3">
        <v>45.1</v>
      </c>
      <c r="J1048" s="3">
        <v>8</v>
      </c>
      <c r="K1048" s="3">
        <v>3.3</v>
      </c>
      <c r="L1048">
        <f t="shared" si="170"/>
        <v>1.2086800000000002E-2</v>
      </c>
      <c r="M1048">
        <f t="shared" si="167"/>
        <v>1.1482460000000001</v>
      </c>
      <c r="N1048" s="8">
        <v>95</v>
      </c>
      <c r="O1048" s="14">
        <f t="shared" si="171"/>
        <v>1425</v>
      </c>
      <c r="P1048" s="8">
        <v>20</v>
      </c>
      <c r="Q1048" s="8">
        <f t="shared" si="173"/>
        <v>4.75</v>
      </c>
      <c r="R1048" s="8">
        <f t="shared" si="174"/>
        <v>63.333333333333329</v>
      </c>
      <c r="S1048" s="8">
        <f t="shared" si="172"/>
        <v>68.083333333333329</v>
      </c>
      <c r="T1048" s="22">
        <f t="shared" si="168"/>
        <v>1.0547430127901469</v>
      </c>
      <c r="U1048" s="19">
        <f t="shared" si="169"/>
        <v>6098.6024470038001</v>
      </c>
      <c r="V1048" s="29" t="s">
        <v>2983</v>
      </c>
    </row>
    <row r="1049" spans="1:22" ht="15" customHeight="1" x14ac:dyDescent="0.25">
      <c r="A1049" t="s">
        <v>518</v>
      </c>
      <c r="B1049" t="s">
        <v>1091</v>
      </c>
      <c r="C1049" t="s">
        <v>2138</v>
      </c>
      <c r="D1049" t="s">
        <v>2137</v>
      </c>
      <c r="E1049" t="s">
        <v>833</v>
      </c>
      <c r="F1049" s="5">
        <v>15</v>
      </c>
      <c r="G1049" t="s">
        <v>822</v>
      </c>
      <c r="H1049" s="3">
        <v>33.5</v>
      </c>
      <c r="I1049" s="3">
        <v>45.1</v>
      </c>
      <c r="J1049" s="3">
        <v>8</v>
      </c>
      <c r="K1049" s="3">
        <v>3.3</v>
      </c>
      <c r="L1049">
        <f t="shared" si="170"/>
        <v>1.2086800000000002E-2</v>
      </c>
      <c r="M1049">
        <f t="shared" si="167"/>
        <v>1.1482460000000001</v>
      </c>
      <c r="N1049" s="8">
        <v>95</v>
      </c>
      <c r="O1049" s="14">
        <f t="shared" si="171"/>
        <v>1425</v>
      </c>
      <c r="P1049" s="8">
        <v>20</v>
      </c>
      <c r="Q1049" s="8">
        <f t="shared" si="173"/>
        <v>4.75</v>
      </c>
      <c r="R1049" s="8">
        <f t="shared" si="174"/>
        <v>63.333333333333329</v>
      </c>
      <c r="S1049" s="8">
        <f t="shared" si="172"/>
        <v>68.083333333333329</v>
      </c>
      <c r="T1049" s="22">
        <f t="shared" si="168"/>
        <v>1.0547430127901469</v>
      </c>
      <c r="U1049" s="19">
        <f t="shared" si="169"/>
        <v>6099.65719001659</v>
      </c>
      <c r="V1049" s="29" t="s">
        <v>2983</v>
      </c>
    </row>
    <row r="1050" spans="1:22" ht="15" customHeight="1" x14ac:dyDescent="0.25">
      <c r="A1050" t="s">
        <v>518</v>
      </c>
      <c r="B1050" t="s">
        <v>1091</v>
      </c>
      <c r="C1050" t="s">
        <v>2139</v>
      </c>
      <c r="D1050" t="s">
        <v>2137</v>
      </c>
      <c r="E1050" t="s">
        <v>833</v>
      </c>
      <c r="F1050" s="5">
        <v>15</v>
      </c>
      <c r="G1050" t="s">
        <v>822</v>
      </c>
      <c r="H1050" s="3">
        <v>33.5</v>
      </c>
      <c r="I1050" s="3">
        <v>45.1</v>
      </c>
      <c r="J1050" s="3">
        <v>8</v>
      </c>
      <c r="K1050" s="3">
        <v>3.3</v>
      </c>
      <c r="L1050">
        <f t="shared" si="170"/>
        <v>1.2086800000000002E-2</v>
      </c>
      <c r="M1050">
        <f t="shared" si="167"/>
        <v>1.1482460000000001</v>
      </c>
      <c r="N1050" s="8">
        <v>95</v>
      </c>
      <c r="O1050" s="14">
        <f t="shared" si="171"/>
        <v>1425</v>
      </c>
      <c r="P1050" s="8">
        <v>20</v>
      </c>
      <c r="Q1050" s="8">
        <f t="shared" si="173"/>
        <v>4.75</v>
      </c>
      <c r="R1050" s="8">
        <f t="shared" si="174"/>
        <v>63.333333333333329</v>
      </c>
      <c r="S1050" s="8">
        <f t="shared" si="172"/>
        <v>68.083333333333329</v>
      </c>
      <c r="T1050" s="22">
        <f t="shared" si="168"/>
        <v>1.0547430127901469</v>
      </c>
      <c r="U1050" s="19">
        <f t="shared" si="169"/>
        <v>6100.7119330293799</v>
      </c>
      <c r="V1050" s="29" t="s">
        <v>2983</v>
      </c>
    </row>
    <row r="1051" spans="1:22" ht="15" customHeight="1" x14ac:dyDescent="0.25">
      <c r="A1051" t="s">
        <v>518</v>
      </c>
      <c r="B1051" t="s">
        <v>1091</v>
      </c>
      <c r="C1051" t="s">
        <v>2063</v>
      </c>
      <c r="D1051" t="s">
        <v>2072</v>
      </c>
      <c r="E1051" t="s">
        <v>480</v>
      </c>
      <c r="F1051" s="5">
        <v>19.899999999999999</v>
      </c>
      <c r="G1051" t="s">
        <v>796</v>
      </c>
      <c r="H1051" s="3">
        <v>120</v>
      </c>
      <c r="I1051" s="3">
        <v>27.7</v>
      </c>
      <c r="J1051" s="3">
        <v>1.5</v>
      </c>
      <c r="K1051" s="3">
        <v>1.73</v>
      </c>
      <c r="L1051">
        <f t="shared" si="170"/>
        <v>4.986E-3</v>
      </c>
      <c r="M1051">
        <f t="shared" si="167"/>
        <v>0.34902</v>
      </c>
      <c r="N1051" s="8">
        <v>70</v>
      </c>
      <c r="O1051" s="14">
        <f t="shared" si="171"/>
        <v>1393</v>
      </c>
      <c r="P1051" s="8">
        <v>20</v>
      </c>
      <c r="Q1051" s="8">
        <f t="shared" si="173"/>
        <v>3.5</v>
      </c>
      <c r="R1051" s="8">
        <f t="shared" si="174"/>
        <v>46.666666666666671</v>
      </c>
      <c r="S1051" s="8">
        <f t="shared" si="172"/>
        <v>50.166666666666671</v>
      </c>
      <c r="T1051" s="22">
        <f t="shared" si="168"/>
        <v>1.0310575556608244</v>
      </c>
      <c r="U1051" s="19">
        <f t="shared" si="169"/>
        <v>6101.7429905850404</v>
      </c>
      <c r="V1051" s="29" t="s">
        <v>2983</v>
      </c>
    </row>
    <row r="1052" spans="1:22" ht="15" customHeight="1" x14ac:dyDescent="0.25">
      <c r="A1052" t="s">
        <v>518</v>
      </c>
      <c r="B1052" t="s">
        <v>1091</v>
      </c>
      <c r="C1052" t="s">
        <v>2099</v>
      </c>
      <c r="D1052" t="s">
        <v>799</v>
      </c>
      <c r="E1052" t="s">
        <v>800</v>
      </c>
      <c r="F1052" s="5">
        <v>675.8</v>
      </c>
      <c r="G1052" t="s">
        <v>801</v>
      </c>
      <c r="H1052" s="3">
        <v>50</v>
      </c>
      <c r="I1052" s="3">
        <v>60</v>
      </c>
      <c r="J1052" s="3">
        <v>60</v>
      </c>
      <c r="K1052" s="3">
        <v>15.6</v>
      </c>
      <c r="L1052">
        <f t="shared" si="170"/>
        <v>0.18</v>
      </c>
      <c r="M1052">
        <f t="shared" si="167"/>
        <v>0.36</v>
      </c>
      <c r="N1052" s="8">
        <v>2</v>
      </c>
      <c r="O1052" s="14">
        <f t="shared" si="171"/>
        <v>1351.6</v>
      </c>
      <c r="P1052" s="8">
        <v>20</v>
      </c>
      <c r="Q1052" s="8">
        <f t="shared" si="173"/>
        <v>0.1</v>
      </c>
      <c r="R1052" s="8">
        <f t="shared" si="174"/>
        <v>1.3333333333333333</v>
      </c>
      <c r="S1052" s="8">
        <f t="shared" si="172"/>
        <v>1.4333333333333333</v>
      </c>
      <c r="T1052" s="22">
        <f t="shared" si="168"/>
        <v>1.0004144954997631</v>
      </c>
      <c r="U1052" s="19">
        <f t="shared" si="169"/>
        <v>6102.7434050805405</v>
      </c>
      <c r="V1052" s="29" t="s">
        <v>2983</v>
      </c>
    </row>
    <row r="1053" spans="1:22" ht="15" customHeight="1" x14ac:dyDescent="0.25">
      <c r="A1053" t="s">
        <v>518</v>
      </c>
      <c r="B1053" t="s">
        <v>1090</v>
      </c>
      <c r="C1053" t="s">
        <v>771</v>
      </c>
      <c r="D1053" t="s">
        <v>545</v>
      </c>
      <c r="E1053" t="s">
        <v>234</v>
      </c>
      <c r="F1053" s="5">
        <v>267</v>
      </c>
      <c r="G1053" t="s">
        <v>683</v>
      </c>
      <c r="H1053" s="3">
        <v>10</v>
      </c>
      <c r="I1053" s="3">
        <v>15</v>
      </c>
      <c r="J1053" s="3">
        <v>25</v>
      </c>
      <c r="K1053" s="3">
        <v>0.6</v>
      </c>
      <c r="L1053">
        <f t="shared" si="170"/>
        <v>3.7499999999999999E-3</v>
      </c>
      <c r="M1053">
        <f t="shared" si="167"/>
        <v>1.8749999999999999E-2</v>
      </c>
      <c r="N1053" s="8">
        <v>5</v>
      </c>
      <c r="O1053" s="14">
        <f t="shared" si="171"/>
        <v>1335</v>
      </c>
      <c r="P1053" s="8">
        <v>20</v>
      </c>
      <c r="Q1053" s="8">
        <f t="shared" si="173"/>
        <v>0.25</v>
      </c>
      <c r="R1053" s="8">
        <f t="shared" si="174"/>
        <v>3.333333333333333</v>
      </c>
      <c r="S1053" s="8">
        <f t="shared" si="172"/>
        <v>3.583333333333333</v>
      </c>
      <c r="T1053" s="22">
        <f t="shared" si="168"/>
        <v>0.98812766461392709</v>
      </c>
      <c r="U1053" s="19">
        <f t="shared" si="169"/>
        <v>6103.7315327451543</v>
      </c>
      <c r="V1053" s="29" t="s">
        <v>2983</v>
      </c>
    </row>
    <row r="1054" spans="1:22" ht="15" customHeight="1" x14ac:dyDescent="0.25">
      <c r="A1054" t="s">
        <v>518</v>
      </c>
      <c r="B1054" t="s">
        <v>1091</v>
      </c>
      <c r="C1054" t="s">
        <v>2196</v>
      </c>
      <c r="D1054" t="s">
        <v>2197</v>
      </c>
      <c r="E1054" t="s">
        <v>833</v>
      </c>
      <c r="F1054" s="5">
        <v>13.99</v>
      </c>
      <c r="G1054" t="s">
        <v>606</v>
      </c>
      <c r="H1054" s="3">
        <v>1.5</v>
      </c>
      <c r="I1054" s="3">
        <v>25.7</v>
      </c>
      <c r="J1054" s="3">
        <v>12</v>
      </c>
      <c r="K1054" s="3">
        <v>3.2</v>
      </c>
      <c r="L1054">
        <f t="shared" si="170"/>
        <v>4.6259999999999997E-4</v>
      </c>
      <c r="M1054">
        <f t="shared" si="167"/>
        <v>4.3947E-2</v>
      </c>
      <c r="N1054" s="8">
        <v>95</v>
      </c>
      <c r="O1054" s="14">
        <f t="shared" si="171"/>
        <v>1329.05</v>
      </c>
      <c r="P1054" s="8">
        <v>20</v>
      </c>
      <c r="Q1054" s="8">
        <f t="shared" si="173"/>
        <v>4.75</v>
      </c>
      <c r="R1054" s="8">
        <f t="shared" si="174"/>
        <v>63.333333333333329</v>
      </c>
      <c r="S1054" s="8">
        <f t="shared" si="172"/>
        <v>68.083333333333329</v>
      </c>
      <c r="T1054" s="22">
        <f t="shared" si="168"/>
        <v>0.98372364992894357</v>
      </c>
      <c r="U1054" s="19">
        <f t="shared" si="169"/>
        <v>6104.7152563950831</v>
      </c>
      <c r="V1054" s="29" t="s">
        <v>2983</v>
      </c>
    </row>
    <row r="1055" spans="1:22" ht="15" customHeight="1" x14ac:dyDescent="0.25">
      <c r="A1055" t="s">
        <v>518</v>
      </c>
      <c r="B1055" t="s">
        <v>1090</v>
      </c>
      <c r="C1055" t="s">
        <v>2331</v>
      </c>
      <c r="D1055" t="s">
        <v>2334</v>
      </c>
      <c r="E1055" t="s">
        <v>2330</v>
      </c>
      <c r="F1055" s="5">
        <v>329</v>
      </c>
      <c r="G1055" t="s">
        <v>683</v>
      </c>
      <c r="H1055" s="3">
        <v>16</v>
      </c>
      <c r="I1055" s="3">
        <v>600</v>
      </c>
      <c r="J1055" s="3">
        <v>16</v>
      </c>
      <c r="K1055" s="3">
        <v>27.18</v>
      </c>
      <c r="L1055">
        <f t="shared" si="170"/>
        <v>0.15359999999999999</v>
      </c>
      <c r="M1055">
        <f t="shared" si="167"/>
        <v>0.61439999999999995</v>
      </c>
      <c r="N1055" s="8">
        <v>4</v>
      </c>
      <c r="O1055" s="14">
        <f t="shared" si="171"/>
        <v>1316</v>
      </c>
      <c r="P1055" s="8">
        <v>20</v>
      </c>
      <c r="Q1055" s="8">
        <f t="shared" si="173"/>
        <v>0.2</v>
      </c>
      <c r="R1055" s="8">
        <f t="shared" si="174"/>
        <v>2.6666666666666665</v>
      </c>
      <c r="S1055" s="8">
        <f t="shared" si="172"/>
        <v>2.8666666666666667</v>
      </c>
      <c r="T1055" s="22">
        <f t="shared" si="168"/>
        <v>0.97406442444339181</v>
      </c>
      <c r="U1055" s="19">
        <f t="shared" si="169"/>
        <v>6105.6893208195261</v>
      </c>
      <c r="V1055" s="29" t="s">
        <v>2983</v>
      </c>
    </row>
    <row r="1056" spans="1:22" ht="15" customHeight="1" x14ac:dyDescent="0.25">
      <c r="A1056" t="s">
        <v>518</v>
      </c>
      <c r="B1056" t="s">
        <v>1090</v>
      </c>
      <c r="C1056" t="s">
        <v>777</v>
      </c>
      <c r="D1056" t="s">
        <v>605</v>
      </c>
      <c r="E1056" t="s">
        <v>13</v>
      </c>
      <c r="F1056" s="5">
        <v>259.89999999999998</v>
      </c>
      <c r="G1056" t="s">
        <v>140</v>
      </c>
      <c r="H1056" s="3">
        <v>50</v>
      </c>
      <c r="I1056" s="3">
        <v>53.5</v>
      </c>
      <c r="J1056" s="3">
        <v>50</v>
      </c>
      <c r="K1056" s="3">
        <v>22</v>
      </c>
      <c r="L1056">
        <f t="shared" si="170"/>
        <v>0.13375000000000001</v>
      </c>
      <c r="M1056">
        <f t="shared" si="167"/>
        <v>0.66875000000000007</v>
      </c>
      <c r="N1056" s="8">
        <v>5</v>
      </c>
      <c r="O1056" s="14">
        <f t="shared" si="171"/>
        <v>1299.5</v>
      </c>
      <c r="P1056" s="8">
        <v>20</v>
      </c>
      <c r="Q1056" s="8">
        <f t="shared" si="173"/>
        <v>0.25</v>
      </c>
      <c r="R1056" s="8">
        <f t="shared" si="174"/>
        <v>3.333333333333333</v>
      </c>
      <c r="S1056" s="8">
        <f t="shared" si="172"/>
        <v>3.583333333333333</v>
      </c>
      <c r="T1056" s="22">
        <f t="shared" si="168"/>
        <v>0.96185161061108482</v>
      </c>
      <c r="U1056" s="19">
        <f t="shared" si="169"/>
        <v>6106.6511724301372</v>
      </c>
      <c r="V1056" s="29" t="s">
        <v>2983</v>
      </c>
    </row>
    <row r="1057" spans="1:22" ht="15" customHeight="1" x14ac:dyDescent="0.25">
      <c r="A1057" t="s">
        <v>518</v>
      </c>
      <c r="B1057" t="s">
        <v>1090</v>
      </c>
      <c r="C1057" t="s">
        <v>776</v>
      </c>
      <c r="D1057" t="s">
        <v>602</v>
      </c>
      <c r="E1057" t="s">
        <v>13</v>
      </c>
      <c r="F1057" s="5">
        <v>319.89999999999998</v>
      </c>
      <c r="G1057" t="s">
        <v>678</v>
      </c>
      <c r="H1057" s="3">
        <v>0.2</v>
      </c>
      <c r="I1057" s="3">
        <v>36.4</v>
      </c>
      <c r="J1057" s="3">
        <v>0.53</v>
      </c>
      <c r="K1057" s="3">
        <v>6.2</v>
      </c>
      <c r="L1057">
        <f t="shared" si="170"/>
        <v>3.8584000000000002E-6</v>
      </c>
      <c r="M1057">
        <f t="shared" si="167"/>
        <v>1.5433600000000001E-5</v>
      </c>
      <c r="N1057" s="8">
        <v>4</v>
      </c>
      <c r="O1057" s="14">
        <f t="shared" si="171"/>
        <v>1279.5999999999999</v>
      </c>
      <c r="P1057" s="8">
        <v>20</v>
      </c>
      <c r="Q1057" s="8">
        <f t="shared" si="173"/>
        <v>0.2</v>
      </c>
      <c r="R1057" s="8">
        <f t="shared" si="174"/>
        <v>2.6666666666666665</v>
      </c>
      <c r="S1057" s="8">
        <f t="shared" si="172"/>
        <v>2.8666666666666667</v>
      </c>
      <c r="T1057" s="22">
        <f t="shared" si="168"/>
        <v>0.94712221695878729</v>
      </c>
      <c r="U1057" s="19">
        <f t="shared" si="169"/>
        <v>6107.5982946470958</v>
      </c>
      <c r="V1057" s="29" t="s">
        <v>2983</v>
      </c>
    </row>
    <row r="1058" spans="1:22" ht="15" customHeight="1" x14ac:dyDescent="0.25">
      <c r="A1058" t="s">
        <v>518</v>
      </c>
      <c r="B1058" t="s">
        <v>637</v>
      </c>
      <c r="C1058" t="s">
        <v>2250</v>
      </c>
      <c r="D1058" t="s">
        <v>1312</v>
      </c>
      <c r="E1058" t="s">
        <v>234</v>
      </c>
      <c r="F1058" s="5">
        <v>17</v>
      </c>
      <c r="G1058" t="s">
        <v>2244</v>
      </c>
      <c r="H1058" s="3">
        <v>20</v>
      </c>
      <c r="I1058" s="3">
        <v>28</v>
      </c>
      <c r="J1058" s="3">
        <v>20</v>
      </c>
      <c r="K1058" s="3">
        <v>1.12E-2</v>
      </c>
      <c r="L1058">
        <f t="shared" si="170"/>
        <v>1.12E-2</v>
      </c>
      <c r="M1058">
        <f t="shared" si="167"/>
        <v>0.84</v>
      </c>
      <c r="N1058" s="8">
        <v>75</v>
      </c>
      <c r="O1058" s="14">
        <f t="shared" si="171"/>
        <v>1275</v>
      </c>
      <c r="P1058" s="8">
        <v>20</v>
      </c>
      <c r="Q1058" s="8">
        <f t="shared" si="173"/>
        <v>3.75</v>
      </c>
      <c r="R1058" s="8">
        <f t="shared" si="174"/>
        <v>50</v>
      </c>
      <c r="S1058" s="8">
        <f t="shared" si="172"/>
        <v>53.75</v>
      </c>
      <c r="T1058" s="22">
        <f t="shared" si="168"/>
        <v>0.94371743249644724</v>
      </c>
      <c r="U1058" s="19">
        <f t="shared" si="169"/>
        <v>6108.5420120795925</v>
      </c>
      <c r="V1058" s="29" t="s">
        <v>2983</v>
      </c>
    </row>
    <row r="1059" spans="1:22" ht="15" customHeight="1" x14ac:dyDescent="0.25">
      <c r="A1059" t="s">
        <v>518</v>
      </c>
      <c r="B1059" t="s">
        <v>1091</v>
      </c>
      <c r="C1059" t="s">
        <v>2063</v>
      </c>
      <c r="D1059" t="s">
        <v>2071</v>
      </c>
      <c r="E1059" t="s">
        <v>480</v>
      </c>
      <c r="F1059" s="5">
        <v>18.2</v>
      </c>
      <c r="G1059" t="s">
        <v>796</v>
      </c>
      <c r="H1059" s="3">
        <v>140</v>
      </c>
      <c r="I1059" s="3">
        <v>25</v>
      </c>
      <c r="J1059" s="3">
        <v>1.5</v>
      </c>
      <c r="K1059" s="3">
        <v>1.86</v>
      </c>
      <c r="L1059">
        <f t="shared" si="170"/>
        <v>5.2500000000000003E-3</v>
      </c>
      <c r="M1059">
        <f t="shared" si="167"/>
        <v>0.36750000000000005</v>
      </c>
      <c r="N1059" s="8">
        <v>70</v>
      </c>
      <c r="O1059" s="14">
        <f t="shared" si="171"/>
        <v>1274</v>
      </c>
      <c r="P1059" s="8">
        <v>20</v>
      </c>
      <c r="Q1059" s="8">
        <f t="shared" si="173"/>
        <v>3.5</v>
      </c>
      <c r="R1059" s="8">
        <f t="shared" si="174"/>
        <v>46.666666666666671</v>
      </c>
      <c r="S1059" s="8">
        <f t="shared" si="172"/>
        <v>50.166666666666671</v>
      </c>
      <c r="T1059" s="22">
        <f t="shared" si="168"/>
        <v>0.94297726196115583</v>
      </c>
      <c r="U1059" s="19">
        <f t="shared" si="169"/>
        <v>6109.484989341554</v>
      </c>
      <c r="V1059" s="29" t="s">
        <v>2983</v>
      </c>
    </row>
    <row r="1060" spans="1:22" ht="15" customHeight="1" x14ac:dyDescent="0.25">
      <c r="A1060" t="s">
        <v>518</v>
      </c>
      <c r="B1060" t="s">
        <v>1091</v>
      </c>
      <c r="C1060" t="s">
        <v>2099</v>
      </c>
      <c r="D1060" t="s">
        <v>804</v>
      </c>
      <c r="E1060" t="s">
        <v>800</v>
      </c>
      <c r="F1060" s="5">
        <v>620</v>
      </c>
      <c r="G1060" t="s">
        <v>801</v>
      </c>
      <c r="H1060" s="3">
        <v>50</v>
      </c>
      <c r="I1060" s="3">
        <v>60</v>
      </c>
      <c r="J1060" s="3">
        <v>60</v>
      </c>
      <c r="K1060" s="3">
        <v>16</v>
      </c>
      <c r="L1060">
        <f t="shared" si="170"/>
        <v>0.18</v>
      </c>
      <c r="M1060">
        <f t="shared" si="167"/>
        <v>0.36</v>
      </c>
      <c r="N1060" s="8">
        <v>2</v>
      </c>
      <c r="O1060" s="14">
        <f t="shared" si="171"/>
        <v>1240</v>
      </c>
      <c r="P1060" s="8">
        <v>20</v>
      </c>
      <c r="Q1060" s="8">
        <f t="shared" si="173"/>
        <v>0.1</v>
      </c>
      <c r="R1060" s="8">
        <f t="shared" si="174"/>
        <v>1.3333333333333333</v>
      </c>
      <c r="S1060" s="8">
        <f t="shared" si="172"/>
        <v>1.4333333333333333</v>
      </c>
      <c r="T1060" s="22">
        <f t="shared" si="168"/>
        <v>0.91781146376125067</v>
      </c>
      <c r="U1060" s="19">
        <f t="shared" si="169"/>
        <v>6110.4028008053156</v>
      </c>
      <c r="V1060" s="29" t="s">
        <v>2983</v>
      </c>
    </row>
    <row r="1061" spans="1:22" ht="15" customHeight="1" x14ac:dyDescent="0.25">
      <c r="A1061" t="s">
        <v>518</v>
      </c>
      <c r="B1061" t="s">
        <v>1091</v>
      </c>
      <c r="C1061" t="s">
        <v>2073</v>
      </c>
      <c r="D1061" t="s">
        <v>2077</v>
      </c>
      <c r="E1061" t="s">
        <v>480</v>
      </c>
      <c r="F1061" s="5">
        <v>24.74</v>
      </c>
      <c r="G1061" t="s">
        <v>512</v>
      </c>
      <c r="H1061" s="3">
        <v>1.3</v>
      </c>
      <c r="I1061" s="3">
        <v>19.2</v>
      </c>
      <c r="J1061" s="3">
        <v>19.5</v>
      </c>
      <c r="K1061" s="3">
        <v>1.52</v>
      </c>
      <c r="L1061">
        <f t="shared" si="170"/>
        <v>4.8671999999999995E-4</v>
      </c>
      <c r="M1061">
        <f t="shared" si="167"/>
        <v>2.4335999999999997E-2</v>
      </c>
      <c r="N1061" s="8">
        <v>50</v>
      </c>
      <c r="O1061" s="14">
        <f t="shared" si="171"/>
        <v>1237</v>
      </c>
      <c r="P1061" s="8">
        <v>20</v>
      </c>
      <c r="Q1061" s="8">
        <f t="shared" si="173"/>
        <v>2.5</v>
      </c>
      <c r="R1061" s="8">
        <f t="shared" si="174"/>
        <v>33.333333333333336</v>
      </c>
      <c r="S1061" s="8">
        <f t="shared" si="172"/>
        <v>35.833333333333336</v>
      </c>
      <c r="T1061" s="22">
        <f t="shared" si="168"/>
        <v>0.91559095215537667</v>
      </c>
      <c r="U1061" s="19">
        <f t="shared" si="169"/>
        <v>6111.3183917574706</v>
      </c>
      <c r="V1061" s="29" t="s">
        <v>2983</v>
      </c>
    </row>
    <row r="1062" spans="1:22" ht="15" customHeight="1" x14ac:dyDescent="0.25">
      <c r="A1062" t="s">
        <v>518</v>
      </c>
      <c r="B1062" t="s">
        <v>1091</v>
      </c>
      <c r="C1062" t="s">
        <v>2206</v>
      </c>
      <c r="D1062" t="s">
        <v>2207</v>
      </c>
      <c r="E1062" t="s">
        <v>833</v>
      </c>
      <c r="F1062" s="5">
        <v>12.89</v>
      </c>
      <c r="G1062" t="s">
        <v>606</v>
      </c>
      <c r="H1062" s="3">
        <v>5</v>
      </c>
      <c r="I1062" s="3">
        <v>30</v>
      </c>
      <c r="J1062" s="3">
        <v>18</v>
      </c>
      <c r="K1062" s="3">
        <v>2.5</v>
      </c>
      <c r="L1062">
        <f t="shared" si="170"/>
        <v>2.7000000000000001E-3</v>
      </c>
      <c r="M1062">
        <f t="shared" si="167"/>
        <v>0.25650000000000001</v>
      </c>
      <c r="N1062" s="8">
        <v>95</v>
      </c>
      <c r="O1062" s="14">
        <f t="shared" si="171"/>
        <v>1224.55</v>
      </c>
      <c r="P1062" s="8">
        <v>20</v>
      </c>
      <c r="Q1062" s="8">
        <f t="shared" si="173"/>
        <v>4.75</v>
      </c>
      <c r="R1062" s="8">
        <f t="shared" si="174"/>
        <v>63.333333333333329</v>
      </c>
      <c r="S1062" s="8">
        <f t="shared" si="172"/>
        <v>68.083333333333329</v>
      </c>
      <c r="T1062" s="22">
        <f t="shared" si="168"/>
        <v>0.90637582899099955</v>
      </c>
      <c r="U1062" s="19">
        <f t="shared" si="169"/>
        <v>6112.2247675864619</v>
      </c>
      <c r="V1062" s="29" t="s">
        <v>2983</v>
      </c>
    </row>
    <row r="1063" spans="1:22" ht="15" customHeight="1" x14ac:dyDescent="0.25">
      <c r="A1063" t="s">
        <v>518</v>
      </c>
      <c r="B1063" t="s">
        <v>1091</v>
      </c>
      <c r="C1063" t="s">
        <v>2099</v>
      </c>
      <c r="D1063" t="s">
        <v>802</v>
      </c>
      <c r="E1063" t="s">
        <v>800</v>
      </c>
      <c r="F1063" s="5">
        <v>611</v>
      </c>
      <c r="G1063" t="s">
        <v>801</v>
      </c>
      <c r="H1063" s="3">
        <v>50</v>
      </c>
      <c r="I1063" s="3">
        <v>60</v>
      </c>
      <c r="J1063" s="3">
        <v>60</v>
      </c>
      <c r="K1063" s="3">
        <v>15.2</v>
      </c>
      <c r="L1063">
        <f t="shared" si="170"/>
        <v>0.18</v>
      </c>
      <c r="M1063">
        <f t="shared" si="167"/>
        <v>0.36</v>
      </c>
      <c r="N1063" s="8">
        <v>2</v>
      </c>
      <c r="O1063" s="14">
        <f t="shared" si="171"/>
        <v>1222</v>
      </c>
      <c r="P1063" s="8">
        <v>20</v>
      </c>
      <c r="Q1063" s="8">
        <f t="shared" ref="Q1063:Q1094" si="175">N1063/P1063</f>
        <v>0.1</v>
      </c>
      <c r="R1063" s="8">
        <f t="shared" ref="R1063:R1094" si="176">(N1063/30)*P1063</f>
        <v>1.3333333333333333</v>
      </c>
      <c r="S1063" s="8">
        <f t="shared" si="172"/>
        <v>1.4333333333333333</v>
      </c>
      <c r="T1063" s="22">
        <f t="shared" si="168"/>
        <v>0.90448839412600668</v>
      </c>
      <c r="U1063" s="19">
        <f t="shared" si="169"/>
        <v>6113.1292559805879</v>
      </c>
      <c r="V1063" s="29" t="s">
        <v>2983</v>
      </c>
    </row>
    <row r="1064" spans="1:22" ht="15" customHeight="1" x14ac:dyDescent="0.25">
      <c r="A1064" t="s">
        <v>518</v>
      </c>
      <c r="B1064" t="s">
        <v>1091</v>
      </c>
      <c r="C1064" t="s">
        <v>2073</v>
      </c>
      <c r="D1064" t="s">
        <v>1549</v>
      </c>
      <c r="E1064" t="s">
        <v>480</v>
      </c>
      <c r="F1064" s="5">
        <v>24.1</v>
      </c>
      <c r="G1064" t="s">
        <v>797</v>
      </c>
      <c r="H1064" s="3">
        <v>1.5</v>
      </c>
      <c r="I1064" s="3">
        <v>25.5</v>
      </c>
      <c r="J1064" s="3">
        <v>17.5</v>
      </c>
      <c r="K1064" s="3">
        <v>1.95</v>
      </c>
      <c r="L1064">
        <f t="shared" si="170"/>
        <v>6.6937500000000005E-4</v>
      </c>
      <c r="M1064">
        <f t="shared" si="167"/>
        <v>3.3468750000000005E-2</v>
      </c>
      <c r="N1064" s="8">
        <v>50</v>
      </c>
      <c r="O1064" s="14">
        <f t="shared" si="171"/>
        <v>1205</v>
      </c>
      <c r="P1064" s="8">
        <v>20</v>
      </c>
      <c r="Q1064" s="8">
        <f t="shared" si="175"/>
        <v>2.5</v>
      </c>
      <c r="R1064" s="8">
        <f t="shared" si="176"/>
        <v>33.333333333333336</v>
      </c>
      <c r="S1064" s="8">
        <f t="shared" si="172"/>
        <v>35.833333333333336</v>
      </c>
      <c r="T1064" s="22">
        <f t="shared" si="168"/>
        <v>0.89190549502605398</v>
      </c>
      <c r="U1064" s="19">
        <f t="shared" si="169"/>
        <v>6114.0211614756136</v>
      </c>
      <c r="V1064" s="29" t="s">
        <v>2983</v>
      </c>
    </row>
    <row r="1065" spans="1:22" ht="15" customHeight="1" x14ac:dyDescent="0.25">
      <c r="A1065" t="s">
        <v>518</v>
      </c>
      <c r="B1065" t="s">
        <v>637</v>
      </c>
      <c r="C1065" t="s">
        <v>2248</v>
      </c>
      <c r="D1065" t="s">
        <v>1310</v>
      </c>
      <c r="E1065" t="s">
        <v>234</v>
      </c>
      <c r="F1065" s="5">
        <v>15</v>
      </c>
      <c r="G1065" t="s">
        <v>2244</v>
      </c>
      <c r="H1065" s="3">
        <v>15</v>
      </c>
      <c r="I1065" s="3">
        <v>23</v>
      </c>
      <c r="J1065" s="3">
        <v>15</v>
      </c>
      <c r="K1065" s="3">
        <v>5.1749999999999999E-3</v>
      </c>
      <c r="L1065">
        <f t="shared" si="170"/>
        <v>5.1749999999999999E-3</v>
      </c>
      <c r="M1065">
        <f t="shared" si="167"/>
        <v>0.41399999999999998</v>
      </c>
      <c r="N1065" s="8">
        <v>80</v>
      </c>
      <c r="O1065" s="14">
        <f t="shared" si="171"/>
        <v>1200</v>
      </c>
      <c r="P1065" s="8">
        <v>20</v>
      </c>
      <c r="Q1065" s="8">
        <f t="shared" si="175"/>
        <v>4</v>
      </c>
      <c r="R1065" s="8">
        <f t="shared" si="176"/>
        <v>53.333333333333329</v>
      </c>
      <c r="S1065" s="8">
        <f t="shared" si="172"/>
        <v>57.333333333333329</v>
      </c>
      <c r="T1065" s="22">
        <f t="shared" si="168"/>
        <v>0.8882046423495974</v>
      </c>
      <c r="U1065" s="19">
        <f t="shared" si="169"/>
        <v>6114.9093661179631</v>
      </c>
      <c r="V1065" s="29" t="s">
        <v>2983</v>
      </c>
    </row>
    <row r="1066" spans="1:22" ht="15" customHeight="1" x14ac:dyDescent="0.25">
      <c r="A1066" t="s">
        <v>518</v>
      </c>
      <c r="B1066" t="s">
        <v>1090</v>
      </c>
      <c r="C1066" t="s">
        <v>2423</v>
      </c>
      <c r="D1066" t="s">
        <v>2418</v>
      </c>
      <c r="E1066" t="s">
        <v>234</v>
      </c>
      <c r="F1066" s="5">
        <v>240</v>
      </c>
      <c r="G1066" t="s">
        <v>140</v>
      </c>
      <c r="H1066" s="3">
        <v>50</v>
      </c>
      <c r="I1066" s="3">
        <v>114</v>
      </c>
      <c r="J1066" s="3">
        <v>45</v>
      </c>
      <c r="K1066" s="3">
        <v>8</v>
      </c>
      <c r="L1066">
        <f t="shared" si="170"/>
        <v>0.25650000000000001</v>
      </c>
      <c r="M1066">
        <f t="shared" si="167"/>
        <v>1.2825</v>
      </c>
      <c r="N1066" s="8">
        <v>5</v>
      </c>
      <c r="O1066" s="14">
        <f t="shared" si="171"/>
        <v>1200</v>
      </c>
      <c r="P1066" s="8">
        <v>20</v>
      </c>
      <c r="Q1066" s="8">
        <f t="shared" si="175"/>
        <v>0.25</v>
      </c>
      <c r="R1066" s="8">
        <f t="shared" si="176"/>
        <v>3.333333333333333</v>
      </c>
      <c r="S1066" s="8">
        <f t="shared" si="172"/>
        <v>3.583333333333333</v>
      </c>
      <c r="T1066" s="22">
        <f t="shared" si="168"/>
        <v>0.8882046423495974</v>
      </c>
      <c r="U1066" s="19">
        <f t="shared" si="169"/>
        <v>6115.7975707603127</v>
      </c>
      <c r="V1066" s="29" t="s">
        <v>2983</v>
      </c>
    </row>
    <row r="1067" spans="1:22" ht="15" customHeight="1" x14ac:dyDescent="0.25">
      <c r="A1067" t="s">
        <v>518</v>
      </c>
      <c r="B1067" t="s">
        <v>1091</v>
      </c>
      <c r="C1067" t="s">
        <v>2099</v>
      </c>
      <c r="D1067" t="s">
        <v>803</v>
      </c>
      <c r="E1067" t="s">
        <v>800</v>
      </c>
      <c r="F1067" s="5">
        <v>590</v>
      </c>
      <c r="G1067" t="s">
        <v>801</v>
      </c>
      <c r="H1067" s="3">
        <v>50</v>
      </c>
      <c r="I1067" s="3">
        <v>60</v>
      </c>
      <c r="J1067" s="3">
        <v>60</v>
      </c>
      <c r="K1067" s="3">
        <v>15.8</v>
      </c>
      <c r="L1067">
        <f t="shared" si="170"/>
        <v>0.18</v>
      </c>
      <c r="M1067">
        <f t="shared" si="167"/>
        <v>0.36</v>
      </c>
      <c r="N1067" s="8">
        <v>2</v>
      </c>
      <c r="O1067" s="14">
        <f t="shared" si="171"/>
        <v>1180</v>
      </c>
      <c r="P1067" s="8">
        <v>20</v>
      </c>
      <c r="Q1067" s="8">
        <f t="shared" si="175"/>
        <v>0.1</v>
      </c>
      <c r="R1067" s="8">
        <f t="shared" si="176"/>
        <v>1.3333333333333333</v>
      </c>
      <c r="S1067" s="8">
        <f t="shared" si="172"/>
        <v>1.4333333333333333</v>
      </c>
      <c r="T1067" s="22">
        <f t="shared" si="168"/>
        <v>0.8734012316437707</v>
      </c>
      <c r="U1067" s="19">
        <f t="shared" si="169"/>
        <v>6116.6709719919563</v>
      </c>
      <c r="V1067" s="29" t="s">
        <v>2983</v>
      </c>
    </row>
    <row r="1068" spans="1:22" ht="15" customHeight="1" x14ac:dyDescent="0.25">
      <c r="A1068" t="s">
        <v>518</v>
      </c>
      <c r="B1068" t="s">
        <v>637</v>
      </c>
      <c r="C1068" t="s">
        <v>2212</v>
      </c>
      <c r="D1068" t="s">
        <v>1250</v>
      </c>
      <c r="E1068" t="s">
        <v>2213</v>
      </c>
      <c r="F1068" s="5">
        <v>15.5</v>
      </c>
      <c r="G1068" t="s">
        <v>2216</v>
      </c>
      <c r="H1068" s="3">
        <v>25</v>
      </c>
      <c r="I1068" s="3">
        <v>600</v>
      </c>
      <c r="J1068" s="3">
        <v>0.8</v>
      </c>
      <c r="K1068" s="3">
        <v>1.2E-2</v>
      </c>
      <c r="L1068">
        <f t="shared" si="170"/>
        <v>1.2E-2</v>
      </c>
      <c r="M1068">
        <f t="shared" si="167"/>
        <v>0.9</v>
      </c>
      <c r="N1068" s="8">
        <v>75</v>
      </c>
      <c r="O1068" s="14">
        <f t="shared" si="171"/>
        <v>1162.5</v>
      </c>
      <c r="P1068" s="8">
        <v>20</v>
      </c>
      <c r="Q1068" s="8">
        <f t="shared" si="175"/>
        <v>3.75</v>
      </c>
      <c r="R1068" s="8">
        <f t="shared" si="176"/>
        <v>50</v>
      </c>
      <c r="S1068" s="8">
        <f t="shared" si="172"/>
        <v>53.75</v>
      </c>
      <c r="T1068" s="22">
        <f t="shared" si="168"/>
        <v>0.86044824727617242</v>
      </c>
      <c r="U1068" s="19">
        <f t="shared" si="169"/>
        <v>6117.5314202392328</v>
      </c>
      <c r="V1068" s="29" t="s">
        <v>2983</v>
      </c>
    </row>
    <row r="1069" spans="1:22" ht="15" customHeight="1" x14ac:dyDescent="0.25">
      <c r="A1069" t="s">
        <v>518</v>
      </c>
      <c r="B1069" t="s">
        <v>637</v>
      </c>
      <c r="C1069" t="s">
        <v>2265</v>
      </c>
      <c r="D1069" t="s">
        <v>652</v>
      </c>
      <c r="E1069" t="s">
        <v>234</v>
      </c>
      <c r="F1069" s="5">
        <v>14.5</v>
      </c>
      <c r="G1069" t="s">
        <v>305</v>
      </c>
      <c r="H1069" s="3">
        <v>15</v>
      </c>
      <c r="I1069" s="3">
        <v>20</v>
      </c>
      <c r="J1069" s="3">
        <v>25</v>
      </c>
      <c r="K1069" s="3">
        <v>7</v>
      </c>
      <c r="L1069">
        <f t="shared" si="170"/>
        <v>7.4999999999999997E-3</v>
      </c>
      <c r="M1069">
        <f t="shared" si="167"/>
        <v>0.6</v>
      </c>
      <c r="N1069" s="8">
        <v>80</v>
      </c>
      <c r="O1069" s="14">
        <f t="shared" si="171"/>
        <v>1160</v>
      </c>
      <c r="P1069" s="8">
        <v>20</v>
      </c>
      <c r="Q1069" s="8">
        <f t="shared" si="175"/>
        <v>4</v>
      </c>
      <c r="R1069" s="8">
        <f t="shared" si="176"/>
        <v>53.333333333333329</v>
      </c>
      <c r="S1069" s="8">
        <f t="shared" si="172"/>
        <v>57.333333333333329</v>
      </c>
      <c r="T1069" s="22">
        <f t="shared" si="168"/>
        <v>0.85859782093794412</v>
      </c>
      <c r="U1069" s="19">
        <f t="shared" si="169"/>
        <v>6118.3900180601704</v>
      </c>
      <c r="V1069" s="29" t="s">
        <v>2983</v>
      </c>
    </row>
    <row r="1070" spans="1:22" ht="15" customHeight="1" x14ac:dyDescent="0.25">
      <c r="A1070" t="s">
        <v>518</v>
      </c>
      <c r="B1070" t="s">
        <v>1090</v>
      </c>
      <c r="C1070" t="s">
        <v>2381</v>
      </c>
      <c r="D1070" t="s">
        <v>737</v>
      </c>
      <c r="E1070" t="s">
        <v>234</v>
      </c>
      <c r="F1070" s="5">
        <v>229</v>
      </c>
      <c r="G1070" t="s">
        <v>2379</v>
      </c>
      <c r="H1070" s="3">
        <v>120</v>
      </c>
      <c r="I1070" s="3">
        <v>80</v>
      </c>
      <c r="J1070" s="3">
        <v>100</v>
      </c>
      <c r="K1070" s="3">
        <v>17.899999999999999</v>
      </c>
      <c r="L1070">
        <f t="shared" si="170"/>
        <v>0.96</v>
      </c>
      <c r="M1070">
        <f t="shared" ref="M1070:M1133" si="177">L1070*N1070</f>
        <v>4.8</v>
      </c>
      <c r="N1070" s="8">
        <v>5</v>
      </c>
      <c r="O1070" s="14">
        <f t="shared" si="171"/>
        <v>1145</v>
      </c>
      <c r="P1070" s="8">
        <v>20</v>
      </c>
      <c r="Q1070" s="8">
        <f t="shared" si="175"/>
        <v>0.25</v>
      </c>
      <c r="R1070" s="8">
        <f t="shared" si="176"/>
        <v>3.333333333333333</v>
      </c>
      <c r="S1070" s="8">
        <f t="shared" si="172"/>
        <v>3.583333333333333</v>
      </c>
      <c r="T1070" s="22">
        <f t="shared" si="168"/>
        <v>0.84749526290857413</v>
      </c>
      <c r="U1070" s="19">
        <f t="shared" si="169"/>
        <v>6119.2375133230789</v>
      </c>
      <c r="V1070" s="29" t="s">
        <v>2983</v>
      </c>
    </row>
    <row r="1071" spans="1:22" ht="15" customHeight="1" x14ac:dyDescent="0.25">
      <c r="A1071" t="s">
        <v>518</v>
      </c>
      <c r="B1071" t="s">
        <v>1090</v>
      </c>
      <c r="C1071" t="s">
        <v>2374</v>
      </c>
      <c r="D1071" t="s">
        <v>2375</v>
      </c>
      <c r="E1071" t="s">
        <v>234</v>
      </c>
      <c r="F1071" s="5">
        <v>229</v>
      </c>
      <c r="G1071" t="s">
        <v>683</v>
      </c>
      <c r="H1071" s="3">
        <v>100</v>
      </c>
      <c r="I1071" s="3">
        <v>100</v>
      </c>
      <c r="J1071" s="3">
        <v>100</v>
      </c>
      <c r="K1071" s="3">
        <v>9.6999999999999993</v>
      </c>
      <c r="L1071">
        <f t="shared" si="170"/>
        <v>1</v>
      </c>
      <c r="M1071">
        <f t="shared" si="177"/>
        <v>5</v>
      </c>
      <c r="N1071" s="8">
        <v>5</v>
      </c>
      <c r="O1071" s="14">
        <f t="shared" si="171"/>
        <v>1145</v>
      </c>
      <c r="P1071" s="8">
        <v>20</v>
      </c>
      <c r="Q1071" s="8">
        <f t="shared" si="175"/>
        <v>0.25</v>
      </c>
      <c r="R1071" s="8">
        <f t="shared" si="176"/>
        <v>3.333333333333333</v>
      </c>
      <c r="S1071" s="8">
        <f t="shared" si="172"/>
        <v>3.583333333333333</v>
      </c>
      <c r="T1071" s="22">
        <f t="shared" si="168"/>
        <v>0.84749526290857413</v>
      </c>
      <c r="U1071" s="19">
        <f t="shared" si="169"/>
        <v>6120.0850085859875</v>
      </c>
      <c r="V1071" s="29" t="s">
        <v>2983</v>
      </c>
    </row>
    <row r="1072" spans="1:22" ht="15" customHeight="1" x14ac:dyDescent="0.25">
      <c r="A1072" t="s">
        <v>518</v>
      </c>
      <c r="B1072" t="s">
        <v>1090</v>
      </c>
      <c r="C1072" t="s">
        <v>750</v>
      </c>
      <c r="D1072" t="s">
        <v>755</v>
      </c>
      <c r="E1072" t="s">
        <v>234</v>
      </c>
      <c r="F1072" s="5">
        <v>229</v>
      </c>
      <c r="G1072" t="s">
        <v>692</v>
      </c>
      <c r="H1072" s="3">
        <v>100</v>
      </c>
      <c r="I1072" s="3">
        <v>100</v>
      </c>
      <c r="J1072" s="3">
        <v>100</v>
      </c>
      <c r="K1072" s="3">
        <v>1.9</v>
      </c>
      <c r="L1072">
        <f t="shared" si="170"/>
        <v>1</v>
      </c>
      <c r="M1072">
        <f t="shared" si="177"/>
        <v>5</v>
      </c>
      <c r="N1072" s="8">
        <v>5</v>
      </c>
      <c r="O1072" s="14">
        <f t="shared" si="171"/>
        <v>1145</v>
      </c>
      <c r="P1072" s="8">
        <v>20</v>
      </c>
      <c r="Q1072" s="8">
        <f t="shared" si="175"/>
        <v>0.25</v>
      </c>
      <c r="R1072" s="8">
        <f t="shared" si="176"/>
        <v>3.333333333333333</v>
      </c>
      <c r="S1072" s="8">
        <f t="shared" si="172"/>
        <v>3.583333333333333</v>
      </c>
      <c r="T1072" s="22">
        <f t="shared" si="168"/>
        <v>0.84749526290857413</v>
      </c>
      <c r="U1072" s="19">
        <f t="shared" si="169"/>
        <v>6120.932503848896</v>
      </c>
      <c r="V1072" s="29" t="s">
        <v>2983</v>
      </c>
    </row>
    <row r="1073" spans="1:22" ht="15" customHeight="1" x14ac:dyDescent="0.25">
      <c r="A1073" t="s">
        <v>518</v>
      </c>
      <c r="B1073" t="s">
        <v>637</v>
      </c>
      <c r="C1073" t="s">
        <v>2267</v>
      </c>
      <c r="D1073" t="s">
        <v>2278</v>
      </c>
      <c r="E1073" t="s">
        <v>24</v>
      </c>
      <c r="F1073" s="5">
        <v>11.9</v>
      </c>
      <c r="G1073" t="s">
        <v>680</v>
      </c>
      <c r="H1073" s="3">
        <v>10</v>
      </c>
      <c r="I1073" s="3">
        <v>15</v>
      </c>
      <c r="J1073" s="3">
        <v>15</v>
      </c>
      <c r="K1073" s="3">
        <v>0.5</v>
      </c>
      <c r="L1073">
        <f t="shared" si="170"/>
        <v>2.2499999999999998E-3</v>
      </c>
      <c r="M1073">
        <f t="shared" si="177"/>
        <v>0.21375</v>
      </c>
      <c r="N1073" s="8">
        <v>95</v>
      </c>
      <c r="O1073" s="14">
        <f t="shared" si="171"/>
        <v>1130.5</v>
      </c>
      <c r="P1073" s="8">
        <v>20</v>
      </c>
      <c r="Q1073" s="8">
        <f t="shared" si="175"/>
        <v>4.75</v>
      </c>
      <c r="R1073" s="8">
        <f t="shared" si="176"/>
        <v>63.333333333333329</v>
      </c>
      <c r="S1073" s="8">
        <f t="shared" si="172"/>
        <v>68.083333333333329</v>
      </c>
      <c r="T1073" s="22">
        <f t="shared" si="168"/>
        <v>0.83676279014684984</v>
      </c>
      <c r="U1073" s="19">
        <f t="shared" si="169"/>
        <v>6121.7692666390431</v>
      </c>
      <c r="V1073" s="29" t="s">
        <v>2983</v>
      </c>
    </row>
    <row r="1074" spans="1:22" ht="15" customHeight="1" x14ac:dyDescent="0.25">
      <c r="A1074" t="s">
        <v>518</v>
      </c>
      <c r="B1074" t="s">
        <v>637</v>
      </c>
      <c r="C1074" t="s">
        <v>2267</v>
      </c>
      <c r="D1074" t="s">
        <v>2279</v>
      </c>
      <c r="E1074" t="s">
        <v>24</v>
      </c>
      <c r="F1074" s="5">
        <v>11.9</v>
      </c>
      <c r="G1074" t="s">
        <v>681</v>
      </c>
      <c r="H1074" s="3">
        <v>10</v>
      </c>
      <c r="I1074" s="3">
        <v>15</v>
      </c>
      <c r="J1074" s="3">
        <v>15</v>
      </c>
      <c r="K1074" s="3">
        <v>0.5</v>
      </c>
      <c r="L1074">
        <f t="shared" si="170"/>
        <v>2.2499999999999998E-3</v>
      </c>
      <c r="M1074">
        <f t="shared" si="177"/>
        <v>0.21375</v>
      </c>
      <c r="N1074" s="8">
        <v>95</v>
      </c>
      <c r="O1074" s="14">
        <f t="shared" si="171"/>
        <v>1130.5</v>
      </c>
      <c r="P1074" s="8">
        <v>20</v>
      </c>
      <c r="Q1074" s="8">
        <f t="shared" si="175"/>
        <v>4.75</v>
      </c>
      <c r="R1074" s="8">
        <f t="shared" si="176"/>
        <v>63.333333333333329</v>
      </c>
      <c r="S1074" s="8">
        <f t="shared" si="172"/>
        <v>68.083333333333329</v>
      </c>
      <c r="T1074" s="22">
        <f t="shared" si="168"/>
        <v>0.83676279014684984</v>
      </c>
      <c r="U1074" s="19">
        <f t="shared" si="169"/>
        <v>6122.6060294291901</v>
      </c>
      <c r="V1074" s="29" t="s">
        <v>2983</v>
      </c>
    </row>
    <row r="1075" spans="1:22" ht="15" customHeight="1" x14ac:dyDescent="0.25">
      <c r="A1075" t="s">
        <v>518</v>
      </c>
      <c r="B1075" t="s">
        <v>637</v>
      </c>
      <c r="C1075" t="s">
        <v>2267</v>
      </c>
      <c r="D1075" t="s">
        <v>2280</v>
      </c>
      <c r="E1075" t="s">
        <v>24</v>
      </c>
      <c r="F1075" s="5">
        <v>11.9</v>
      </c>
      <c r="G1075" t="s">
        <v>681</v>
      </c>
      <c r="H1075" s="3">
        <v>10</v>
      </c>
      <c r="I1075" s="3">
        <v>15</v>
      </c>
      <c r="J1075" s="3">
        <v>15</v>
      </c>
      <c r="K1075" s="3">
        <v>0.5</v>
      </c>
      <c r="L1075">
        <f t="shared" si="170"/>
        <v>2.2499999999999998E-3</v>
      </c>
      <c r="M1075">
        <f t="shared" si="177"/>
        <v>0.21375</v>
      </c>
      <c r="N1075" s="8">
        <v>95</v>
      </c>
      <c r="O1075" s="14">
        <f t="shared" si="171"/>
        <v>1130.5</v>
      </c>
      <c r="P1075" s="8">
        <v>20</v>
      </c>
      <c r="Q1075" s="8">
        <f t="shared" si="175"/>
        <v>4.75</v>
      </c>
      <c r="R1075" s="8">
        <f t="shared" si="176"/>
        <v>63.333333333333329</v>
      </c>
      <c r="S1075" s="8">
        <f t="shared" si="172"/>
        <v>68.083333333333329</v>
      </c>
      <c r="T1075" s="22">
        <f t="shared" si="168"/>
        <v>0.83676279014684984</v>
      </c>
      <c r="U1075" s="19">
        <f t="shared" si="169"/>
        <v>6123.4427922193372</v>
      </c>
      <c r="V1075" s="29" t="s">
        <v>2983</v>
      </c>
    </row>
    <row r="1076" spans="1:22" ht="15" customHeight="1" x14ac:dyDescent="0.25">
      <c r="A1076" t="s">
        <v>518</v>
      </c>
      <c r="B1076" t="s">
        <v>637</v>
      </c>
      <c r="C1076" t="s">
        <v>2281</v>
      </c>
      <c r="D1076" t="s">
        <v>682</v>
      </c>
      <c r="E1076" t="s">
        <v>24</v>
      </c>
      <c r="F1076" s="5">
        <v>27.9</v>
      </c>
      <c r="G1076" t="s">
        <v>683</v>
      </c>
      <c r="H1076" s="3">
        <v>4</v>
      </c>
      <c r="I1076" s="3">
        <v>18</v>
      </c>
      <c r="J1076" s="3">
        <v>4</v>
      </c>
      <c r="K1076" s="3">
        <v>0.7</v>
      </c>
      <c r="L1076">
        <f t="shared" si="170"/>
        <v>2.8800000000000001E-4</v>
      </c>
      <c r="M1076">
        <f t="shared" si="177"/>
        <v>1.1520000000000001E-2</v>
      </c>
      <c r="N1076" s="8">
        <v>40</v>
      </c>
      <c r="O1076" s="14">
        <f t="shared" si="171"/>
        <v>1116</v>
      </c>
      <c r="P1076" s="8">
        <v>20</v>
      </c>
      <c r="Q1076" s="8">
        <f t="shared" si="175"/>
        <v>2</v>
      </c>
      <c r="R1076" s="8">
        <f t="shared" si="176"/>
        <v>26.666666666666664</v>
      </c>
      <c r="S1076" s="8">
        <f t="shared" si="172"/>
        <v>28.666666666666664</v>
      </c>
      <c r="T1076" s="22">
        <f t="shared" si="168"/>
        <v>0.82603031738512556</v>
      </c>
      <c r="U1076" s="19">
        <f t="shared" si="169"/>
        <v>6124.2688225367219</v>
      </c>
      <c r="V1076" s="29" t="s">
        <v>2983</v>
      </c>
    </row>
    <row r="1077" spans="1:22" ht="15" customHeight="1" x14ac:dyDescent="0.25">
      <c r="A1077" t="s">
        <v>518</v>
      </c>
      <c r="B1077" t="s">
        <v>1091</v>
      </c>
      <c r="C1077" t="s">
        <v>1129</v>
      </c>
      <c r="D1077" t="s">
        <v>1130</v>
      </c>
      <c r="E1077" t="s">
        <v>833</v>
      </c>
      <c r="F1077" s="5">
        <v>556</v>
      </c>
      <c r="G1077" t="s">
        <v>512</v>
      </c>
      <c r="H1077" s="3">
        <v>350</v>
      </c>
      <c r="I1077" s="3">
        <v>350</v>
      </c>
      <c r="J1077" s="3">
        <v>150</v>
      </c>
      <c r="K1077" s="3">
        <v>80</v>
      </c>
      <c r="L1077">
        <f t="shared" si="170"/>
        <v>18.375</v>
      </c>
      <c r="M1077">
        <f t="shared" si="177"/>
        <v>36.75</v>
      </c>
      <c r="N1077" s="8">
        <v>2</v>
      </c>
      <c r="O1077" s="14">
        <f t="shared" si="171"/>
        <v>1112</v>
      </c>
      <c r="P1077" s="8">
        <v>20</v>
      </c>
      <c r="Q1077" s="8">
        <f t="shared" si="175"/>
        <v>0.1</v>
      </c>
      <c r="R1077" s="8">
        <f t="shared" si="176"/>
        <v>1.3333333333333333</v>
      </c>
      <c r="S1077" s="8">
        <f t="shared" si="172"/>
        <v>1.4333333333333333</v>
      </c>
      <c r="T1077" s="22">
        <f t="shared" ref="T1077:T1140" si="178">O1077/O$1749</f>
        <v>0.82306963524396026</v>
      </c>
      <c r="U1077" s="19">
        <f t="shared" ref="U1077:U1140" si="179">U1076+T1077</f>
        <v>6125.0918921719658</v>
      </c>
      <c r="V1077" s="29" t="s">
        <v>2983</v>
      </c>
    </row>
    <row r="1078" spans="1:22" ht="15" customHeight="1" x14ac:dyDescent="0.25">
      <c r="A1078" t="s">
        <v>518</v>
      </c>
      <c r="B1078" t="s">
        <v>637</v>
      </c>
      <c r="C1078" t="s">
        <v>2252</v>
      </c>
      <c r="D1078" t="s">
        <v>1314</v>
      </c>
      <c r="E1078" t="s">
        <v>234</v>
      </c>
      <c r="F1078" s="5">
        <v>30</v>
      </c>
      <c r="G1078" t="s">
        <v>2244</v>
      </c>
      <c r="H1078" s="3">
        <v>16</v>
      </c>
      <c r="I1078" s="3">
        <v>27</v>
      </c>
      <c r="J1078" s="3">
        <v>18</v>
      </c>
      <c r="K1078" s="3">
        <v>7.7759999999999999E-3</v>
      </c>
      <c r="L1078">
        <f t="shared" si="170"/>
        <v>7.7759999999999999E-3</v>
      </c>
      <c r="M1078">
        <f t="shared" si="177"/>
        <v>0.27993600000000002</v>
      </c>
      <c r="N1078" s="8">
        <v>36</v>
      </c>
      <c r="O1078" s="14">
        <f t="shared" si="171"/>
        <v>1080</v>
      </c>
      <c r="P1078" s="8">
        <v>20</v>
      </c>
      <c r="Q1078" s="8">
        <f t="shared" si="175"/>
        <v>1.8</v>
      </c>
      <c r="R1078" s="8">
        <f t="shared" si="176"/>
        <v>24</v>
      </c>
      <c r="S1078" s="8">
        <f t="shared" si="172"/>
        <v>25.8</v>
      </c>
      <c r="T1078" s="22">
        <f t="shared" si="178"/>
        <v>0.79938417811463769</v>
      </c>
      <c r="U1078" s="19">
        <f t="shared" si="179"/>
        <v>6125.8912763500803</v>
      </c>
      <c r="V1078" s="29" t="s">
        <v>2983</v>
      </c>
    </row>
    <row r="1079" spans="1:22" ht="15" customHeight="1" x14ac:dyDescent="0.25">
      <c r="A1079" t="s">
        <v>518</v>
      </c>
      <c r="B1079" t="s">
        <v>1091</v>
      </c>
      <c r="C1079" t="s">
        <v>2155</v>
      </c>
      <c r="D1079" t="s">
        <v>2156</v>
      </c>
      <c r="E1079" t="s">
        <v>833</v>
      </c>
      <c r="F1079" s="5">
        <v>520</v>
      </c>
      <c r="G1079" t="s">
        <v>846</v>
      </c>
      <c r="H1079" s="3">
        <v>1600</v>
      </c>
      <c r="I1079" s="3">
        <v>55</v>
      </c>
      <c r="J1079" s="3">
        <v>20</v>
      </c>
      <c r="K1079" s="3">
        <v>5</v>
      </c>
      <c r="L1079">
        <f t="shared" si="170"/>
        <v>1.76</v>
      </c>
      <c r="M1079">
        <f t="shared" si="177"/>
        <v>3.52</v>
      </c>
      <c r="N1079" s="8">
        <v>2</v>
      </c>
      <c r="O1079" s="14">
        <f t="shared" si="171"/>
        <v>1040</v>
      </c>
      <c r="P1079" s="8">
        <v>20</v>
      </c>
      <c r="Q1079" s="8">
        <f t="shared" si="175"/>
        <v>0.1</v>
      </c>
      <c r="R1079" s="8">
        <f t="shared" si="176"/>
        <v>1.3333333333333333</v>
      </c>
      <c r="S1079" s="8">
        <f t="shared" si="172"/>
        <v>1.4333333333333333</v>
      </c>
      <c r="T1079" s="22">
        <f t="shared" si="178"/>
        <v>0.76977735670298442</v>
      </c>
      <c r="U1079" s="19">
        <f t="shared" si="179"/>
        <v>6126.6610537067836</v>
      </c>
      <c r="V1079" s="29" t="s">
        <v>2983</v>
      </c>
    </row>
    <row r="1080" spans="1:22" ht="15" customHeight="1" x14ac:dyDescent="0.25">
      <c r="A1080" t="s">
        <v>518</v>
      </c>
      <c r="B1080" t="s">
        <v>1091</v>
      </c>
      <c r="C1080" t="s">
        <v>2099</v>
      </c>
      <c r="D1080" t="s">
        <v>2100</v>
      </c>
      <c r="E1080" t="s">
        <v>800</v>
      </c>
      <c r="F1080" s="5">
        <v>514</v>
      </c>
      <c r="G1080" t="s">
        <v>805</v>
      </c>
      <c r="H1080" s="3">
        <v>50</v>
      </c>
      <c r="I1080" s="3">
        <v>60</v>
      </c>
      <c r="J1080" s="3">
        <v>60</v>
      </c>
      <c r="K1080" s="3">
        <v>16</v>
      </c>
      <c r="L1080">
        <f t="shared" si="170"/>
        <v>0.18</v>
      </c>
      <c r="M1080">
        <f t="shared" si="177"/>
        <v>0.36</v>
      </c>
      <c r="N1080" s="8">
        <v>2</v>
      </c>
      <c r="O1080" s="14">
        <f t="shared" si="171"/>
        <v>1028</v>
      </c>
      <c r="P1080" s="8">
        <v>20</v>
      </c>
      <c r="Q1080" s="8">
        <f t="shared" si="175"/>
        <v>0.1</v>
      </c>
      <c r="R1080" s="8">
        <f t="shared" si="176"/>
        <v>1.3333333333333333</v>
      </c>
      <c r="S1080" s="8">
        <f t="shared" si="172"/>
        <v>1.4333333333333333</v>
      </c>
      <c r="T1080" s="22">
        <f t="shared" si="178"/>
        <v>0.76089531027948842</v>
      </c>
      <c r="U1080" s="19">
        <f t="shared" si="179"/>
        <v>6127.4219490170635</v>
      </c>
      <c r="V1080" s="29" t="s">
        <v>2983</v>
      </c>
    </row>
    <row r="1081" spans="1:22" ht="15" customHeight="1" x14ac:dyDescent="0.25">
      <c r="A1081" t="s">
        <v>518</v>
      </c>
      <c r="B1081" t="s">
        <v>1091</v>
      </c>
      <c r="C1081" t="s">
        <v>2152</v>
      </c>
      <c r="D1081" t="s">
        <v>844</v>
      </c>
      <c r="E1081" t="s">
        <v>833</v>
      </c>
      <c r="F1081" s="5">
        <v>500</v>
      </c>
      <c r="G1081" t="s">
        <v>2151</v>
      </c>
      <c r="H1081" s="3">
        <v>160</v>
      </c>
      <c r="I1081" s="3">
        <v>60</v>
      </c>
      <c r="J1081" s="3">
        <v>10</v>
      </c>
      <c r="K1081" s="3">
        <v>17</v>
      </c>
      <c r="L1081">
        <f t="shared" si="170"/>
        <v>9.6000000000000002E-2</v>
      </c>
      <c r="M1081">
        <f t="shared" si="177"/>
        <v>0.192</v>
      </c>
      <c r="N1081" s="8">
        <v>2</v>
      </c>
      <c r="O1081" s="14">
        <f t="shared" si="171"/>
        <v>1000</v>
      </c>
      <c r="P1081" s="8">
        <v>20</v>
      </c>
      <c r="Q1081" s="8">
        <f t="shared" si="175"/>
        <v>0.1</v>
      </c>
      <c r="R1081" s="8">
        <f t="shared" si="176"/>
        <v>1.3333333333333333</v>
      </c>
      <c r="S1081" s="8">
        <f t="shared" si="172"/>
        <v>1.4333333333333333</v>
      </c>
      <c r="T1081" s="22">
        <f t="shared" si="178"/>
        <v>0.74017053529133114</v>
      </c>
      <c r="U1081" s="19">
        <f t="shared" si="179"/>
        <v>6128.1621195523549</v>
      </c>
      <c r="V1081" s="29" t="s">
        <v>2983</v>
      </c>
    </row>
    <row r="1082" spans="1:22" ht="15" customHeight="1" x14ac:dyDescent="0.25">
      <c r="A1082" t="s">
        <v>518</v>
      </c>
      <c r="B1082" t="s">
        <v>637</v>
      </c>
      <c r="C1082" t="s">
        <v>2223</v>
      </c>
      <c r="D1082" t="s">
        <v>1260</v>
      </c>
      <c r="E1082" t="s">
        <v>234</v>
      </c>
      <c r="F1082" s="5">
        <v>25</v>
      </c>
      <c r="G1082" t="s">
        <v>2224</v>
      </c>
      <c r="H1082" s="3">
        <v>20</v>
      </c>
      <c r="I1082" s="3">
        <v>20</v>
      </c>
      <c r="J1082" s="3">
        <v>15</v>
      </c>
      <c r="K1082" s="3">
        <v>6.0000000000000001E-3</v>
      </c>
      <c r="L1082">
        <f t="shared" si="170"/>
        <v>6.0000000000000001E-3</v>
      </c>
      <c r="M1082">
        <f t="shared" si="177"/>
        <v>0.24</v>
      </c>
      <c r="N1082" s="8">
        <v>40</v>
      </c>
      <c r="O1082" s="14">
        <f t="shared" si="171"/>
        <v>1000</v>
      </c>
      <c r="P1082" s="8">
        <v>20</v>
      </c>
      <c r="Q1082" s="8">
        <f t="shared" si="175"/>
        <v>2</v>
      </c>
      <c r="R1082" s="8">
        <f t="shared" si="176"/>
        <v>26.666666666666664</v>
      </c>
      <c r="S1082" s="8">
        <f t="shared" si="172"/>
        <v>28.666666666666664</v>
      </c>
      <c r="T1082" s="22">
        <f t="shared" si="178"/>
        <v>0.74017053529133114</v>
      </c>
      <c r="U1082" s="19">
        <f t="shared" si="179"/>
        <v>6128.9022900876462</v>
      </c>
      <c r="V1082" s="29" t="s">
        <v>2983</v>
      </c>
    </row>
    <row r="1083" spans="1:22" ht="15" customHeight="1" x14ac:dyDescent="0.25">
      <c r="A1083" t="s">
        <v>518</v>
      </c>
      <c r="B1083" t="s">
        <v>1090</v>
      </c>
      <c r="C1083" t="s">
        <v>750</v>
      </c>
      <c r="D1083" t="s">
        <v>751</v>
      </c>
      <c r="E1083" t="s">
        <v>234</v>
      </c>
      <c r="F1083" s="5">
        <v>199</v>
      </c>
      <c r="G1083" t="s">
        <v>692</v>
      </c>
      <c r="H1083" s="3">
        <v>100</v>
      </c>
      <c r="I1083" s="3">
        <v>100</v>
      </c>
      <c r="J1083" s="3">
        <v>100</v>
      </c>
      <c r="K1083" s="3">
        <v>1.9</v>
      </c>
      <c r="L1083">
        <f t="shared" si="170"/>
        <v>1</v>
      </c>
      <c r="M1083">
        <f t="shared" si="177"/>
        <v>5</v>
      </c>
      <c r="N1083" s="8">
        <v>5</v>
      </c>
      <c r="O1083" s="14">
        <f t="shared" si="171"/>
        <v>995</v>
      </c>
      <c r="P1083" s="8">
        <v>20</v>
      </c>
      <c r="Q1083" s="8">
        <f t="shared" si="175"/>
        <v>0.25</v>
      </c>
      <c r="R1083" s="8">
        <f t="shared" si="176"/>
        <v>3.333333333333333</v>
      </c>
      <c r="S1083" s="8">
        <f t="shared" si="172"/>
        <v>3.583333333333333</v>
      </c>
      <c r="T1083" s="22">
        <f t="shared" si="178"/>
        <v>0.73646968261487444</v>
      </c>
      <c r="U1083" s="19">
        <f t="shared" si="179"/>
        <v>6129.6387597702615</v>
      </c>
      <c r="V1083" s="29" t="s">
        <v>2983</v>
      </c>
    </row>
    <row r="1084" spans="1:22" ht="15" customHeight="1" x14ac:dyDescent="0.25">
      <c r="A1084" t="s">
        <v>518</v>
      </c>
      <c r="B1084" t="s">
        <v>1091</v>
      </c>
      <c r="C1084" t="s">
        <v>2073</v>
      </c>
      <c r="D1084" t="s">
        <v>2081</v>
      </c>
      <c r="E1084" t="s">
        <v>480</v>
      </c>
      <c r="F1084" s="5">
        <v>19.3</v>
      </c>
      <c r="G1084" t="s">
        <v>797</v>
      </c>
      <c r="H1084" s="3">
        <v>1.5</v>
      </c>
      <c r="I1084" s="3">
        <v>30</v>
      </c>
      <c r="J1084" s="3">
        <v>20</v>
      </c>
      <c r="K1084" s="3">
        <v>2.15</v>
      </c>
      <c r="L1084">
        <f t="shared" si="170"/>
        <v>8.9999999999999998E-4</v>
      </c>
      <c r="M1084">
        <f t="shared" si="177"/>
        <v>4.4999999999999998E-2</v>
      </c>
      <c r="N1084" s="8">
        <v>50</v>
      </c>
      <c r="O1084" s="14">
        <f t="shared" si="171"/>
        <v>965</v>
      </c>
      <c r="P1084" s="8">
        <v>20</v>
      </c>
      <c r="Q1084" s="8">
        <f t="shared" si="175"/>
        <v>2.5</v>
      </c>
      <c r="R1084" s="8">
        <f t="shared" si="176"/>
        <v>33.333333333333336</v>
      </c>
      <c r="S1084" s="8">
        <f t="shared" si="172"/>
        <v>35.833333333333336</v>
      </c>
      <c r="T1084" s="22">
        <f t="shared" si="178"/>
        <v>0.71426456655613457</v>
      </c>
      <c r="U1084" s="19">
        <f t="shared" si="179"/>
        <v>6130.3530243368177</v>
      </c>
      <c r="V1084" s="29" t="s">
        <v>2983</v>
      </c>
    </row>
    <row r="1085" spans="1:22" ht="15" customHeight="1" x14ac:dyDescent="0.25">
      <c r="A1085" t="s">
        <v>518</v>
      </c>
      <c r="B1085" t="s">
        <v>1090</v>
      </c>
      <c r="C1085" t="s">
        <v>2392</v>
      </c>
      <c r="D1085" t="s">
        <v>2388</v>
      </c>
      <c r="E1085" t="s">
        <v>234</v>
      </c>
      <c r="F1085" s="5">
        <v>240</v>
      </c>
      <c r="G1085" t="s">
        <v>2393</v>
      </c>
      <c r="H1085" s="3">
        <v>14</v>
      </c>
      <c r="I1085" s="3">
        <v>12</v>
      </c>
      <c r="J1085" s="3">
        <v>12</v>
      </c>
      <c r="K1085" s="3">
        <v>6</v>
      </c>
      <c r="L1085">
        <f t="shared" si="170"/>
        <v>2.016E-3</v>
      </c>
      <c r="M1085">
        <f t="shared" si="177"/>
        <v>8.064E-3</v>
      </c>
      <c r="N1085" s="8">
        <v>4</v>
      </c>
      <c r="O1085" s="14">
        <f t="shared" si="171"/>
        <v>960</v>
      </c>
      <c r="P1085" s="8">
        <v>20</v>
      </c>
      <c r="Q1085" s="8">
        <f t="shared" si="175"/>
        <v>0.2</v>
      </c>
      <c r="R1085" s="8">
        <f t="shared" si="176"/>
        <v>2.6666666666666665</v>
      </c>
      <c r="S1085" s="8">
        <f t="shared" si="172"/>
        <v>2.8666666666666667</v>
      </c>
      <c r="T1085" s="22">
        <f t="shared" si="178"/>
        <v>0.71056371387967787</v>
      </c>
      <c r="U1085" s="19">
        <f t="shared" si="179"/>
        <v>6131.063588050697</v>
      </c>
      <c r="V1085" s="29" t="s">
        <v>2983</v>
      </c>
    </row>
    <row r="1086" spans="1:22" ht="15" customHeight="1" x14ac:dyDescent="0.25">
      <c r="A1086" t="s">
        <v>518</v>
      </c>
      <c r="B1086" t="s">
        <v>1091</v>
      </c>
      <c r="C1086" t="s">
        <v>2150</v>
      </c>
      <c r="D1086" t="s">
        <v>843</v>
      </c>
      <c r="E1086" t="s">
        <v>833</v>
      </c>
      <c r="F1086" s="5">
        <v>478.5</v>
      </c>
      <c r="G1086" t="s">
        <v>2151</v>
      </c>
      <c r="H1086" s="3">
        <v>130</v>
      </c>
      <c r="I1086" s="3">
        <v>60</v>
      </c>
      <c r="J1086" s="3">
        <v>10</v>
      </c>
      <c r="K1086" s="3">
        <v>15</v>
      </c>
      <c r="L1086">
        <f t="shared" si="170"/>
        <v>7.8E-2</v>
      </c>
      <c r="M1086">
        <f t="shared" si="177"/>
        <v>0.156</v>
      </c>
      <c r="N1086" s="8">
        <v>2</v>
      </c>
      <c r="O1086" s="14">
        <f t="shared" si="171"/>
        <v>957</v>
      </c>
      <c r="P1086" s="8">
        <v>20</v>
      </c>
      <c r="Q1086" s="8">
        <f t="shared" si="175"/>
        <v>0.1</v>
      </c>
      <c r="R1086" s="8">
        <f t="shared" si="176"/>
        <v>1.3333333333333333</v>
      </c>
      <c r="S1086" s="8">
        <f t="shared" si="172"/>
        <v>1.4333333333333333</v>
      </c>
      <c r="T1086" s="22">
        <f t="shared" si="178"/>
        <v>0.70834320227380387</v>
      </c>
      <c r="U1086" s="19">
        <f t="shared" si="179"/>
        <v>6131.7719312529707</v>
      </c>
      <c r="V1086" s="29" t="s">
        <v>2983</v>
      </c>
    </row>
    <row r="1087" spans="1:22" ht="15" customHeight="1" x14ac:dyDescent="0.25">
      <c r="A1087" t="s">
        <v>518</v>
      </c>
      <c r="B1087" t="s">
        <v>1090</v>
      </c>
      <c r="C1087" t="s">
        <v>2329</v>
      </c>
      <c r="D1087" t="s">
        <v>714</v>
      </c>
      <c r="E1087" t="s">
        <v>2330</v>
      </c>
      <c r="F1087" s="5">
        <v>189</v>
      </c>
      <c r="G1087" t="s">
        <v>2323</v>
      </c>
      <c r="H1087" s="3">
        <v>110</v>
      </c>
      <c r="I1087" s="3">
        <v>90</v>
      </c>
      <c r="J1087" s="3">
        <v>100</v>
      </c>
      <c r="K1087" s="3">
        <v>19.2</v>
      </c>
      <c r="L1087">
        <f t="shared" si="170"/>
        <v>0.99</v>
      </c>
      <c r="M1087">
        <f t="shared" si="177"/>
        <v>4.95</v>
      </c>
      <c r="N1087" s="8">
        <v>5</v>
      </c>
      <c r="O1087" s="14">
        <f t="shared" si="171"/>
        <v>945</v>
      </c>
      <c r="P1087" s="8">
        <v>20</v>
      </c>
      <c r="Q1087" s="8">
        <f t="shared" si="175"/>
        <v>0.25</v>
      </c>
      <c r="R1087" s="8">
        <f t="shared" si="176"/>
        <v>3.333333333333333</v>
      </c>
      <c r="S1087" s="8">
        <f t="shared" si="172"/>
        <v>3.583333333333333</v>
      </c>
      <c r="T1087" s="22">
        <f t="shared" si="178"/>
        <v>0.69946115585030788</v>
      </c>
      <c r="U1087" s="19">
        <f t="shared" si="179"/>
        <v>6132.471392408821</v>
      </c>
      <c r="V1087" s="29" t="s">
        <v>2983</v>
      </c>
    </row>
    <row r="1088" spans="1:22" ht="15" customHeight="1" x14ac:dyDescent="0.25">
      <c r="A1088" t="s">
        <v>518</v>
      </c>
      <c r="B1088" t="s">
        <v>1091</v>
      </c>
      <c r="C1088" t="s">
        <v>2063</v>
      </c>
      <c r="D1088" t="s">
        <v>2068</v>
      </c>
      <c r="E1088" t="s">
        <v>480</v>
      </c>
      <c r="F1088" s="5">
        <v>18.100000000000001</v>
      </c>
      <c r="G1088" t="s">
        <v>512</v>
      </c>
      <c r="H1088" s="3">
        <v>120</v>
      </c>
      <c r="I1088" s="3">
        <v>20.7</v>
      </c>
      <c r="J1088" s="3">
        <v>1</v>
      </c>
      <c r="K1088" s="3">
        <v>1.59</v>
      </c>
      <c r="L1088">
        <f t="shared" si="170"/>
        <v>2.4840000000000001E-3</v>
      </c>
      <c r="M1088">
        <f t="shared" si="177"/>
        <v>0.1242</v>
      </c>
      <c r="N1088" s="8">
        <v>50</v>
      </c>
      <c r="O1088" s="14">
        <f t="shared" si="171"/>
        <v>905.00000000000011</v>
      </c>
      <c r="P1088" s="8">
        <v>20</v>
      </c>
      <c r="Q1088" s="8">
        <f t="shared" si="175"/>
        <v>2.5</v>
      </c>
      <c r="R1088" s="8">
        <f t="shared" si="176"/>
        <v>33.333333333333336</v>
      </c>
      <c r="S1088" s="8">
        <f t="shared" si="172"/>
        <v>35.833333333333336</v>
      </c>
      <c r="T1088" s="22">
        <f t="shared" si="178"/>
        <v>0.66985433443865472</v>
      </c>
      <c r="U1088" s="19">
        <f t="shared" si="179"/>
        <v>6133.1412467432592</v>
      </c>
      <c r="V1088" s="29" t="s">
        <v>2983</v>
      </c>
    </row>
    <row r="1089" spans="1:22" ht="15" customHeight="1" x14ac:dyDescent="0.25">
      <c r="A1089" t="s">
        <v>518</v>
      </c>
      <c r="B1089" t="s">
        <v>1090</v>
      </c>
      <c r="C1089" t="s">
        <v>777</v>
      </c>
      <c r="D1089" t="s">
        <v>608</v>
      </c>
      <c r="E1089" t="s">
        <v>13</v>
      </c>
      <c r="F1089" s="5">
        <v>180.9</v>
      </c>
      <c r="G1089" t="s">
        <v>140</v>
      </c>
      <c r="H1089" s="3">
        <v>50</v>
      </c>
      <c r="I1089" s="3">
        <v>53.5</v>
      </c>
      <c r="J1089" s="3">
        <v>50</v>
      </c>
      <c r="K1089" s="3">
        <v>22</v>
      </c>
      <c r="L1089">
        <f t="shared" si="170"/>
        <v>0.13375000000000001</v>
      </c>
      <c r="M1089">
        <f t="shared" si="177"/>
        <v>0.66875000000000007</v>
      </c>
      <c r="N1089" s="8">
        <v>5</v>
      </c>
      <c r="O1089" s="14">
        <f t="shared" si="171"/>
        <v>904.5</v>
      </c>
      <c r="P1089" s="8">
        <v>20</v>
      </c>
      <c r="Q1089" s="8">
        <f t="shared" si="175"/>
        <v>0.25</v>
      </c>
      <c r="R1089" s="8">
        <f t="shared" si="176"/>
        <v>3.333333333333333</v>
      </c>
      <c r="S1089" s="8">
        <f t="shared" si="172"/>
        <v>3.583333333333333</v>
      </c>
      <c r="T1089" s="22">
        <f t="shared" si="178"/>
        <v>0.66948424917100902</v>
      </c>
      <c r="U1089" s="19">
        <f t="shared" si="179"/>
        <v>6133.8107309924299</v>
      </c>
      <c r="V1089" s="29" t="s">
        <v>2983</v>
      </c>
    </row>
    <row r="1090" spans="1:22" ht="15" customHeight="1" x14ac:dyDescent="0.25">
      <c r="A1090" t="s">
        <v>518</v>
      </c>
      <c r="B1090" t="s">
        <v>637</v>
      </c>
      <c r="C1090" t="s">
        <v>2220</v>
      </c>
      <c r="D1090" t="s">
        <v>1257</v>
      </c>
      <c r="E1090" t="s">
        <v>234</v>
      </c>
      <c r="F1090" s="5">
        <v>25</v>
      </c>
      <c r="G1090" t="s">
        <v>683</v>
      </c>
      <c r="H1090" s="3">
        <v>15</v>
      </c>
      <c r="I1090" s="3">
        <v>30</v>
      </c>
      <c r="J1090" s="3">
        <v>20</v>
      </c>
      <c r="K1090" s="3">
        <v>8.9999999999999993E-3</v>
      </c>
      <c r="L1090">
        <f t="shared" ref="L1090:L1153" si="180">J1090*I1090*H1090/1000000</f>
        <v>8.9999999999999993E-3</v>
      </c>
      <c r="M1090">
        <f t="shared" si="177"/>
        <v>0.32399999999999995</v>
      </c>
      <c r="N1090" s="8">
        <v>36</v>
      </c>
      <c r="O1090" s="14">
        <f t="shared" ref="O1090:O1153" si="181">N1090*F1090</f>
        <v>900</v>
      </c>
      <c r="P1090" s="8">
        <v>20</v>
      </c>
      <c r="Q1090" s="8">
        <f t="shared" si="175"/>
        <v>1.8</v>
      </c>
      <c r="R1090" s="8">
        <f t="shared" si="176"/>
        <v>24</v>
      </c>
      <c r="S1090" s="8">
        <f t="shared" ref="S1090:S1153" si="182">Q1090+R1090</f>
        <v>25.8</v>
      </c>
      <c r="T1090" s="22">
        <f t="shared" si="178"/>
        <v>0.66615348176219802</v>
      </c>
      <c r="U1090" s="19">
        <f t="shared" si="179"/>
        <v>6134.476884474192</v>
      </c>
      <c r="V1090" s="29" t="s">
        <v>2983</v>
      </c>
    </row>
    <row r="1091" spans="1:22" ht="15" customHeight="1" x14ac:dyDescent="0.25">
      <c r="A1091" t="s">
        <v>518</v>
      </c>
      <c r="B1091" t="s">
        <v>1090</v>
      </c>
      <c r="C1091" t="s">
        <v>2389</v>
      </c>
      <c r="D1091" t="s">
        <v>2388</v>
      </c>
      <c r="E1091" t="s">
        <v>2390</v>
      </c>
      <c r="F1091" s="5">
        <v>179.9</v>
      </c>
      <c r="G1091" t="s">
        <v>683</v>
      </c>
      <c r="H1091" s="3">
        <v>170</v>
      </c>
      <c r="I1091" s="3">
        <v>114</v>
      </c>
      <c r="J1091" s="3">
        <v>30</v>
      </c>
      <c r="K1091" s="3">
        <v>14</v>
      </c>
      <c r="L1091">
        <f t="shared" si="180"/>
        <v>0.58140000000000003</v>
      </c>
      <c r="M1091">
        <f t="shared" si="177"/>
        <v>2.907</v>
      </c>
      <c r="N1091" s="8">
        <v>5</v>
      </c>
      <c r="O1091" s="14">
        <f t="shared" si="181"/>
        <v>899.5</v>
      </c>
      <c r="P1091" s="8">
        <v>20</v>
      </c>
      <c r="Q1091" s="8">
        <f t="shared" si="175"/>
        <v>0.25</v>
      </c>
      <c r="R1091" s="8">
        <f t="shared" si="176"/>
        <v>3.333333333333333</v>
      </c>
      <c r="S1091" s="8">
        <f t="shared" si="182"/>
        <v>3.583333333333333</v>
      </c>
      <c r="T1091" s="22">
        <f t="shared" si="178"/>
        <v>0.66578339649455232</v>
      </c>
      <c r="U1091" s="19">
        <f t="shared" si="179"/>
        <v>6135.1426678706866</v>
      </c>
      <c r="V1091" s="29" t="s">
        <v>2983</v>
      </c>
    </row>
    <row r="1092" spans="1:22" ht="15" customHeight="1" x14ac:dyDescent="0.25">
      <c r="A1092" t="s">
        <v>518</v>
      </c>
      <c r="B1092" t="s">
        <v>1090</v>
      </c>
      <c r="C1092" t="s">
        <v>2444</v>
      </c>
      <c r="D1092" t="s">
        <v>2414</v>
      </c>
      <c r="E1092" t="s">
        <v>234</v>
      </c>
      <c r="F1092" s="5">
        <v>175</v>
      </c>
      <c r="G1092" t="s">
        <v>140</v>
      </c>
      <c r="H1092" s="3">
        <v>30</v>
      </c>
      <c r="I1092" s="3">
        <v>30</v>
      </c>
      <c r="J1092">
        <v>30</v>
      </c>
      <c r="K1092" s="3">
        <v>7</v>
      </c>
      <c r="L1092">
        <f t="shared" si="180"/>
        <v>2.7E-2</v>
      </c>
      <c r="M1092">
        <f t="shared" si="177"/>
        <v>0.13500000000000001</v>
      </c>
      <c r="N1092" s="8">
        <v>5</v>
      </c>
      <c r="O1092" s="14">
        <f t="shared" si="181"/>
        <v>875</v>
      </c>
      <c r="P1092" s="8">
        <v>20</v>
      </c>
      <c r="Q1092" s="8">
        <f t="shared" si="175"/>
        <v>0.25</v>
      </c>
      <c r="R1092" s="8">
        <f t="shared" si="176"/>
        <v>3.333333333333333</v>
      </c>
      <c r="S1092" s="8">
        <f t="shared" si="182"/>
        <v>3.583333333333333</v>
      </c>
      <c r="T1092" s="22">
        <f t="shared" si="178"/>
        <v>0.64764921837991474</v>
      </c>
      <c r="U1092" s="19">
        <f t="shared" si="179"/>
        <v>6135.7903170890668</v>
      </c>
      <c r="V1092" s="29" t="s">
        <v>2983</v>
      </c>
    </row>
    <row r="1093" spans="1:22" ht="15" customHeight="1" x14ac:dyDescent="0.25">
      <c r="A1093" t="s">
        <v>518</v>
      </c>
      <c r="B1093" t="s">
        <v>637</v>
      </c>
      <c r="C1093" t="s">
        <v>2222</v>
      </c>
      <c r="D1093" t="s">
        <v>1259</v>
      </c>
      <c r="E1093" t="s">
        <v>234</v>
      </c>
      <c r="F1093" s="5">
        <v>23.9</v>
      </c>
      <c r="G1093" t="s">
        <v>683</v>
      </c>
      <c r="H1093" s="3">
        <v>20</v>
      </c>
      <c r="I1093" s="3">
        <v>27</v>
      </c>
      <c r="J1093" s="3">
        <v>18</v>
      </c>
      <c r="K1093" s="3">
        <v>9.7199999999999995E-3</v>
      </c>
      <c r="L1093">
        <f t="shared" si="180"/>
        <v>9.7199999999999995E-3</v>
      </c>
      <c r="M1093">
        <f t="shared" si="177"/>
        <v>0.34992000000000001</v>
      </c>
      <c r="N1093" s="8">
        <v>36</v>
      </c>
      <c r="O1093" s="14">
        <f t="shared" si="181"/>
        <v>860.4</v>
      </c>
      <c r="P1093" s="8">
        <v>20</v>
      </c>
      <c r="Q1093" s="8">
        <f t="shared" si="175"/>
        <v>1.8</v>
      </c>
      <c r="R1093" s="8">
        <f t="shared" si="176"/>
        <v>24</v>
      </c>
      <c r="S1093" s="8">
        <f t="shared" si="182"/>
        <v>25.8</v>
      </c>
      <c r="T1093" s="22">
        <f t="shared" si="178"/>
        <v>0.63684272856466129</v>
      </c>
      <c r="U1093" s="19">
        <f t="shared" si="179"/>
        <v>6136.427159817631</v>
      </c>
      <c r="V1093" s="29" t="s">
        <v>2983</v>
      </c>
    </row>
    <row r="1094" spans="1:22" ht="15" customHeight="1" x14ac:dyDescent="0.25">
      <c r="A1094" t="s">
        <v>518</v>
      </c>
      <c r="B1094" t="s">
        <v>1090</v>
      </c>
      <c r="C1094" t="s">
        <v>2374</v>
      </c>
      <c r="D1094" t="s">
        <v>735</v>
      </c>
      <c r="E1094" t="s">
        <v>234</v>
      </c>
      <c r="F1094" s="5">
        <v>163</v>
      </c>
      <c r="G1094" t="s">
        <v>2378</v>
      </c>
      <c r="H1094" s="3">
        <v>20</v>
      </c>
      <c r="I1094" s="3">
        <v>50</v>
      </c>
      <c r="J1094" s="3">
        <v>40</v>
      </c>
      <c r="K1094" s="3">
        <v>12</v>
      </c>
      <c r="L1094">
        <f t="shared" si="180"/>
        <v>0.04</v>
      </c>
      <c r="M1094">
        <f t="shared" si="177"/>
        <v>0.2</v>
      </c>
      <c r="N1094" s="8">
        <v>5</v>
      </c>
      <c r="O1094" s="14">
        <f t="shared" si="181"/>
        <v>815</v>
      </c>
      <c r="P1094" s="8">
        <v>20</v>
      </c>
      <c r="Q1094" s="8">
        <f t="shared" si="175"/>
        <v>0.25</v>
      </c>
      <c r="R1094" s="8">
        <f t="shared" si="176"/>
        <v>3.333333333333333</v>
      </c>
      <c r="S1094" s="8">
        <f t="shared" si="182"/>
        <v>3.583333333333333</v>
      </c>
      <c r="T1094" s="22">
        <f t="shared" si="178"/>
        <v>0.60323898626243488</v>
      </c>
      <c r="U1094" s="19">
        <f t="shared" si="179"/>
        <v>6137.0303988038931</v>
      </c>
      <c r="V1094" s="29" t="s">
        <v>2983</v>
      </c>
    </row>
    <row r="1095" spans="1:22" ht="15" customHeight="1" x14ac:dyDescent="0.25">
      <c r="A1095" t="s">
        <v>518</v>
      </c>
      <c r="B1095" t="s">
        <v>1091</v>
      </c>
      <c r="C1095" t="s">
        <v>2208</v>
      </c>
      <c r="D1095" t="s">
        <v>2209</v>
      </c>
      <c r="E1095" t="s">
        <v>833</v>
      </c>
      <c r="F1095" s="5">
        <v>16.29</v>
      </c>
      <c r="G1095" t="s">
        <v>606</v>
      </c>
      <c r="H1095" s="3">
        <v>3.5</v>
      </c>
      <c r="I1095" s="3">
        <v>17</v>
      </c>
      <c r="J1095" s="3">
        <v>30</v>
      </c>
      <c r="K1095" s="3">
        <v>2</v>
      </c>
      <c r="L1095">
        <f t="shared" si="180"/>
        <v>1.7849999999999999E-3</v>
      </c>
      <c r="M1095">
        <f t="shared" si="177"/>
        <v>8.9249999999999996E-2</v>
      </c>
      <c r="N1095" s="8">
        <v>50</v>
      </c>
      <c r="O1095" s="14">
        <f t="shared" si="181"/>
        <v>814.5</v>
      </c>
      <c r="P1095" s="8">
        <v>20</v>
      </c>
      <c r="Q1095" s="8">
        <f t="shared" ref="Q1095:Q1120" si="183">N1095/P1095</f>
        <v>2.5</v>
      </c>
      <c r="R1095" s="8">
        <f t="shared" ref="R1095:R1120" si="184">(N1095/30)*P1095</f>
        <v>33.333333333333336</v>
      </c>
      <c r="S1095" s="8">
        <f t="shared" si="182"/>
        <v>35.833333333333336</v>
      </c>
      <c r="T1095" s="22">
        <f t="shared" si="178"/>
        <v>0.60286890099478918</v>
      </c>
      <c r="U1095" s="19">
        <f t="shared" si="179"/>
        <v>6137.6332677048877</v>
      </c>
      <c r="V1095" s="29" t="s">
        <v>2983</v>
      </c>
    </row>
    <row r="1096" spans="1:22" ht="15" customHeight="1" x14ac:dyDescent="0.25">
      <c r="A1096" t="s">
        <v>518</v>
      </c>
      <c r="B1096" t="s">
        <v>637</v>
      </c>
      <c r="C1096" t="s">
        <v>2212</v>
      </c>
      <c r="D1096" t="s">
        <v>1247</v>
      </c>
      <c r="E1096" t="s">
        <v>2213</v>
      </c>
      <c r="F1096" s="5">
        <v>20</v>
      </c>
      <c r="G1096" t="s">
        <v>2216</v>
      </c>
      <c r="H1096" s="3">
        <v>20</v>
      </c>
      <c r="I1096" s="3">
        <v>600</v>
      </c>
      <c r="J1096" s="3">
        <v>0.5</v>
      </c>
      <c r="K1096" s="3">
        <v>6.0000000000000001E-3</v>
      </c>
      <c r="L1096">
        <f t="shared" si="180"/>
        <v>6.0000000000000001E-3</v>
      </c>
      <c r="M1096">
        <f t="shared" si="177"/>
        <v>0.24</v>
      </c>
      <c r="N1096" s="8">
        <v>40</v>
      </c>
      <c r="O1096" s="14">
        <f t="shared" si="181"/>
        <v>800</v>
      </c>
      <c r="P1096" s="8">
        <v>20</v>
      </c>
      <c r="Q1096" s="8">
        <f t="shared" si="183"/>
        <v>2</v>
      </c>
      <c r="R1096" s="8">
        <f t="shared" si="184"/>
        <v>26.666666666666664</v>
      </c>
      <c r="S1096" s="8">
        <f t="shared" si="182"/>
        <v>28.666666666666664</v>
      </c>
      <c r="T1096" s="22">
        <f t="shared" si="178"/>
        <v>0.59213642823306489</v>
      </c>
      <c r="U1096" s="19">
        <f t="shared" si="179"/>
        <v>6138.2254041331207</v>
      </c>
      <c r="V1096" s="29" t="s">
        <v>2983</v>
      </c>
    </row>
    <row r="1097" spans="1:22" ht="15" customHeight="1" x14ac:dyDescent="0.25">
      <c r="A1097" t="s">
        <v>518</v>
      </c>
      <c r="B1097" t="s">
        <v>637</v>
      </c>
      <c r="C1097" t="s">
        <v>1253</v>
      </c>
      <c r="D1097" t="s">
        <v>1254</v>
      </c>
      <c r="E1097" t="s">
        <v>2219</v>
      </c>
      <c r="F1097" s="5">
        <v>20</v>
      </c>
      <c r="G1097" t="s">
        <v>683</v>
      </c>
      <c r="H1097" s="3">
        <v>10</v>
      </c>
      <c r="I1097" s="3">
        <v>28</v>
      </c>
      <c r="J1097" s="3">
        <v>20</v>
      </c>
      <c r="K1097" s="3">
        <v>5.5999999999999999E-3</v>
      </c>
      <c r="L1097">
        <f t="shared" si="180"/>
        <v>5.5999999999999999E-3</v>
      </c>
      <c r="M1097">
        <f t="shared" si="177"/>
        <v>0.224</v>
      </c>
      <c r="N1097" s="8">
        <v>40</v>
      </c>
      <c r="O1097" s="14">
        <f t="shared" si="181"/>
        <v>800</v>
      </c>
      <c r="P1097" s="8">
        <v>20</v>
      </c>
      <c r="Q1097" s="8">
        <f t="shared" si="183"/>
        <v>2</v>
      </c>
      <c r="R1097" s="8">
        <f t="shared" si="184"/>
        <v>26.666666666666664</v>
      </c>
      <c r="S1097" s="8">
        <f t="shared" si="182"/>
        <v>28.666666666666664</v>
      </c>
      <c r="T1097" s="22">
        <f t="shared" si="178"/>
        <v>0.59213642823306489</v>
      </c>
      <c r="U1097" s="19">
        <f t="shared" si="179"/>
        <v>6138.8175405613538</v>
      </c>
      <c r="V1097" s="29" t="s">
        <v>2983</v>
      </c>
    </row>
    <row r="1098" spans="1:22" ht="15" customHeight="1" x14ac:dyDescent="0.25">
      <c r="A1098" t="s">
        <v>518</v>
      </c>
      <c r="B1098" t="s">
        <v>1090</v>
      </c>
      <c r="C1098" t="s">
        <v>2385</v>
      </c>
      <c r="D1098" t="s">
        <v>2386</v>
      </c>
      <c r="E1098" t="s">
        <v>234</v>
      </c>
      <c r="F1098" s="5">
        <v>199</v>
      </c>
      <c r="G1098" t="s">
        <v>683</v>
      </c>
      <c r="H1098" s="3">
        <v>15</v>
      </c>
      <c r="I1098" s="3">
        <v>15</v>
      </c>
      <c r="J1098" s="3">
        <v>15</v>
      </c>
      <c r="K1098" s="3">
        <v>6.64</v>
      </c>
      <c r="L1098">
        <f t="shared" si="180"/>
        <v>3.375E-3</v>
      </c>
      <c r="M1098">
        <f t="shared" si="177"/>
        <v>1.35E-2</v>
      </c>
      <c r="N1098" s="8">
        <v>4</v>
      </c>
      <c r="O1098" s="14">
        <f t="shared" si="181"/>
        <v>796</v>
      </c>
      <c r="P1098" s="8">
        <v>20</v>
      </c>
      <c r="Q1098" s="8">
        <f t="shared" si="183"/>
        <v>0.2</v>
      </c>
      <c r="R1098" s="8">
        <f t="shared" si="184"/>
        <v>2.6666666666666665</v>
      </c>
      <c r="S1098" s="8">
        <f t="shared" si="182"/>
        <v>2.8666666666666667</v>
      </c>
      <c r="T1098" s="22">
        <f t="shared" si="178"/>
        <v>0.5891757460918996</v>
      </c>
      <c r="U1098" s="19">
        <f t="shared" si="179"/>
        <v>6139.406716307446</v>
      </c>
      <c r="V1098" s="29" t="s">
        <v>2983</v>
      </c>
    </row>
    <row r="1099" spans="1:22" ht="15" customHeight="1" x14ac:dyDescent="0.25">
      <c r="A1099" t="s">
        <v>518</v>
      </c>
      <c r="B1099" t="s">
        <v>1091</v>
      </c>
      <c r="C1099" t="s">
        <v>2063</v>
      </c>
      <c r="D1099" t="s">
        <v>2069</v>
      </c>
      <c r="E1099" t="s">
        <v>480</v>
      </c>
      <c r="F1099" s="5">
        <v>11.9</v>
      </c>
      <c r="G1099" t="s">
        <v>796</v>
      </c>
      <c r="H1099" s="3">
        <v>140</v>
      </c>
      <c r="I1099" s="3">
        <v>23.5</v>
      </c>
      <c r="J1099" s="3">
        <v>1</v>
      </c>
      <c r="K1099" s="3">
        <v>1.73</v>
      </c>
      <c r="L1099">
        <f t="shared" si="180"/>
        <v>3.29E-3</v>
      </c>
      <c r="M1099">
        <f t="shared" si="177"/>
        <v>0.21714</v>
      </c>
      <c r="N1099" s="8">
        <v>66</v>
      </c>
      <c r="O1099" s="14">
        <f t="shared" si="181"/>
        <v>785.4</v>
      </c>
      <c r="P1099" s="8">
        <v>20</v>
      </c>
      <c r="Q1099" s="8">
        <f t="shared" si="183"/>
        <v>3.3</v>
      </c>
      <c r="R1099" s="8">
        <f t="shared" si="184"/>
        <v>44</v>
      </c>
      <c r="S1099" s="8">
        <f t="shared" si="182"/>
        <v>47.3</v>
      </c>
      <c r="T1099" s="22">
        <f t="shared" si="178"/>
        <v>0.58132993841781144</v>
      </c>
      <c r="U1099" s="19">
        <f t="shared" si="179"/>
        <v>6139.9880462458641</v>
      </c>
      <c r="V1099" s="29" t="s">
        <v>2983</v>
      </c>
    </row>
    <row r="1100" spans="1:22" ht="15" customHeight="1" x14ac:dyDescent="0.25">
      <c r="A1100" t="s">
        <v>518</v>
      </c>
      <c r="B1100" t="s">
        <v>637</v>
      </c>
      <c r="C1100" t="s">
        <v>2267</v>
      </c>
      <c r="D1100" t="s">
        <v>2274</v>
      </c>
      <c r="E1100" t="s">
        <v>24</v>
      </c>
      <c r="F1100" s="5">
        <v>27.9</v>
      </c>
      <c r="G1100" t="s">
        <v>678</v>
      </c>
      <c r="H1100" s="3">
        <v>10</v>
      </c>
      <c r="I1100" s="3">
        <v>15</v>
      </c>
      <c r="J1100" s="3">
        <v>15</v>
      </c>
      <c r="K1100" s="3">
        <v>0.5</v>
      </c>
      <c r="L1100">
        <f t="shared" si="180"/>
        <v>2.2499999999999998E-3</v>
      </c>
      <c r="M1100">
        <f t="shared" si="177"/>
        <v>6.3E-2</v>
      </c>
      <c r="N1100" s="8">
        <v>28</v>
      </c>
      <c r="O1100" s="14">
        <f t="shared" si="181"/>
        <v>781.19999999999993</v>
      </c>
      <c r="P1100" s="8">
        <v>20</v>
      </c>
      <c r="Q1100" s="8">
        <f t="shared" si="183"/>
        <v>1.4</v>
      </c>
      <c r="R1100" s="8">
        <f t="shared" si="184"/>
        <v>18.666666666666668</v>
      </c>
      <c r="S1100" s="8">
        <f t="shared" si="182"/>
        <v>20.066666666666666</v>
      </c>
      <c r="T1100" s="22">
        <f t="shared" si="178"/>
        <v>0.57822122216958782</v>
      </c>
      <c r="U1100" s="19">
        <f t="shared" si="179"/>
        <v>6140.5662674680334</v>
      </c>
      <c r="V1100" s="29" t="s">
        <v>2983</v>
      </c>
    </row>
    <row r="1101" spans="1:22" ht="15" customHeight="1" x14ac:dyDescent="0.25">
      <c r="A1101" t="s">
        <v>518</v>
      </c>
      <c r="B1101" t="s">
        <v>637</v>
      </c>
      <c r="C1101" t="s">
        <v>2267</v>
      </c>
      <c r="D1101" t="s">
        <v>2274</v>
      </c>
      <c r="E1101" t="s">
        <v>24</v>
      </c>
      <c r="F1101" s="5">
        <v>27.9</v>
      </c>
      <c r="G1101" t="s">
        <v>678</v>
      </c>
      <c r="H1101" s="3">
        <v>10</v>
      </c>
      <c r="I1101" s="3">
        <v>15</v>
      </c>
      <c r="J1101" s="3">
        <v>15</v>
      </c>
      <c r="K1101" s="3">
        <v>0.5</v>
      </c>
      <c r="L1101">
        <f t="shared" si="180"/>
        <v>2.2499999999999998E-3</v>
      </c>
      <c r="M1101">
        <f t="shared" si="177"/>
        <v>6.3E-2</v>
      </c>
      <c r="N1101" s="8">
        <v>28</v>
      </c>
      <c r="O1101" s="14">
        <f t="shared" si="181"/>
        <v>781.19999999999993</v>
      </c>
      <c r="P1101" s="8">
        <v>20</v>
      </c>
      <c r="Q1101" s="8">
        <f t="shared" si="183"/>
        <v>1.4</v>
      </c>
      <c r="R1101" s="8">
        <f t="shared" si="184"/>
        <v>18.666666666666668</v>
      </c>
      <c r="S1101" s="8">
        <f t="shared" si="182"/>
        <v>20.066666666666666</v>
      </c>
      <c r="T1101" s="22">
        <f t="shared" si="178"/>
        <v>0.57822122216958782</v>
      </c>
      <c r="U1101" s="19">
        <f t="shared" si="179"/>
        <v>6141.1444886902027</v>
      </c>
      <c r="V1101" s="29" t="s">
        <v>2983</v>
      </c>
    </row>
    <row r="1102" spans="1:22" ht="15" customHeight="1" x14ac:dyDescent="0.25">
      <c r="A1102" t="s">
        <v>518</v>
      </c>
      <c r="B1102" t="s">
        <v>1091</v>
      </c>
      <c r="C1102" t="s">
        <v>2063</v>
      </c>
      <c r="D1102" t="s">
        <v>2070</v>
      </c>
      <c r="E1102" t="s">
        <v>480</v>
      </c>
      <c r="F1102" s="5">
        <v>10.7</v>
      </c>
      <c r="G1102" t="s">
        <v>796</v>
      </c>
      <c r="H1102" s="3">
        <v>95</v>
      </c>
      <c r="I1102" s="3">
        <v>26</v>
      </c>
      <c r="J1102" s="3">
        <v>1</v>
      </c>
      <c r="K1102" s="3">
        <v>1.69</v>
      </c>
      <c r="L1102">
        <f t="shared" si="180"/>
        <v>2.47E-3</v>
      </c>
      <c r="M1102">
        <f t="shared" si="177"/>
        <v>0.1729</v>
      </c>
      <c r="N1102" s="8">
        <v>70</v>
      </c>
      <c r="O1102" s="14">
        <f t="shared" si="181"/>
        <v>749</v>
      </c>
      <c r="P1102" s="8">
        <v>20</v>
      </c>
      <c r="Q1102" s="8">
        <f t="shared" si="183"/>
        <v>3.5</v>
      </c>
      <c r="R1102" s="8">
        <f t="shared" si="184"/>
        <v>46.666666666666671</v>
      </c>
      <c r="S1102" s="8">
        <f t="shared" si="182"/>
        <v>50.166666666666671</v>
      </c>
      <c r="T1102" s="22">
        <f t="shared" si="178"/>
        <v>0.55438773093320703</v>
      </c>
      <c r="U1102" s="19">
        <f t="shared" si="179"/>
        <v>6141.6988764211355</v>
      </c>
      <c r="V1102" s="29" t="s">
        <v>2983</v>
      </c>
    </row>
    <row r="1103" spans="1:22" ht="15" customHeight="1" x14ac:dyDescent="0.25">
      <c r="A1103" t="s">
        <v>518</v>
      </c>
      <c r="B1103" t="s">
        <v>1090</v>
      </c>
      <c r="C1103" t="s">
        <v>2389</v>
      </c>
      <c r="D1103" t="s">
        <v>2391</v>
      </c>
      <c r="E1103" t="s">
        <v>2390</v>
      </c>
      <c r="F1103" s="5">
        <v>149.80000000000001</v>
      </c>
      <c r="G1103" t="s">
        <v>683</v>
      </c>
      <c r="H1103" s="3">
        <v>100</v>
      </c>
      <c r="I1103" s="3">
        <v>117</v>
      </c>
      <c r="J1103" s="3">
        <v>98</v>
      </c>
      <c r="K1103" s="3">
        <v>7.2</v>
      </c>
      <c r="L1103">
        <f t="shared" si="180"/>
        <v>1.1466000000000001</v>
      </c>
      <c r="M1103">
        <f t="shared" si="177"/>
        <v>5.7330000000000005</v>
      </c>
      <c r="N1103" s="8">
        <v>5</v>
      </c>
      <c r="O1103" s="14">
        <f t="shared" si="181"/>
        <v>749</v>
      </c>
      <c r="P1103" s="8">
        <v>20</v>
      </c>
      <c r="Q1103" s="8">
        <f t="shared" si="183"/>
        <v>0.25</v>
      </c>
      <c r="R1103" s="8">
        <f t="shared" si="184"/>
        <v>3.333333333333333</v>
      </c>
      <c r="S1103" s="8">
        <f t="shared" si="182"/>
        <v>3.583333333333333</v>
      </c>
      <c r="T1103" s="22">
        <f t="shared" si="178"/>
        <v>0.55438773093320703</v>
      </c>
      <c r="U1103" s="19">
        <f t="shared" si="179"/>
        <v>6142.2532641520684</v>
      </c>
      <c r="V1103" s="29" t="s">
        <v>2983</v>
      </c>
    </row>
    <row r="1104" spans="1:22" ht="15" customHeight="1" x14ac:dyDescent="0.25">
      <c r="A1104" t="s">
        <v>518</v>
      </c>
      <c r="B1104" t="s">
        <v>1090</v>
      </c>
      <c r="C1104" t="s">
        <v>2369</v>
      </c>
      <c r="D1104" t="s">
        <v>734</v>
      </c>
      <c r="E1104" t="s">
        <v>234</v>
      </c>
      <c r="F1104" s="5">
        <v>149</v>
      </c>
      <c r="G1104" t="s">
        <v>2323</v>
      </c>
      <c r="H1104" s="3">
        <v>110</v>
      </c>
      <c r="I1104" s="3">
        <v>90</v>
      </c>
      <c r="J1104" s="3">
        <v>100</v>
      </c>
      <c r="K1104" s="3">
        <v>59.6</v>
      </c>
      <c r="L1104">
        <f t="shared" si="180"/>
        <v>0.99</v>
      </c>
      <c r="M1104">
        <f t="shared" si="177"/>
        <v>4.95</v>
      </c>
      <c r="N1104" s="8">
        <v>5</v>
      </c>
      <c r="O1104" s="14">
        <f t="shared" si="181"/>
        <v>745</v>
      </c>
      <c r="P1104" s="8">
        <v>20</v>
      </c>
      <c r="Q1104" s="8">
        <f t="shared" si="183"/>
        <v>0.25</v>
      </c>
      <c r="R1104" s="8">
        <f t="shared" si="184"/>
        <v>3.333333333333333</v>
      </c>
      <c r="S1104" s="8">
        <f t="shared" si="182"/>
        <v>3.583333333333333</v>
      </c>
      <c r="T1104" s="22">
        <f t="shared" si="178"/>
        <v>0.55142704879204174</v>
      </c>
      <c r="U1104" s="19">
        <f t="shared" si="179"/>
        <v>6142.8046912008604</v>
      </c>
      <c r="V1104" s="29" t="s">
        <v>2983</v>
      </c>
    </row>
    <row r="1105" spans="1:22" ht="15" customHeight="1" x14ac:dyDescent="0.25">
      <c r="A1105" t="s">
        <v>518</v>
      </c>
      <c r="B1105" t="s">
        <v>1090</v>
      </c>
      <c r="C1105" t="s">
        <v>2374</v>
      </c>
      <c r="D1105" t="s">
        <v>736</v>
      </c>
      <c r="E1105" t="s">
        <v>234</v>
      </c>
      <c r="F1105" s="5">
        <v>149</v>
      </c>
      <c r="G1105" t="s">
        <v>2379</v>
      </c>
      <c r="H1105" s="3">
        <v>20</v>
      </c>
      <c r="I1105" s="3">
        <v>50</v>
      </c>
      <c r="J1105" s="3">
        <v>40</v>
      </c>
      <c r="K1105" s="3">
        <v>2.56</v>
      </c>
      <c r="L1105">
        <f t="shared" si="180"/>
        <v>0.04</v>
      </c>
      <c r="M1105">
        <f t="shared" si="177"/>
        <v>0.2</v>
      </c>
      <c r="N1105" s="8">
        <v>5</v>
      </c>
      <c r="O1105" s="14">
        <f t="shared" si="181"/>
        <v>745</v>
      </c>
      <c r="P1105" s="8">
        <v>20</v>
      </c>
      <c r="Q1105" s="8">
        <f t="shared" si="183"/>
        <v>0.25</v>
      </c>
      <c r="R1105" s="8">
        <f t="shared" si="184"/>
        <v>3.333333333333333</v>
      </c>
      <c r="S1105" s="8">
        <f t="shared" si="182"/>
        <v>3.583333333333333</v>
      </c>
      <c r="T1105" s="22">
        <f t="shared" si="178"/>
        <v>0.55142704879204174</v>
      </c>
      <c r="U1105" s="19">
        <f t="shared" si="179"/>
        <v>6143.3561182496524</v>
      </c>
      <c r="V1105" s="29" t="s">
        <v>2983</v>
      </c>
    </row>
    <row r="1106" spans="1:22" ht="15" customHeight="1" x14ac:dyDescent="0.25">
      <c r="A1106" t="s">
        <v>518</v>
      </c>
      <c r="B1106" t="s">
        <v>1090</v>
      </c>
      <c r="C1106" t="s">
        <v>2389</v>
      </c>
      <c r="D1106" t="s">
        <v>2388</v>
      </c>
      <c r="E1106" t="s">
        <v>2390</v>
      </c>
      <c r="F1106" s="5">
        <v>148.9</v>
      </c>
      <c r="G1106" t="s">
        <v>683</v>
      </c>
      <c r="H1106" s="3">
        <v>108</v>
      </c>
      <c r="I1106" s="3">
        <v>126</v>
      </c>
      <c r="J1106" s="3">
        <v>120</v>
      </c>
      <c r="K1106" s="3">
        <v>9</v>
      </c>
      <c r="L1106">
        <f t="shared" si="180"/>
        <v>1.63296</v>
      </c>
      <c r="M1106">
        <f t="shared" si="177"/>
        <v>8.1647999999999996</v>
      </c>
      <c r="N1106" s="8">
        <v>5</v>
      </c>
      <c r="O1106" s="14">
        <f t="shared" si="181"/>
        <v>744.5</v>
      </c>
      <c r="P1106" s="8">
        <v>20</v>
      </c>
      <c r="Q1106" s="8">
        <f t="shared" si="183"/>
        <v>0.25</v>
      </c>
      <c r="R1106" s="8">
        <f t="shared" si="184"/>
        <v>3.333333333333333</v>
      </c>
      <c r="S1106" s="8">
        <f t="shared" si="182"/>
        <v>3.583333333333333</v>
      </c>
      <c r="T1106" s="22">
        <f t="shared" si="178"/>
        <v>0.55105696352439604</v>
      </c>
      <c r="U1106" s="19">
        <f t="shared" si="179"/>
        <v>6143.9071752131767</v>
      </c>
      <c r="V1106" s="29" t="s">
        <v>2983</v>
      </c>
    </row>
    <row r="1107" spans="1:22" ht="15" customHeight="1" x14ac:dyDescent="0.25">
      <c r="A1107" t="s">
        <v>518</v>
      </c>
      <c r="B1107" t="s">
        <v>1090</v>
      </c>
      <c r="C1107" t="s">
        <v>784</v>
      </c>
      <c r="D1107" t="s">
        <v>786</v>
      </c>
      <c r="E1107" t="s">
        <v>234</v>
      </c>
      <c r="F1107" s="5">
        <v>147</v>
      </c>
      <c r="G1107" t="s">
        <v>774</v>
      </c>
      <c r="H1107" s="3">
        <v>115</v>
      </c>
      <c r="I1107" s="3">
        <v>69</v>
      </c>
      <c r="J1107" s="3">
        <v>12</v>
      </c>
      <c r="K1107" s="3">
        <v>21.6</v>
      </c>
      <c r="L1107">
        <f t="shared" si="180"/>
        <v>9.5219999999999999E-2</v>
      </c>
      <c r="M1107">
        <f t="shared" si="177"/>
        <v>0.47609999999999997</v>
      </c>
      <c r="N1107" s="8">
        <v>5</v>
      </c>
      <c r="O1107" s="14">
        <f t="shared" si="181"/>
        <v>735</v>
      </c>
      <c r="P1107" s="8">
        <v>20</v>
      </c>
      <c r="Q1107" s="8">
        <f t="shared" si="183"/>
        <v>0.25</v>
      </c>
      <c r="R1107" s="8">
        <f t="shared" si="184"/>
        <v>3.333333333333333</v>
      </c>
      <c r="S1107" s="8">
        <f t="shared" si="182"/>
        <v>3.583333333333333</v>
      </c>
      <c r="T1107" s="22">
        <f t="shared" si="178"/>
        <v>0.54402534343912834</v>
      </c>
      <c r="U1107" s="19">
        <f t="shared" si="179"/>
        <v>6144.4512005566157</v>
      </c>
      <c r="V1107" s="29" t="s">
        <v>2983</v>
      </c>
    </row>
    <row r="1108" spans="1:22" ht="15" customHeight="1" x14ac:dyDescent="0.25">
      <c r="A1108" t="s">
        <v>518</v>
      </c>
      <c r="B1108" t="s">
        <v>1090</v>
      </c>
      <c r="C1108" t="s">
        <v>771</v>
      </c>
      <c r="D1108" t="s">
        <v>538</v>
      </c>
      <c r="E1108" t="s">
        <v>234</v>
      </c>
      <c r="F1108" s="5">
        <v>147</v>
      </c>
      <c r="G1108" t="s">
        <v>683</v>
      </c>
      <c r="H1108" s="3">
        <v>10</v>
      </c>
      <c r="I1108" s="3">
        <v>15</v>
      </c>
      <c r="J1108" s="3">
        <v>25</v>
      </c>
      <c r="K1108" s="3">
        <v>0.6</v>
      </c>
      <c r="L1108">
        <f t="shared" si="180"/>
        <v>3.7499999999999999E-3</v>
      </c>
      <c r="M1108">
        <f t="shared" si="177"/>
        <v>1.8749999999999999E-2</v>
      </c>
      <c r="N1108" s="8">
        <v>5</v>
      </c>
      <c r="O1108" s="14">
        <f t="shared" si="181"/>
        <v>735</v>
      </c>
      <c r="P1108" s="8">
        <v>20</v>
      </c>
      <c r="Q1108" s="8">
        <f t="shared" si="183"/>
        <v>0.25</v>
      </c>
      <c r="R1108" s="8">
        <f t="shared" si="184"/>
        <v>3.333333333333333</v>
      </c>
      <c r="S1108" s="8">
        <f t="shared" si="182"/>
        <v>3.583333333333333</v>
      </c>
      <c r="T1108" s="22">
        <f t="shared" si="178"/>
        <v>0.54402534343912834</v>
      </c>
      <c r="U1108" s="19">
        <f t="shared" si="179"/>
        <v>6144.9952259000547</v>
      </c>
      <c r="V1108" s="29" t="s">
        <v>2983</v>
      </c>
    </row>
    <row r="1109" spans="1:22" ht="15" customHeight="1" x14ac:dyDescent="0.25">
      <c r="A1109" t="s">
        <v>518</v>
      </c>
      <c r="B1109" t="s">
        <v>1090</v>
      </c>
      <c r="C1109" t="s">
        <v>771</v>
      </c>
      <c r="D1109" t="s">
        <v>551</v>
      </c>
      <c r="E1109" t="s">
        <v>234</v>
      </c>
      <c r="F1109" s="5">
        <v>147</v>
      </c>
      <c r="G1109" t="s">
        <v>774</v>
      </c>
      <c r="H1109" s="3">
        <v>15</v>
      </c>
      <c r="I1109" s="3">
        <v>20</v>
      </c>
      <c r="J1109" s="3">
        <v>30</v>
      </c>
      <c r="K1109" s="3">
        <v>0.3</v>
      </c>
      <c r="L1109">
        <f t="shared" si="180"/>
        <v>8.9999999999999993E-3</v>
      </c>
      <c r="M1109">
        <f t="shared" si="177"/>
        <v>4.4999999999999998E-2</v>
      </c>
      <c r="N1109" s="8">
        <v>5</v>
      </c>
      <c r="O1109" s="14">
        <f t="shared" si="181"/>
        <v>735</v>
      </c>
      <c r="P1109" s="8">
        <v>20</v>
      </c>
      <c r="Q1109" s="8">
        <f t="shared" si="183"/>
        <v>0.25</v>
      </c>
      <c r="R1109" s="8">
        <f t="shared" si="184"/>
        <v>3.333333333333333</v>
      </c>
      <c r="S1109" s="8">
        <f t="shared" si="182"/>
        <v>3.583333333333333</v>
      </c>
      <c r="T1109" s="22">
        <f t="shared" si="178"/>
        <v>0.54402534343912834</v>
      </c>
      <c r="U1109" s="19">
        <f t="shared" si="179"/>
        <v>6145.5392512434937</v>
      </c>
      <c r="V1109" s="29" t="s">
        <v>2983</v>
      </c>
    </row>
    <row r="1110" spans="1:22" ht="15" customHeight="1" x14ac:dyDescent="0.25">
      <c r="A1110" t="s">
        <v>518</v>
      </c>
      <c r="B1110" t="s">
        <v>637</v>
      </c>
      <c r="C1110" t="s">
        <v>2251</v>
      </c>
      <c r="D1110" t="s">
        <v>1313</v>
      </c>
      <c r="E1110" t="s">
        <v>234</v>
      </c>
      <c r="F1110" s="5">
        <v>20</v>
      </c>
      <c r="G1110" t="s">
        <v>2244</v>
      </c>
      <c r="H1110" s="3">
        <v>17</v>
      </c>
      <c r="I1110" s="3">
        <v>30</v>
      </c>
      <c r="J1110" s="3">
        <v>15</v>
      </c>
      <c r="K1110" s="3">
        <v>7.6499999999999997E-3</v>
      </c>
      <c r="L1110">
        <f t="shared" si="180"/>
        <v>7.6499999999999997E-3</v>
      </c>
      <c r="M1110">
        <f t="shared" si="177"/>
        <v>0.27539999999999998</v>
      </c>
      <c r="N1110" s="8">
        <v>36</v>
      </c>
      <c r="O1110" s="14">
        <f t="shared" si="181"/>
        <v>720</v>
      </c>
      <c r="P1110" s="8">
        <v>20</v>
      </c>
      <c r="Q1110" s="8">
        <f t="shared" si="183"/>
        <v>1.8</v>
      </c>
      <c r="R1110" s="8">
        <f t="shared" si="184"/>
        <v>24</v>
      </c>
      <c r="S1110" s="8">
        <f t="shared" si="182"/>
        <v>25.8</v>
      </c>
      <c r="T1110" s="22">
        <f t="shared" si="178"/>
        <v>0.53292278540975846</v>
      </c>
      <c r="U1110" s="19">
        <f t="shared" si="179"/>
        <v>6146.0721740289036</v>
      </c>
      <c r="V1110" s="29" t="s">
        <v>2983</v>
      </c>
    </row>
    <row r="1111" spans="1:22" ht="15" customHeight="1" x14ac:dyDescent="0.25">
      <c r="A1111" t="s">
        <v>518</v>
      </c>
      <c r="B1111" t="s">
        <v>637</v>
      </c>
      <c r="C1111" t="s">
        <v>2243</v>
      </c>
      <c r="D1111" t="s">
        <v>1306</v>
      </c>
      <c r="E1111" t="s">
        <v>234</v>
      </c>
      <c r="F1111" s="5">
        <v>20</v>
      </c>
      <c r="G1111" t="s">
        <v>2244</v>
      </c>
      <c r="H1111" s="3">
        <v>20</v>
      </c>
      <c r="I1111" s="3">
        <v>25</v>
      </c>
      <c r="J1111" s="3">
        <v>15</v>
      </c>
      <c r="K1111" s="3">
        <v>7.4999999999999997E-3</v>
      </c>
      <c r="L1111">
        <f t="shared" si="180"/>
        <v>7.4999999999999997E-3</v>
      </c>
      <c r="M1111">
        <f t="shared" si="177"/>
        <v>0.27</v>
      </c>
      <c r="N1111" s="8">
        <v>36</v>
      </c>
      <c r="O1111" s="14">
        <f t="shared" si="181"/>
        <v>720</v>
      </c>
      <c r="P1111" s="8">
        <v>20</v>
      </c>
      <c r="Q1111" s="8">
        <f t="shared" si="183"/>
        <v>1.8</v>
      </c>
      <c r="R1111" s="8">
        <f t="shared" si="184"/>
        <v>24</v>
      </c>
      <c r="S1111" s="8">
        <f t="shared" si="182"/>
        <v>25.8</v>
      </c>
      <c r="T1111" s="22">
        <f t="shared" si="178"/>
        <v>0.53292278540975846</v>
      </c>
      <c r="U1111" s="19">
        <f t="shared" si="179"/>
        <v>6146.6050968143136</v>
      </c>
      <c r="V1111" s="29" t="s">
        <v>2983</v>
      </c>
    </row>
    <row r="1112" spans="1:22" ht="15" customHeight="1" x14ac:dyDescent="0.25">
      <c r="A1112" t="s">
        <v>518</v>
      </c>
      <c r="B1112" t="s">
        <v>1090</v>
      </c>
      <c r="C1112" t="s">
        <v>750</v>
      </c>
      <c r="D1112" t="s">
        <v>762</v>
      </c>
      <c r="E1112" t="s">
        <v>234</v>
      </c>
      <c r="F1112" s="5">
        <v>143.9</v>
      </c>
      <c r="G1112" t="s">
        <v>140</v>
      </c>
      <c r="H1112" s="3">
        <v>100</v>
      </c>
      <c r="I1112" s="3">
        <v>100</v>
      </c>
      <c r="J1112" s="3">
        <v>100</v>
      </c>
      <c r="K1112" s="3">
        <v>1.8</v>
      </c>
      <c r="L1112">
        <f t="shared" si="180"/>
        <v>1</v>
      </c>
      <c r="M1112">
        <f t="shared" si="177"/>
        <v>5</v>
      </c>
      <c r="N1112" s="8">
        <v>5</v>
      </c>
      <c r="O1112" s="14">
        <f t="shared" si="181"/>
        <v>719.5</v>
      </c>
      <c r="P1112" s="8">
        <v>20</v>
      </c>
      <c r="Q1112" s="8">
        <f t="shared" si="183"/>
        <v>0.25</v>
      </c>
      <c r="R1112" s="8">
        <f t="shared" si="184"/>
        <v>3.333333333333333</v>
      </c>
      <c r="S1112" s="8">
        <f t="shared" si="182"/>
        <v>3.583333333333333</v>
      </c>
      <c r="T1112" s="22">
        <f t="shared" si="178"/>
        <v>0.53255270014211276</v>
      </c>
      <c r="U1112" s="19">
        <f t="shared" si="179"/>
        <v>6147.1376495144559</v>
      </c>
      <c r="V1112" s="29" t="s">
        <v>2983</v>
      </c>
    </row>
    <row r="1113" spans="1:22" ht="15" customHeight="1" x14ac:dyDescent="0.25">
      <c r="A1113" t="s">
        <v>518</v>
      </c>
      <c r="B1113" t="s">
        <v>1090</v>
      </c>
      <c r="C1113" t="s">
        <v>2322</v>
      </c>
      <c r="D1113" t="s">
        <v>521</v>
      </c>
      <c r="E1113" t="s">
        <v>234</v>
      </c>
      <c r="F1113" s="5">
        <v>179</v>
      </c>
      <c r="G1113" t="s">
        <v>2323</v>
      </c>
      <c r="H1113" s="3">
        <v>110</v>
      </c>
      <c r="I1113" s="3">
        <v>90</v>
      </c>
      <c r="J1113" s="3">
        <v>100</v>
      </c>
      <c r="K1113" s="3">
        <v>4.84</v>
      </c>
      <c r="L1113">
        <f t="shared" si="180"/>
        <v>0.99</v>
      </c>
      <c r="M1113">
        <f t="shared" si="177"/>
        <v>3.96</v>
      </c>
      <c r="N1113" s="8">
        <v>4</v>
      </c>
      <c r="O1113" s="14">
        <f t="shared" si="181"/>
        <v>716</v>
      </c>
      <c r="P1113" s="8">
        <v>20</v>
      </c>
      <c r="Q1113" s="8">
        <f t="shared" si="183"/>
        <v>0.2</v>
      </c>
      <c r="R1113" s="8">
        <f t="shared" si="184"/>
        <v>2.6666666666666665</v>
      </c>
      <c r="S1113" s="8">
        <f t="shared" si="182"/>
        <v>2.8666666666666667</v>
      </c>
      <c r="T1113" s="22">
        <f t="shared" si="178"/>
        <v>0.52996210326859305</v>
      </c>
      <c r="U1113" s="19">
        <f t="shared" si="179"/>
        <v>6147.6676116177241</v>
      </c>
      <c r="V1113" s="29" t="s">
        <v>2983</v>
      </c>
    </row>
    <row r="1114" spans="1:22" ht="15" customHeight="1" x14ac:dyDescent="0.25">
      <c r="A1114" t="s">
        <v>518</v>
      </c>
      <c r="B1114" t="s">
        <v>1091</v>
      </c>
      <c r="C1114" t="s">
        <v>2082</v>
      </c>
      <c r="D1114" t="s">
        <v>2086</v>
      </c>
      <c r="E1114" t="s">
        <v>833</v>
      </c>
      <c r="F1114" s="5">
        <v>357.6</v>
      </c>
      <c r="G1114" t="s">
        <v>512</v>
      </c>
      <c r="H1114" s="3">
        <v>30</v>
      </c>
      <c r="I1114" s="3">
        <v>35</v>
      </c>
      <c r="J1114" s="3">
        <v>15</v>
      </c>
      <c r="K1114" s="3">
        <v>4.0999999999999996</v>
      </c>
      <c r="L1114">
        <f t="shared" si="180"/>
        <v>1.575E-2</v>
      </c>
      <c r="M1114">
        <f t="shared" si="177"/>
        <v>3.15E-2</v>
      </c>
      <c r="N1114" s="8">
        <v>2</v>
      </c>
      <c r="O1114" s="14">
        <f t="shared" si="181"/>
        <v>715.2</v>
      </c>
      <c r="P1114" s="8">
        <v>20</v>
      </c>
      <c r="Q1114" s="8">
        <f t="shared" si="183"/>
        <v>0.1</v>
      </c>
      <c r="R1114" s="8">
        <f t="shared" si="184"/>
        <v>1.3333333333333333</v>
      </c>
      <c r="S1114" s="8">
        <f t="shared" si="182"/>
        <v>1.4333333333333333</v>
      </c>
      <c r="T1114" s="22">
        <f t="shared" si="178"/>
        <v>0.52936996684036008</v>
      </c>
      <c r="U1114" s="19">
        <f t="shared" si="179"/>
        <v>6148.1969815845641</v>
      </c>
      <c r="V1114" s="29" t="s">
        <v>2983</v>
      </c>
    </row>
    <row r="1115" spans="1:22" ht="15" customHeight="1" x14ac:dyDescent="0.25">
      <c r="A1115" t="s">
        <v>518</v>
      </c>
      <c r="B1115" t="s">
        <v>1090</v>
      </c>
      <c r="C1115" t="s">
        <v>781</v>
      </c>
      <c r="D1115" t="s">
        <v>627</v>
      </c>
      <c r="E1115" t="s">
        <v>234</v>
      </c>
      <c r="F1115" s="5">
        <v>177</v>
      </c>
      <c r="G1115" t="s">
        <v>692</v>
      </c>
      <c r="H1115" s="3">
        <v>38</v>
      </c>
      <c r="I1115" s="3">
        <v>21</v>
      </c>
      <c r="J1115" s="3">
        <v>5.28</v>
      </c>
      <c r="K1115" s="3">
        <v>4.8899999999999997</v>
      </c>
      <c r="L1115">
        <f t="shared" si="180"/>
        <v>4.2134400000000006E-3</v>
      </c>
      <c r="M1115">
        <f t="shared" si="177"/>
        <v>1.6853760000000002E-2</v>
      </c>
      <c r="N1115" s="8">
        <v>4</v>
      </c>
      <c r="O1115" s="14">
        <f t="shared" si="181"/>
        <v>708</v>
      </c>
      <c r="P1115" s="8">
        <v>20</v>
      </c>
      <c r="Q1115" s="8">
        <f t="shared" si="183"/>
        <v>0.2</v>
      </c>
      <c r="R1115" s="8">
        <f t="shared" si="184"/>
        <v>2.6666666666666665</v>
      </c>
      <c r="S1115" s="8">
        <f t="shared" si="182"/>
        <v>2.8666666666666667</v>
      </c>
      <c r="T1115" s="22">
        <f t="shared" si="178"/>
        <v>0.52404073898626247</v>
      </c>
      <c r="U1115" s="19">
        <f t="shared" si="179"/>
        <v>6148.7210223235506</v>
      </c>
      <c r="V1115" s="29" t="s">
        <v>2983</v>
      </c>
    </row>
    <row r="1116" spans="1:22" ht="15" customHeight="1" x14ac:dyDescent="0.25">
      <c r="A1116" t="s">
        <v>518</v>
      </c>
      <c r="B1116" t="s">
        <v>1090</v>
      </c>
      <c r="C1116" t="s">
        <v>2385</v>
      </c>
      <c r="D1116" t="s">
        <v>2386</v>
      </c>
      <c r="E1116" t="s">
        <v>234</v>
      </c>
      <c r="F1116" s="5">
        <v>139.9</v>
      </c>
      <c r="G1116" t="s">
        <v>683</v>
      </c>
      <c r="H1116" s="3">
        <v>15</v>
      </c>
      <c r="I1116" s="3">
        <v>15</v>
      </c>
      <c r="J1116" s="3">
        <v>15</v>
      </c>
      <c r="K1116" s="3">
        <v>3.38</v>
      </c>
      <c r="L1116">
        <f t="shared" si="180"/>
        <v>3.375E-3</v>
      </c>
      <c r="M1116">
        <f t="shared" si="177"/>
        <v>1.6875000000000001E-2</v>
      </c>
      <c r="N1116" s="8">
        <v>5</v>
      </c>
      <c r="O1116" s="14">
        <f t="shared" si="181"/>
        <v>699.5</v>
      </c>
      <c r="P1116" s="8">
        <v>20</v>
      </c>
      <c r="Q1116" s="8">
        <f t="shared" si="183"/>
        <v>0.25</v>
      </c>
      <c r="R1116" s="8">
        <f t="shared" si="184"/>
        <v>3.333333333333333</v>
      </c>
      <c r="S1116" s="8">
        <f t="shared" si="182"/>
        <v>3.583333333333333</v>
      </c>
      <c r="T1116" s="22">
        <f t="shared" si="178"/>
        <v>0.51774928943628618</v>
      </c>
      <c r="U1116" s="19">
        <f t="shared" si="179"/>
        <v>6149.238771612987</v>
      </c>
      <c r="V1116" s="29" t="s">
        <v>2983</v>
      </c>
    </row>
    <row r="1117" spans="1:22" ht="15" customHeight="1" x14ac:dyDescent="0.25">
      <c r="A1117" t="s">
        <v>518</v>
      </c>
      <c r="B1117" t="s">
        <v>637</v>
      </c>
      <c r="C1117" t="s">
        <v>2267</v>
      </c>
      <c r="D1117" t="s">
        <v>2275</v>
      </c>
      <c r="E1117" t="s">
        <v>24</v>
      </c>
      <c r="F1117" s="5">
        <v>24.9</v>
      </c>
      <c r="G1117" t="s">
        <v>679</v>
      </c>
      <c r="H1117" s="3">
        <v>10</v>
      </c>
      <c r="I1117" s="3">
        <v>15</v>
      </c>
      <c r="J1117" s="3">
        <v>15</v>
      </c>
      <c r="K1117" s="3">
        <v>0.5</v>
      </c>
      <c r="L1117">
        <f t="shared" si="180"/>
        <v>2.2499999999999998E-3</v>
      </c>
      <c r="M1117">
        <f t="shared" si="177"/>
        <v>6.3E-2</v>
      </c>
      <c r="N1117" s="8">
        <v>28</v>
      </c>
      <c r="O1117" s="14">
        <f t="shared" si="181"/>
        <v>697.19999999999993</v>
      </c>
      <c r="P1117" s="8">
        <v>20</v>
      </c>
      <c r="Q1117" s="8">
        <f t="shared" si="183"/>
        <v>1.4</v>
      </c>
      <c r="R1117" s="8">
        <f t="shared" si="184"/>
        <v>18.666666666666668</v>
      </c>
      <c r="S1117" s="8">
        <f t="shared" si="182"/>
        <v>20.066666666666666</v>
      </c>
      <c r="T1117" s="22">
        <f t="shared" si="178"/>
        <v>0.51604689720511598</v>
      </c>
      <c r="U1117" s="19">
        <f t="shared" si="179"/>
        <v>6149.7548185101923</v>
      </c>
      <c r="V1117" s="29" t="s">
        <v>2983</v>
      </c>
    </row>
    <row r="1118" spans="1:22" ht="15" customHeight="1" x14ac:dyDescent="0.25">
      <c r="A1118" t="s">
        <v>518</v>
      </c>
      <c r="B1118" t="s">
        <v>637</v>
      </c>
      <c r="C1118" t="s">
        <v>2267</v>
      </c>
      <c r="D1118" t="s">
        <v>2276</v>
      </c>
      <c r="E1118" t="s">
        <v>24</v>
      </c>
      <c r="F1118" s="5">
        <v>24.9</v>
      </c>
      <c r="G1118" t="s">
        <v>679</v>
      </c>
      <c r="H1118" s="3">
        <v>10</v>
      </c>
      <c r="I1118" s="3">
        <v>15</v>
      </c>
      <c r="J1118" s="3">
        <v>15</v>
      </c>
      <c r="K1118" s="3">
        <v>0.5</v>
      </c>
      <c r="L1118">
        <f t="shared" si="180"/>
        <v>2.2499999999999998E-3</v>
      </c>
      <c r="M1118">
        <f t="shared" si="177"/>
        <v>6.3E-2</v>
      </c>
      <c r="N1118" s="8">
        <v>28</v>
      </c>
      <c r="O1118" s="14">
        <f t="shared" si="181"/>
        <v>697.19999999999993</v>
      </c>
      <c r="P1118" s="8">
        <v>20</v>
      </c>
      <c r="Q1118" s="8">
        <f t="shared" si="183"/>
        <v>1.4</v>
      </c>
      <c r="R1118" s="8">
        <f t="shared" si="184"/>
        <v>18.666666666666668</v>
      </c>
      <c r="S1118" s="8">
        <f t="shared" si="182"/>
        <v>20.066666666666666</v>
      </c>
      <c r="T1118" s="22">
        <f t="shared" si="178"/>
        <v>0.51604689720511598</v>
      </c>
      <c r="U1118" s="19">
        <f t="shared" si="179"/>
        <v>6150.2708654073977</v>
      </c>
      <c r="V1118" s="29" t="s">
        <v>2983</v>
      </c>
    </row>
    <row r="1119" spans="1:22" ht="15" customHeight="1" x14ac:dyDescent="0.25">
      <c r="A1119" t="s">
        <v>518</v>
      </c>
      <c r="B1119" t="s">
        <v>637</v>
      </c>
      <c r="C1119" t="s">
        <v>2267</v>
      </c>
      <c r="D1119" t="s">
        <v>2271</v>
      </c>
      <c r="E1119" t="s">
        <v>24</v>
      </c>
      <c r="F1119" s="5">
        <v>28.9</v>
      </c>
      <c r="G1119" t="s">
        <v>679</v>
      </c>
      <c r="H1119" s="3">
        <v>10</v>
      </c>
      <c r="I1119" s="3">
        <v>15</v>
      </c>
      <c r="J1119" s="3">
        <v>15</v>
      </c>
      <c r="K1119" s="3">
        <v>0.5</v>
      </c>
      <c r="L1119">
        <f t="shared" si="180"/>
        <v>2.2499999999999998E-3</v>
      </c>
      <c r="M1119">
        <f t="shared" si="177"/>
        <v>5.3999999999999992E-2</v>
      </c>
      <c r="N1119" s="8">
        <v>24</v>
      </c>
      <c r="O1119" s="14">
        <f t="shared" si="181"/>
        <v>693.59999999999991</v>
      </c>
      <c r="P1119" s="8">
        <v>20</v>
      </c>
      <c r="Q1119" s="8">
        <f t="shared" si="183"/>
        <v>1.2</v>
      </c>
      <c r="R1119" s="8">
        <f t="shared" si="184"/>
        <v>16</v>
      </c>
      <c r="S1119" s="8">
        <f t="shared" si="182"/>
        <v>17.2</v>
      </c>
      <c r="T1119" s="22">
        <f t="shared" si="178"/>
        <v>0.51338228327806723</v>
      </c>
      <c r="U1119" s="19">
        <f t="shared" si="179"/>
        <v>6150.7842476906753</v>
      </c>
      <c r="V1119" s="29" t="s">
        <v>2983</v>
      </c>
    </row>
    <row r="1120" spans="1:22" ht="15" customHeight="1" x14ac:dyDescent="0.25">
      <c r="A1120" t="s">
        <v>518</v>
      </c>
      <c r="B1120" t="s">
        <v>1090</v>
      </c>
      <c r="C1120" t="s">
        <v>792</v>
      </c>
      <c r="D1120" t="s">
        <v>793</v>
      </c>
      <c r="E1120" t="s">
        <v>234</v>
      </c>
      <c r="F1120" s="5">
        <v>138</v>
      </c>
      <c r="G1120" t="s">
        <v>794</v>
      </c>
      <c r="H1120" s="3">
        <v>80</v>
      </c>
      <c r="I1120" s="3">
        <v>100</v>
      </c>
      <c r="J1120" s="3">
        <v>4</v>
      </c>
      <c r="K1120" s="3">
        <v>10</v>
      </c>
      <c r="L1120">
        <f t="shared" si="180"/>
        <v>3.2000000000000001E-2</v>
      </c>
      <c r="M1120">
        <f t="shared" si="177"/>
        <v>0.16</v>
      </c>
      <c r="N1120" s="8">
        <v>5</v>
      </c>
      <c r="O1120" s="14">
        <f t="shared" si="181"/>
        <v>690</v>
      </c>
      <c r="P1120" s="8">
        <v>20</v>
      </c>
      <c r="Q1120" s="8">
        <f t="shared" si="183"/>
        <v>0.25</v>
      </c>
      <c r="R1120" s="8">
        <f t="shared" si="184"/>
        <v>3.333333333333333</v>
      </c>
      <c r="S1120" s="8">
        <f t="shared" si="182"/>
        <v>3.583333333333333</v>
      </c>
      <c r="T1120" s="22">
        <f t="shared" si="178"/>
        <v>0.51071766935101848</v>
      </c>
      <c r="U1120" s="19">
        <f t="shared" si="179"/>
        <v>6151.2949653600263</v>
      </c>
      <c r="V1120" s="29" t="s">
        <v>2983</v>
      </c>
    </row>
    <row r="1121" spans="1:22" ht="15" customHeight="1" x14ac:dyDescent="0.25">
      <c r="A1121" t="s">
        <v>518</v>
      </c>
      <c r="B1121" t="s">
        <v>519</v>
      </c>
      <c r="C1121" t="s">
        <v>552</v>
      </c>
      <c r="D1121" t="s">
        <v>553</v>
      </c>
      <c r="E1121" t="s">
        <v>24</v>
      </c>
      <c r="F1121" s="5">
        <v>20</v>
      </c>
      <c r="G1121" t="s">
        <v>543</v>
      </c>
      <c r="H1121" s="3">
        <v>5</v>
      </c>
      <c r="I1121" s="3">
        <v>20</v>
      </c>
      <c r="J1121" s="3">
        <v>10</v>
      </c>
      <c r="K1121" s="3">
        <v>1</v>
      </c>
      <c r="L1121">
        <f t="shared" si="180"/>
        <v>1E-3</v>
      </c>
      <c r="M1121">
        <f t="shared" si="177"/>
        <v>3.4000000000000002E-2</v>
      </c>
      <c r="N1121" s="8">
        <v>34</v>
      </c>
      <c r="O1121" s="14">
        <f t="shared" si="181"/>
        <v>680</v>
      </c>
      <c r="P1121" s="8">
        <v>25</v>
      </c>
      <c r="Q1121" s="8">
        <f>P1121/N1121</f>
        <v>0.73529411764705888</v>
      </c>
      <c r="R1121" s="8">
        <f>P1121+Q1121</f>
        <v>25.735294117647058</v>
      </c>
      <c r="S1121" s="8">
        <f t="shared" si="182"/>
        <v>26.470588235294116</v>
      </c>
      <c r="T1121" s="22">
        <f t="shared" si="178"/>
        <v>0.50331596399810519</v>
      </c>
      <c r="U1121" s="19">
        <f t="shared" si="179"/>
        <v>6151.7982813240242</v>
      </c>
      <c r="V1121" s="29" t="s">
        <v>2983</v>
      </c>
    </row>
    <row r="1122" spans="1:22" ht="15" customHeight="1" x14ac:dyDescent="0.25">
      <c r="A1122" t="s">
        <v>518</v>
      </c>
      <c r="B1122" t="s">
        <v>1090</v>
      </c>
      <c r="C1122" t="s">
        <v>2395</v>
      </c>
      <c r="D1122" t="s">
        <v>2391</v>
      </c>
      <c r="E1122" t="s">
        <v>234</v>
      </c>
      <c r="F1122" s="5">
        <v>168</v>
      </c>
      <c r="G1122" t="s">
        <v>2393</v>
      </c>
      <c r="H1122" s="3">
        <v>50</v>
      </c>
      <c r="I1122" s="3">
        <v>60</v>
      </c>
      <c r="J1122" s="3">
        <v>50</v>
      </c>
      <c r="K1122" s="3">
        <v>6</v>
      </c>
      <c r="L1122">
        <f t="shared" si="180"/>
        <v>0.15</v>
      </c>
      <c r="M1122">
        <f t="shared" si="177"/>
        <v>0.6</v>
      </c>
      <c r="N1122" s="8">
        <v>4</v>
      </c>
      <c r="O1122" s="14">
        <f t="shared" si="181"/>
        <v>672</v>
      </c>
      <c r="P1122" s="8">
        <v>20</v>
      </c>
      <c r="Q1122" s="8">
        <f t="shared" ref="Q1122:Q1139" si="185">N1122/P1122</f>
        <v>0.2</v>
      </c>
      <c r="R1122" s="8">
        <f t="shared" ref="R1122:R1139" si="186">(N1122/30)*P1122</f>
        <v>2.6666666666666665</v>
      </c>
      <c r="S1122" s="8">
        <f t="shared" si="182"/>
        <v>2.8666666666666667</v>
      </c>
      <c r="T1122" s="22">
        <f t="shared" si="178"/>
        <v>0.49739459971577454</v>
      </c>
      <c r="U1122" s="19">
        <f t="shared" si="179"/>
        <v>6152.2956759237395</v>
      </c>
      <c r="V1122" s="29" t="s">
        <v>2983</v>
      </c>
    </row>
    <row r="1123" spans="1:22" ht="15" customHeight="1" x14ac:dyDescent="0.25">
      <c r="A1123" t="s">
        <v>518</v>
      </c>
      <c r="B1123" t="s">
        <v>1091</v>
      </c>
      <c r="C1123" t="s">
        <v>1127</v>
      </c>
      <c r="D1123" t="s">
        <v>1128</v>
      </c>
      <c r="E1123" t="s">
        <v>833</v>
      </c>
      <c r="F1123" s="5">
        <v>332.2</v>
      </c>
      <c r="G1123" t="s">
        <v>512</v>
      </c>
      <c r="H1123" s="3">
        <v>350</v>
      </c>
      <c r="I1123" s="3">
        <v>350</v>
      </c>
      <c r="J1123" s="3">
        <v>150</v>
      </c>
      <c r="K1123" s="3">
        <v>80</v>
      </c>
      <c r="L1123">
        <f t="shared" si="180"/>
        <v>18.375</v>
      </c>
      <c r="M1123">
        <f t="shared" si="177"/>
        <v>36.75</v>
      </c>
      <c r="N1123" s="8">
        <v>2</v>
      </c>
      <c r="O1123" s="14">
        <f t="shared" si="181"/>
        <v>664.4</v>
      </c>
      <c r="P1123" s="8">
        <v>20</v>
      </c>
      <c r="Q1123" s="8">
        <f t="shared" si="185"/>
        <v>0.1</v>
      </c>
      <c r="R1123" s="8">
        <f t="shared" si="186"/>
        <v>1.3333333333333333</v>
      </c>
      <c r="S1123" s="8">
        <f t="shared" si="182"/>
        <v>1.4333333333333333</v>
      </c>
      <c r="T1123" s="22">
        <f t="shared" si="178"/>
        <v>0.49176930364756039</v>
      </c>
      <c r="U1123" s="19">
        <f t="shared" si="179"/>
        <v>6152.7874452273873</v>
      </c>
      <c r="V1123" s="29" t="s">
        <v>2983</v>
      </c>
    </row>
    <row r="1124" spans="1:22" ht="15" customHeight="1" x14ac:dyDescent="0.25">
      <c r="A1124" t="s">
        <v>518</v>
      </c>
      <c r="B1124" t="s">
        <v>1090</v>
      </c>
      <c r="C1124" t="s">
        <v>2445</v>
      </c>
      <c r="D1124" t="s">
        <v>2418</v>
      </c>
      <c r="E1124" t="s">
        <v>234</v>
      </c>
      <c r="F1124" s="5">
        <v>130</v>
      </c>
      <c r="G1124" t="s">
        <v>2421</v>
      </c>
      <c r="H1124" s="3">
        <v>20</v>
      </c>
      <c r="I1124" s="3">
        <v>30</v>
      </c>
      <c r="J1124" s="3">
        <v>20</v>
      </c>
      <c r="K1124" s="3">
        <v>8</v>
      </c>
      <c r="L1124">
        <f t="shared" si="180"/>
        <v>1.2E-2</v>
      </c>
      <c r="M1124">
        <f t="shared" si="177"/>
        <v>0.06</v>
      </c>
      <c r="N1124" s="8">
        <v>5</v>
      </c>
      <c r="O1124" s="14">
        <f t="shared" si="181"/>
        <v>650</v>
      </c>
      <c r="P1124" s="8">
        <v>20</v>
      </c>
      <c r="Q1124" s="8">
        <f t="shared" si="185"/>
        <v>0.25</v>
      </c>
      <c r="R1124" s="8">
        <f t="shared" si="186"/>
        <v>3.333333333333333</v>
      </c>
      <c r="S1124" s="8">
        <f t="shared" si="182"/>
        <v>3.583333333333333</v>
      </c>
      <c r="T1124" s="22">
        <f t="shared" si="178"/>
        <v>0.48111084793936526</v>
      </c>
      <c r="U1124" s="19">
        <f t="shared" si="179"/>
        <v>6153.2685560753271</v>
      </c>
      <c r="V1124" s="29" t="s">
        <v>2983</v>
      </c>
    </row>
    <row r="1125" spans="1:22" ht="15" customHeight="1" x14ac:dyDescent="0.25">
      <c r="A1125" t="s">
        <v>518</v>
      </c>
      <c r="B1125" t="s">
        <v>1090</v>
      </c>
      <c r="C1125" t="s">
        <v>2374</v>
      </c>
      <c r="D1125" t="s">
        <v>2377</v>
      </c>
      <c r="E1125" t="s">
        <v>234</v>
      </c>
      <c r="F1125" s="5">
        <v>129</v>
      </c>
      <c r="G1125" t="s">
        <v>683</v>
      </c>
      <c r="H1125" s="3">
        <v>100</v>
      </c>
      <c r="I1125" s="3">
        <v>100</v>
      </c>
      <c r="J1125" s="3">
        <v>100</v>
      </c>
      <c r="K1125" s="3">
        <v>8.1999999999999993</v>
      </c>
      <c r="L1125">
        <f t="shared" si="180"/>
        <v>1</v>
      </c>
      <c r="M1125">
        <f t="shared" si="177"/>
        <v>5</v>
      </c>
      <c r="N1125" s="8">
        <v>5</v>
      </c>
      <c r="O1125" s="14">
        <f t="shared" si="181"/>
        <v>645</v>
      </c>
      <c r="P1125" s="8">
        <v>20</v>
      </c>
      <c r="Q1125" s="8">
        <f t="shared" si="185"/>
        <v>0.25</v>
      </c>
      <c r="R1125" s="8">
        <f t="shared" si="186"/>
        <v>3.333333333333333</v>
      </c>
      <c r="S1125" s="8">
        <f t="shared" si="182"/>
        <v>3.583333333333333</v>
      </c>
      <c r="T1125" s="22">
        <f t="shared" si="178"/>
        <v>0.47740999526290856</v>
      </c>
      <c r="U1125" s="19">
        <f t="shared" si="179"/>
        <v>6153.7459660705899</v>
      </c>
      <c r="V1125" s="29" t="s">
        <v>2983</v>
      </c>
    </row>
    <row r="1126" spans="1:22" ht="15" customHeight="1" x14ac:dyDescent="0.25">
      <c r="A1126" t="s">
        <v>518</v>
      </c>
      <c r="B1126" t="s">
        <v>637</v>
      </c>
      <c r="C1126" t="s">
        <v>2267</v>
      </c>
      <c r="D1126" t="s">
        <v>2270</v>
      </c>
      <c r="E1126" t="s">
        <v>24</v>
      </c>
      <c r="F1126" s="5">
        <v>26.78</v>
      </c>
      <c r="G1126" t="s">
        <v>679</v>
      </c>
      <c r="H1126" s="3">
        <v>10</v>
      </c>
      <c r="I1126" s="3">
        <v>15</v>
      </c>
      <c r="J1126" s="3">
        <v>15</v>
      </c>
      <c r="K1126" s="3">
        <v>0.5</v>
      </c>
      <c r="L1126">
        <f t="shared" si="180"/>
        <v>2.2499999999999998E-3</v>
      </c>
      <c r="M1126">
        <f t="shared" si="177"/>
        <v>5.3999999999999992E-2</v>
      </c>
      <c r="N1126" s="8">
        <v>24</v>
      </c>
      <c r="O1126" s="14">
        <f t="shared" si="181"/>
        <v>642.72</v>
      </c>
      <c r="P1126" s="8">
        <v>20</v>
      </c>
      <c r="Q1126" s="8">
        <f t="shared" si="185"/>
        <v>1.2</v>
      </c>
      <c r="R1126" s="8">
        <f t="shared" si="186"/>
        <v>16</v>
      </c>
      <c r="S1126" s="8">
        <f t="shared" si="182"/>
        <v>17.2</v>
      </c>
      <c r="T1126" s="22">
        <f t="shared" si="178"/>
        <v>0.47572240644244435</v>
      </c>
      <c r="U1126" s="19">
        <f t="shared" si="179"/>
        <v>6154.2216884770323</v>
      </c>
      <c r="V1126" s="29" t="s">
        <v>2983</v>
      </c>
    </row>
    <row r="1127" spans="1:22" ht="15" customHeight="1" x14ac:dyDescent="0.25">
      <c r="A1127" t="s">
        <v>518</v>
      </c>
      <c r="B1127" t="s">
        <v>637</v>
      </c>
      <c r="C1127" t="s">
        <v>2267</v>
      </c>
      <c r="D1127" t="s">
        <v>2272</v>
      </c>
      <c r="E1127" t="s">
        <v>24</v>
      </c>
      <c r="F1127" s="5">
        <v>21.9</v>
      </c>
      <c r="G1127" t="s">
        <v>679</v>
      </c>
      <c r="H1127" s="3">
        <v>10</v>
      </c>
      <c r="I1127" s="3">
        <v>15</v>
      </c>
      <c r="J1127" s="3">
        <v>15</v>
      </c>
      <c r="K1127" s="3">
        <v>0.5</v>
      </c>
      <c r="L1127">
        <f t="shared" si="180"/>
        <v>2.2499999999999998E-3</v>
      </c>
      <c r="M1127">
        <f t="shared" si="177"/>
        <v>6.3E-2</v>
      </c>
      <c r="N1127" s="8">
        <v>28</v>
      </c>
      <c r="O1127" s="14">
        <f t="shared" si="181"/>
        <v>613.19999999999993</v>
      </c>
      <c r="P1127" s="8">
        <v>20</v>
      </c>
      <c r="Q1127" s="8">
        <f t="shared" si="185"/>
        <v>1.4</v>
      </c>
      <c r="R1127" s="8">
        <f t="shared" si="186"/>
        <v>18.666666666666668</v>
      </c>
      <c r="S1127" s="8">
        <f t="shared" si="182"/>
        <v>20.066666666666666</v>
      </c>
      <c r="T1127" s="22">
        <f t="shared" si="178"/>
        <v>0.4538725722406442</v>
      </c>
      <c r="U1127" s="19">
        <f t="shared" si="179"/>
        <v>6154.6755610492728</v>
      </c>
      <c r="V1127" s="29" t="s">
        <v>2983</v>
      </c>
    </row>
    <row r="1128" spans="1:22" ht="15" customHeight="1" x14ac:dyDescent="0.25">
      <c r="A1128" t="s">
        <v>518</v>
      </c>
      <c r="B1128" t="s">
        <v>637</v>
      </c>
      <c r="C1128" t="s">
        <v>2221</v>
      </c>
      <c r="D1128" t="s">
        <v>1258</v>
      </c>
      <c r="E1128" t="s">
        <v>234</v>
      </c>
      <c r="F1128" s="5">
        <v>16.899999999999999</v>
      </c>
      <c r="G1128" t="s">
        <v>683</v>
      </c>
      <c r="H1128" s="3">
        <v>16</v>
      </c>
      <c r="I1128" s="3">
        <v>27</v>
      </c>
      <c r="J1128" s="3">
        <v>15</v>
      </c>
      <c r="K1128" s="3">
        <v>6.4799999999999996E-3</v>
      </c>
      <c r="L1128">
        <f t="shared" si="180"/>
        <v>6.4799999999999996E-3</v>
      </c>
      <c r="M1128">
        <f t="shared" si="177"/>
        <v>0.23327999999999999</v>
      </c>
      <c r="N1128" s="8">
        <v>36</v>
      </c>
      <c r="O1128" s="14">
        <f t="shared" si="181"/>
        <v>608.4</v>
      </c>
      <c r="P1128" s="8">
        <v>20</v>
      </c>
      <c r="Q1128" s="8">
        <f t="shared" si="185"/>
        <v>1.8</v>
      </c>
      <c r="R1128" s="8">
        <f t="shared" si="186"/>
        <v>24</v>
      </c>
      <c r="S1128" s="8">
        <f t="shared" si="182"/>
        <v>25.8</v>
      </c>
      <c r="T1128" s="22">
        <f t="shared" si="178"/>
        <v>0.45031975367124583</v>
      </c>
      <c r="U1128" s="19">
        <f t="shared" si="179"/>
        <v>6155.1258808029443</v>
      </c>
      <c r="V1128" s="29" t="s">
        <v>2983</v>
      </c>
    </row>
    <row r="1129" spans="1:22" ht="15" customHeight="1" x14ac:dyDescent="0.25">
      <c r="A1129" t="s">
        <v>518</v>
      </c>
      <c r="B1129" t="s">
        <v>1091</v>
      </c>
      <c r="C1129" t="s">
        <v>1234</v>
      </c>
      <c r="D1129" t="s">
        <v>1235</v>
      </c>
      <c r="E1129" t="s">
        <v>833</v>
      </c>
      <c r="F1129" s="5">
        <v>302.39999999999998</v>
      </c>
      <c r="G1129" t="s">
        <v>512</v>
      </c>
      <c r="H1129" s="3">
        <v>22.5</v>
      </c>
      <c r="I1129" s="3">
        <v>45.5</v>
      </c>
      <c r="J1129" s="3">
        <v>25.5</v>
      </c>
      <c r="K1129" s="3">
        <v>15.805</v>
      </c>
      <c r="L1129">
        <f t="shared" si="180"/>
        <v>2.6105625E-2</v>
      </c>
      <c r="M1129">
        <f t="shared" si="177"/>
        <v>5.2211250000000001E-2</v>
      </c>
      <c r="N1129" s="8">
        <v>2</v>
      </c>
      <c r="O1129" s="14">
        <f t="shared" si="181"/>
        <v>604.79999999999995</v>
      </c>
      <c r="P1129" s="8">
        <v>20</v>
      </c>
      <c r="Q1129" s="8">
        <f t="shared" si="185"/>
        <v>0.1</v>
      </c>
      <c r="R1129" s="8">
        <f t="shared" si="186"/>
        <v>1.3333333333333333</v>
      </c>
      <c r="S1129" s="8">
        <f t="shared" si="182"/>
        <v>1.4333333333333333</v>
      </c>
      <c r="T1129" s="22">
        <f t="shared" si="178"/>
        <v>0.44765513974419702</v>
      </c>
      <c r="U1129" s="19">
        <f t="shared" si="179"/>
        <v>6155.5735359426881</v>
      </c>
      <c r="V1129" s="29" t="s">
        <v>2983</v>
      </c>
    </row>
    <row r="1130" spans="1:22" ht="15" customHeight="1" x14ac:dyDescent="0.25">
      <c r="A1130" t="s">
        <v>518</v>
      </c>
      <c r="B1130" t="s">
        <v>1091</v>
      </c>
      <c r="C1130" t="s">
        <v>2063</v>
      </c>
      <c r="D1130" t="s">
        <v>2066</v>
      </c>
      <c r="E1130" t="s">
        <v>480</v>
      </c>
      <c r="F1130" s="5">
        <v>12</v>
      </c>
      <c r="G1130" t="s">
        <v>512</v>
      </c>
      <c r="H1130" s="3">
        <v>140</v>
      </c>
      <c r="I1130" s="3">
        <v>21</v>
      </c>
      <c r="J1130" s="3">
        <v>1</v>
      </c>
      <c r="K1130" s="3">
        <v>1.52</v>
      </c>
      <c r="L1130">
        <f t="shared" si="180"/>
        <v>2.9399999999999999E-3</v>
      </c>
      <c r="M1130">
        <f t="shared" si="177"/>
        <v>0.14699999999999999</v>
      </c>
      <c r="N1130" s="8">
        <v>50</v>
      </c>
      <c r="O1130" s="14">
        <f t="shared" si="181"/>
        <v>600</v>
      </c>
      <c r="P1130" s="8">
        <v>20</v>
      </c>
      <c r="Q1130" s="8">
        <f t="shared" si="185"/>
        <v>2.5</v>
      </c>
      <c r="R1130" s="8">
        <f t="shared" si="186"/>
        <v>33.333333333333336</v>
      </c>
      <c r="S1130" s="8">
        <f t="shared" si="182"/>
        <v>35.833333333333336</v>
      </c>
      <c r="T1130" s="22">
        <f t="shared" si="178"/>
        <v>0.4441023211747987</v>
      </c>
      <c r="U1130" s="19">
        <f t="shared" si="179"/>
        <v>6156.0176382638629</v>
      </c>
      <c r="V1130" s="29" t="s">
        <v>2983</v>
      </c>
    </row>
    <row r="1131" spans="1:22" ht="15" customHeight="1" x14ac:dyDescent="0.25">
      <c r="A1131" t="s">
        <v>518</v>
      </c>
      <c r="B1131" t="s">
        <v>1090</v>
      </c>
      <c r="C1131" t="s">
        <v>2344</v>
      </c>
      <c r="D1131" t="s">
        <v>718</v>
      </c>
      <c r="E1131" t="s">
        <v>234</v>
      </c>
      <c r="F1131" s="5">
        <v>119</v>
      </c>
      <c r="G1131" t="s">
        <v>2323</v>
      </c>
      <c r="H1131" s="3">
        <v>110</v>
      </c>
      <c r="I1131" s="3">
        <v>90</v>
      </c>
      <c r="J1131" s="3">
        <v>100</v>
      </c>
      <c r="K1131" s="3">
        <v>7.2</v>
      </c>
      <c r="L1131">
        <f t="shared" si="180"/>
        <v>0.99</v>
      </c>
      <c r="M1131">
        <f t="shared" si="177"/>
        <v>4.95</v>
      </c>
      <c r="N1131" s="8">
        <v>5</v>
      </c>
      <c r="O1131" s="14">
        <f t="shared" si="181"/>
        <v>595</v>
      </c>
      <c r="P1131" s="8">
        <v>20</v>
      </c>
      <c r="Q1131" s="8">
        <f t="shared" si="185"/>
        <v>0.25</v>
      </c>
      <c r="R1131" s="8">
        <f t="shared" si="186"/>
        <v>3.333333333333333</v>
      </c>
      <c r="S1131" s="8">
        <f t="shared" si="182"/>
        <v>3.583333333333333</v>
      </c>
      <c r="T1131" s="22">
        <f t="shared" si="178"/>
        <v>0.44040146849834205</v>
      </c>
      <c r="U1131" s="19">
        <f t="shared" si="179"/>
        <v>6156.4580397323616</v>
      </c>
      <c r="V1131" s="29" t="s">
        <v>2983</v>
      </c>
    </row>
    <row r="1132" spans="1:22" ht="15" customHeight="1" x14ac:dyDescent="0.25">
      <c r="A1132" t="s">
        <v>518</v>
      </c>
      <c r="B1132" t="s">
        <v>637</v>
      </c>
      <c r="C1132" t="s">
        <v>2249</v>
      </c>
      <c r="D1132" t="s">
        <v>1311</v>
      </c>
      <c r="E1132" t="s">
        <v>234</v>
      </c>
      <c r="F1132" s="5">
        <v>16</v>
      </c>
      <c r="G1132" t="s">
        <v>2244</v>
      </c>
      <c r="H1132" s="3">
        <v>15</v>
      </c>
      <c r="I1132" s="3">
        <v>30</v>
      </c>
      <c r="J1132" s="3">
        <v>20</v>
      </c>
      <c r="K1132" s="3">
        <v>8.9999999999999993E-3</v>
      </c>
      <c r="L1132">
        <f t="shared" si="180"/>
        <v>8.9999999999999993E-3</v>
      </c>
      <c r="M1132">
        <f t="shared" si="177"/>
        <v>0.32399999999999995</v>
      </c>
      <c r="N1132" s="8">
        <v>36</v>
      </c>
      <c r="O1132" s="14">
        <f t="shared" si="181"/>
        <v>576</v>
      </c>
      <c r="P1132" s="8">
        <v>20</v>
      </c>
      <c r="Q1132" s="8">
        <f t="shared" si="185"/>
        <v>1.8</v>
      </c>
      <c r="R1132" s="8">
        <f t="shared" si="186"/>
        <v>24</v>
      </c>
      <c r="S1132" s="8">
        <f t="shared" si="182"/>
        <v>25.8</v>
      </c>
      <c r="T1132" s="22">
        <f t="shared" si="178"/>
        <v>0.42633822832780671</v>
      </c>
      <c r="U1132" s="19">
        <f t="shared" si="179"/>
        <v>6156.8843779606896</v>
      </c>
      <c r="V1132" s="29" t="s">
        <v>2983</v>
      </c>
    </row>
    <row r="1133" spans="1:22" ht="15" customHeight="1" x14ac:dyDescent="0.25">
      <c r="A1133" t="s">
        <v>518</v>
      </c>
      <c r="B1133" t="s">
        <v>1090</v>
      </c>
      <c r="C1133" t="s">
        <v>2387</v>
      </c>
      <c r="D1133" t="s">
        <v>2260</v>
      </c>
      <c r="E1133" t="s">
        <v>234</v>
      </c>
      <c r="F1133" s="5">
        <v>114.9</v>
      </c>
      <c r="G1133" t="s">
        <v>683</v>
      </c>
      <c r="H1133" s="3">
        <v>35</v>
      </c>
      <c r="I1133" s="3">
        <v>30</v>
      </c>
      <c r="J1133" s="3">
        <v>7.5</v>
      </c>
      <c r="K1133" s="3">
        <v>55.6</v>
      </c>
      <c r="L1133">
        <f t="shared" si="180"/>
        <v>7.8750000000000001E-3</v>
      </c>
      <c r="M1133">
        <f t="shared" si="177"/>
        <v>3.9375E-2</v>
      </c>
      <c r="N1133" s="8">
        <v>5</v>
      </c>
      <c r="O1133" s="14">
        <f t="shared" si="181"/>
        <v>574.5</v>
      </c>
      <c r="P1133" s="8">
        <v>20</v>
      </c>
      <c r="Q1133" s="8">
        <f t="shared" si="185"/>
        <v>0.25</v>
      </c>
      <c r="R1133" s="8">
        <f t="shared" si="186"/>
        <v>3.333333333333333</v>
      </c>
      <c r="S1133" s="8">
        <f t="shared" si="182"/>
        <v>3.583333333333333</v>
      </c>
      <c r="T1133" s="22">
        <f t="shared" si="178"/>
        <v>0.42522797252486977</v>
      </c>
      <c r="U1133" s="19">
        <f t="shared" si="179"/>
        <v>6157.3096059332147</v>
      </c>
      <c r="V1133" s="29" t="s">
        <v>2983</v>
      </c>
    </row>
    <row r="1134" spans="1:22" ht="15" customHeight="1" x14ac:dyDescent="0.25">
      <c r="A1134" t="s">
        <v>518</v>
      </c>
      <c r="B1134" t="s">
        <v>1090</v>
      </c>
      <c r="C1134" t="s">
        <v>2374</v>
      </c>
      <c r="D1134" t="s">
        <v>2380</v>
      </c>
      <c r="E1134" t="s">
        <v>234</v>
      </c>
      <c r="F1134" s="5">
        <v>143</v>
      </c>
      <c r="G1134" t="s">
        <v>2379</v>
      </c>
      <c r="H1134" s="3">
        <v>20</v>
      </c>
      <c r="I1134" s="3">
        <v>50</v>
      </c>
      <c r="J1134" s="3">
        <v>40</v>
      </c>
      <c r="K1134" s="3">
        <v>5.9</v>
      </c>
      <c r="L1134">
        <f t="shared" si="180"/>
        <v>0.04</v>
      </c>
      <c r="M1134">
        <f t="shared" ref="M1134:M1197" si="187">L1134*N1134</f>
        <v>0.16</v>
      </c>
      <c r="N1134" s="8">
        <v>4</v>
      </c>
      <c r="O1134" s="14">
        <f t="shared" si="181"/>
        <v>572</v>
      </c>
      <c r="P1134" s="8">
        <v>20</v>
      </c>
      <c r="Q1134" s="8">
        <f t="shared" si="185"/>
        <v>0.2</v>
      </c>
      <c r="R1134" s="8">
        <f t="shared" si="186"/>
        <v>2.6666666666666665</v>
      </c>
      <c r="S1134" s="8">
        <f t="shared" si="182"/>
        <v>2.8666666666666667</v>
      </c>
      <c r="T1134" s="22">
        <f t="shared" si="178"/>
        <v>0.42337754618664142</v>
      </c>
      <c r="U1134" s="19">
        <f t="shared" si="179"/>
        <v>6157.7329834794009</v>
      </c>
      <c r="V1134" s="29" t="s">
        <v>2983</v>
      </c>
    </row>
    <row r="1135" spans="1:22" ht="15" customHeight="1" x14ac:dyDescent="0.25">
      <c r="A1135" t="s">
        <v>518</v>
      </c>
      <c r="B1135" t="s">
        <v>1090</v>
      </c>
      <c r="C1135" t="s">
        <v>750</v>
      </c>
      <c r="D1135" t="s">
        <v>754</v>
      </c>
      <c r="E1135" t="s">
        <v>234</v>
      </c>
      <c r="F1135" s="5">
        <v>109</v>
      </c>
      <c r="G1135" t="s">
        <v>692</v>
      </c>
      <c r="H1135" s="3">
        <v>100</v>
      </c>
      <c r="I1135" s="3">
        <v>100</v>
      </c>
      <c r="J1135" s="3">
        <v>100</v>
      </c>
      <c r="K1135" s="3">
        <v>1.9</v>
      </c>
      <c r="L1135">
        <f t="shared" si="180"/>
        <v>1</v>
      </c>
      <c r="M1135">
        <f t="shared" si="187"/>
        <v>5</v>
      </c>
      <c r="N1135" s="8">
        <v>5</v>
      </c>
      <c r="O1135" s="14">
        <f t="shared" si="181"/>
        <v>545</v>
      </c>
      <c r="P1135" s="8">
        <v>20</v>
      </c>
      <c r="Q1135" s="8">
        <f t="shared" si="185"/>
        <v>0.25</v>
      </c>
      <c r="R1135" s="8">
        <f t="shared" si="186"/>
        <v>3.333333333333333</v>
      </c>
      <c r="S1135" s="8">
        <f t="shared" si="182"/>
        <v>3.583333333333333</v>
      </c>
      <c r="T1135" s="22">
        <f t="shared" si="178"/>
        <v>0.40339294173377549</v>
      </c>
      <c r="U1135" s="19">
        <f t="shared" si="179"/>
        <v>6158.1363764211346</v>
      </c>
      <c r="V1135" s="29" t="s">
        <v>2983</v>
      </c>
    </row>
    <row r="1136" spans="1:22" ht="15" customHeight="1" x14ac:dyDescent="0.25">
      <c r="A1136" t="s">
        <v>518</v>
      </c>
      <c r="B1136" t="s">
        <v>1090</v>
      </c>
      <c r="C1136" t="s">
        <v>750</v>
      </c>
      <c r="D1136" t="s">
        <v>763</v>
      </c>
      <c r="E1136" t="s">
        <v>234</v>
      </c>
      <c r="F1136" s="5">
        <v>109</v>
      </c>
      <c r="G1136" t="s">
        <v>692</v>
      </c>
      <c r="H1136" s="3">
        <v>100</v>
      </c>
      <c r="I1136" s="3">
        <v>100</v>
      </c>
      <c r="J1136" s="3">
        <v>100</v>
      </c>
      <c r="K1136" s="3">
        <v>1.9</v>
      </c>
      <c r="L1136">
        <f t="shared" si="180"/>
        <v>1</v>
      </c>
      <c r="M1136">
        <f t="shared" si="187"/>
        <v>5</v>
      </c>
      <c r="N1136" s="8">
        <v>5</v>
      </c>
      <c r="O1136" s="14">
        <f t="shared" si="181"/>
        <v>545</v>
      </c>
      <c r="P1136" s="8">
        <v>20</v>
      </c>
      <c r="Q1136" s="8">
        <f t="shared" si="185"/>
        <v>0.25</v>
      </c>
      <c r="R1136" s="8">
        <f t="shared" si="186"/>
        <v>3.333333333333333</v>
      </c>
      <c r="S1136" s="8">
        <f t="shared" si="182"/>
        <v>3.583333333333333</v>
      </c>
      <c r="T1136" s="22">
        <f t="shared" si="178"/>
        <v>0.40339294173377549</v>
      </c>
      <c r="U1136" s="19">
        <f t="shared" si="179"/>
        <v>6158.5397693628684</v>
      </c>
      <c r="V1136" s="29" t="s">
        <v>2983</v>
      </c>
    </row>
    <row r="1137" spans="1:22" ht="15" customHeight="1" x14ac:dyDescent="0.25">
      <c r="A1137" t="s">
        <v>518</v>
      </c>
      <c r="B1137" t="s">
        <v>637</v>
      </c>
      <c r="C1137" t="s">
        <v>2267</v>
      </c>
      <c r="D1137" t="s">
        <v>2268</v>
      </c>
      <c r="E1137" t="s">
        <v>24</v>
      </c>
      <c r="F1137" s="5">
        <v>21.9</v>
      </c>
      <c r="G1137" t="s">
        <v>678</v>
      </c>
      <c r="H1137" s="3">
        <v>10</v>
      </c>
      <c r="I1137" s="3">
        <v>15</v>
      </c>
      <c r="J1137" s="3">
        <v>15</v>
      </c>
      <c r="K1137" s="3">
        <v>0.5</v>
      </c>
      <c r="L1137">
        <f t="shared" si="180"/>
        <v>2.2499999999999998E-3</v>
      </c>
      <c r="M1137">
        <f t="shared" si="187"/>
        <v>5.3999999999999992E-2</v>
      </c>
      <c r="N1137" s="8">
        <v>24</v>
      </c>
      <c r="O1137" s="14">
        <f t="shared" si="181"/>
        <v>525.59999999999991</v>
      </c>
      <c r="P1137" s="8">
        <v>20</v>
      </c>
      <c r="Q1137" s="8">
        <f t="shared" si="185"/>
        <v>1.2</v>
      </c>
      <c r="R1137" s="8">
        <f t="shared" si="186"/>
        <v>16</v>
      </c>
      <c r="S1137" s="8">
        <f t="shared" si="182"/>
        <v>17.2</v>
      </c>
      <c r="T1137" s="22">
        <f t="shared" si="178"/>
        <v>0.38903363334912361</v>
      </c>
      <c r="U1137" s="19">
        <f t="shared" si="179"/>
        <v>6158.9288029962172</v>
      </c>
      <c r="V1137" s="29" t="s">
        <v>2983</v>
      </c>
    </row>
    <row r="1138" spans="1:22" ht="15" customHeight="1" x14ac:dyDescent="0.25">
      <c r="A1138" t="s">
        <v>518</v>
      </c>
      <c r="B1138" t="s">
        <v>1090</v>
      </c>
      <c r="C1138" t="s">
        <v>2428</v>
      </c>
      <c r="D1138" t="s">
        <v>2414</v>
      </c>
      <c r="E1138" t="s">
        <v>234</v>
      </c>
      <c r="F1138" s="5">
        <v>130</v>
      </c>
      <c r="G1138" t="s">
        <v>2429</v>
      </c>
      <c r="H1138" s="3">
        <v>25</v>
      </c>
      <c r="I1138" s="3">
        <v>20</v>
      </c>
      <c r="J1138" s="3">
        <v>20</v>
      </c>
      <c r="K1138" s="3">
        <v>5</v>
      </c>
      <c r="L1138">
        <f t="shared" si="180"/>
        <v>0.01</v>
      </c>
      <c r="M1138">
        <f t="shared" si="187"/>
        <v>0.04</v>
      </c>
      <c r="N1138" s="8">
        <v>4</v>
      </c>
      <c r="O1138" s="14">
        <f t="shared" si="181"/>
        <v>520</v>
      </c>
      <c r="P1138" s="8">
        <v>20</v>
      </c>
      <c r="Q1138" s="8">
        <f t="shared" si="185"/>
        <v>0.2</v>
      </c>
      <c r="R1138" s="8">
        <f t="shared" si="186"/>
        <v>2.6666666666666665</v>
      </c>
      <c r="S1138" s="8">
        <f t="shared" si="182"/>
        <v>2.8666666666666667</v>
      </c>
      <c r="T1138" s="22">
        <f t="shared" si="178"/>
        <v>0.38488867835149221</v>
      </c>
      <c r="U1138" s="19">
        <f t="shared" si="179"/>
        <v>6159.3136916745689</v>
      </c>
      <c r="V1138" s="29" t="s">
        <v>2983</v>
      </c>
    </row>
    <row r="1139" spans="1:22" ht="15" customHeight="1" x14ac:dyDescent="0.25">
      <c r="A1139" t="s">
        <v>518</v>
      </c>
      <c r="B1139" t="s">
        <v>1090</v>
      </c>
      <c r="C1139" t="s">
        <v>2398</v>
      </c>
      <c r="D1139" t="s">
        <v>2260</v>
      </c>
      <c r="E1139" t="s">
        <v>234</v>
      </c>
      <c r="F1139" s="5">
        <v>102</v>
      </c>
      <c r="G1139" t="s">
        <v>2393</v>
      </c>
      <c r="H1139" s="3">
        <v>40</v>
      </c>
      <c r="I1139" s="3">
        <v>60</v>
      </c>
      <c r="J1139" s="3">
        <v>50</v>
      </c>
      <c r="K1139" s="3">
        <v>4.2</v>
      </c>
      <c r="L1139">
        <f t="shared" si="180"/>
        <v>0.12</v>
      </c>
      <c r="M1139">
        <f t="shared" si="187"/>
        <v>0.6</v>
      </c>
      <c r="N1139" s="8">
        <v>5</v>
      </c>
      <c r="O1139" s="14">
        <f t="shared" si="181"/>
        <v>510</v>
      </c>
      <c r="P1139" s="8">
        <v>20</v>
      </c>
      <c r="Q1139" s="8">
        <f t="shared" si="185"/>
        <v>0.25</v>
      </c>
      <c r="R1139" s="8">
        <f t="shared" si="186"/>
        <v>3.333333333333333</v>
      </c>
      <c r="S1139" s="8">
        <f t="shared" si="182"/>
        <v>3.583333333333333</v>
      </c>
      <c r="T1139" s="22">
        <f t="shared" si="178"/>
        <v>0.37748697299857886</v>
      </c>
      <c r="U1139" s="19">
        <f t="shared" si="179"/>
        <v>6159.6911786475675</v>
      </c>
      <c r="V1139" s="29" t="s">
        <v>2983</v>
      </c>
    </row>
    <row r="1140" spans="1:22" ht="15" customHeight="1" x14ac:dyDescent="0.25">
      <c r="A1140" t="s">
        <v>518</v>
      </c>
      <c r="B1140" t="s">
        <v>519</v>
      </c>
      <c r="C1140" t="s">
        <v>539</v>
      </c>
      <c r="D1140" t="s">
        <v>540</v>
      </c>
      <c r="E1140" t="s">
        <v>24</v>
      </c>
      <c r="F1140" s="5">
        <v>15</v>
      </c>
      <c r="G1140" t="s">
        <v>522</v>
      </c>
      <c r="H1140" s="3">
        <v>5</v>
      </c>
      <c r="I1140" s="3">
        <v>20</v>
      </c>
      <c r="J1140" s="3">
        <v>10</v>
      </c>
      <c r="K1140" s="3">
        <v>1</v>
      </c>
      <c r="L1140">
        <f t="shared" si="180"/>
        <v>1E-3</v>
      </c>
      <c r="M1140">
        <f t="shared" si="187"/>
        <v>3.4000000000000002E-2</v>
      </c>
      <c r="N1140" s="8">
        <v>34</v>
      </c>
      <c r="O1140" s="14">
        <f t="shared" si="181"/>
        <v>510</v>
      </c>
      <c r="P1140" s="8">
        <v>25</v>
      </c>
      <c r="Q1140" s="8">
        <f>P1140/N1140</f>
        <v>0.73529411764705888</v>
      </c>
      <c r="R1140" s="8">
        <f>P1140+Q1140</f>
        <v>25.735294117647058</v>
      </c>
      <c r="S1140" s="8">
        <f t="shared" si="182"/>
        <v>26.470588235294116</v>
      </c>
      <c r="T1140" s="22">
        <f t="shared" si="178"/>
        <v>0.37748697299857886</v>
      </c>
      <c r="U1140" s="19">
        <f t="shared" si="179"/>
        <v>6160.0686656205662</v>
      </c>
      <c r="V1140" s="29" t="s">
        <v>2983</v>
      </c>
    </row>
    <row r="1141" spans="1:22" ht="15" customHeight="1" x14ac:dyDescent="0.25">
      <c r="A1141" t="s">
        <v>518</v>
      </c>
      <c r="B1141" t="s">
        <v>519</v>
      </c>
      <c r="C1141" t="s">
        <v>546</v>
      </c>
      <c r="D1141" t="s">
        <v>547</v>
      </c>
      <c r="E1141" t="s">
        <v>24</v>
      </c>
      <c r="F1141" s="5">
        <v>15</v>
      </c>
      <c r="G1141" t="s">
        <v>543</v>
      </c>
      <c r="H1141" s="3">
        <v>5</v>
      </c>
      <c r="I1141" s="3">
        <v>20</v>
      </c>
      <c r="J1141" s="3">
        <v>10</v>
      </c>
      <c r="K1141" s="3">
        <v>1</v>
      </c>
      <c r="L1141">
        <f t="shared" si="180"/>
        <v>1E-3</v>
      </c>
      <c r="M1141">
        <f t="shared" si="187"/>
        <v>3.4000000000000002E-2</v>
      </c>
      <c r="N1141" s="8">
        <v>34</v>
      </c>
      <c r="O1141" s="14">
        <f t="shared" si="181"/>
        <v>510</v>
      </c>
      <c r="P1141" s="8">
        <v>25</v>
      </c>
      <c r="Q1141" s="8">
        <f>P1141/N1141</f>
        <v>0.73529411764705888</v>
      </c>
      <c r="R1141" s="8">
        <f>P1141+Q1141</f>
        <v>25.735294117647058</v>
      </c>
      <c r="S1141" s="8">
        <f t="shared" si="182"/>
        <v>26.470588235294116</v>
      </c>
      <c r="T1141" s="22">
        <f t="shared" ref="T1141:T1204" si="188">O1141/O$1749</f>
        <v>0.37748697299857886</v>
      </c>
      <c r="U1141" s="19">
        <f t="shared" ref="U1141:U1204" si="189">U1140+T1141</f>
        <v>6160.4461525935649</v>
      </c>
      <c r="V1141" s="29" t="s">
        <v>2983</v>
      </c>
    </row>
    <row r="1142" spans="1:22" ht="15" customHeight="1" x14ac:dyDescent="0.25">
      <c r="A1142" t="s">
        <v>518</v>
      </c>
      <c r="B1142" t="s">
        <v>1091</v>
      </c>
      <c r="C1142" t="s">
        <v>2148</v>
      </c>
      <c r="D1142" t="s">
        <v>840</v>
      </c>
      <c r="E1142" t="s">
        <v>833</v>
      </c>
      <c r="F1142" s="5">
        <v>250</v>
      </c>
      <c r="G1142" t="s">
        <v>837</v>
      </c>
      <c r="H1142" s="3">
        <v>200</v>
      </c>
      <c r="I1142" s="3">
        <v>60</v>
      </c>
      <c r="J1142" s="3">
        <v>10</v>
      </c>
      <c r="K1142" s="3">
        <v>33</v>
      </c>
      <c r="L1142">
        <f t="shared" si="180"/>
        <v>0.12</v>
      </c>
      <c r="M1142">
        <f t="shared" si="187"/>
        <v>0.24</v>
      </c>
      <c r="N1142" s="8">
        <v>2</v>
      </c>
      <c r="O1142" s="14">
        <f t="shared" si="181"/>
        <v>500</v>
      </c>
      <c r="P1142" s="8">
        <v>20</v>
      </c>
      <c r="Q1142" s="8">
        <f t="shared" ref="Q1142:Q1148" si="190">N1142/P1142</f>
        <v>0.1</v>
      </c>
      <c r="R1142" s="8">
        <f t="shared" ref="R1142:R1148" si="191">(N1142/30)*P1142</f>
        <v>1.3333333333333333</v>
      </c>
      <c r="S1142" s="8">
        <f t="shared" si="182"/>
        <v>1.4333333333333333</v>
      </c>
      <c r="T1142" s="22">
        <f t="shared" si="188"/>
        <v>0.37008526764566557</v>
      </c>
      <c r="U1142" s="19">
        <f t="shared" si="189"/>
        <v>6160.8162378612105</v>
      </c>
      <c r="V1142" s="29" t="s">
        <v>2983</v>
      </c>
    </row>
    <row r="1143" spans="1:22" ht="15" customHeight="1" x14ac:dyDescent="0.25">
      <c r="A1143" t="s">
        <v>518</v>
      </c>
      <c r="B1143" t="s">
        <v>1090</v>
      </c>
      <c r="C1143" t="s">
        <v>2322</v>
      </c>
      <c r="D1143" t="s">
        <v>528</v>
      </c>
      <c r="E1143" t="s">
        <v>234</v>
      </c>
      <c r="F1143" s="5">
        <v>99.9</v>
      </c>
      <c r="G1143" t="s">
        <v>2323</v>
      </c>
      <c r="H1143" s="3">
        <v>110</v>
      </c>
      <c r="I1143" s="3">
        <v>90</v>
      </c>
      <c r="J1143" s="3">
        <v>100</v>
      </c>
      <c r="K1143" s="3">
        <v>4.84</v>
      </c>
      <c r="L1143">
        <f t="shared" si="180"/>
        <v>0.99</v>
      </c>
      <c r="M1143">
        <f t="shared" si="187"/>
        <v>4.95</v>
      </c>
      <c r="N1143" s="8">
        <v>5</v>
      </c>
      <c r="O1143" s="14">
        <f t="shared" si="181"/>
        <v>499.5</v>
      </c>
      <c r="P1143" s="8">
        <v>20</v>
      </c>
      <c r="Q1143" s="8">
        <f t="shared" si="190"/>
        <v>0.25</v>
      </c>
      <c r="R1143" s="8">
        <f t="shared" si="191"/>
        <v>3.333333333333333</v>
      </c>
      <c r="S1143" s="8">
        <f t="shared" si="182"/>
        <v>3.583333333333333</v>
      </c>
      <c r="T1143" s="22">
        <f t="shared" si="188"/>
        <v>0.36971518237801992</v>
      </c>
      <c r="U1143" s="19">
        <f t="shared" si="189"/>
        <v>6161.1859530435886</v>
      </c>
      <c r="V1143" s="29" t="s">
        <v>2983</v>
      </c>
    </row>
    <row r="1144" spans="1:22" ht="15" customHeight="1" x14ac:dyDescent="0.25">
      <c r="A1144" t="s">
        <v>518</v>
      </c>
      <c r="B1144" t="s">
        <v>1090</v>
      </c>
      <c r="C1144" t="s">
        <v>2385</v>
      </c>
      <c r="D1144" t="s">
        <v>740</v>
      </c>
      <c r="E1144" t="s">
        <v>234</v>
      </c>
      <c r="F1144" s="5">
        <v>99</v>
      </c>
      <c r="G1144" t="s">
        <v>140</v>
      </c>
      <c r="H1144" s="3">
        <v>15</v>
      </c>
      <c r="I1144" s="3">
        <v>20</v>
      </c>
      <c r="J1144" s="3">
        <v>30</v>
      </c>
      <c r="K1144" s="3">
        <v>3.29</v>
      </c>
      <c r="L1144">
        <f t="shared" si="180"/>
        <v>8.9999999999999993E-3</v>
      </c>
      <c r="M1144">
        <f t="shared" si="187"/>
        <v>4.4999999999999998E-2</v>
      </c>
      <c r="N1144" s="8">
        <v>5</v>
      </c>
      <c r="O1144" s="14">
        <f t="shared" si="181"/>
        <v>495</v>
      </c>
      <c r="P1144" s="8">
        <v>20</v>
      </c>
      <c r="Q1144" s="8">
        <f t="shared" si="190"/>
        <v>0.25</v>
      </c>
      <c r="R1144" s="8">
        <f t="shared" si="191"/>
        <v>3.333333333333333</v>
      </c>
      <c r="S1144" s="8">
        <f t="shared" si="182"/>
        <v>3.583333333333333</v>
      </c>
      <c r="T1144" s="22">
        <f t="shared" si="188"/>
        <v>0.36638441496920893</v>
      </c>
      <c r="U1144" s="19">
        <f t="shared" si="189"/>
        <v>6161.5523374585582</v>
      </c>
      <c r="V1144" s="29" t="s">
        <v>2983</v>
      </c>
    </row>
    <row r="1145" spans="1:22" ht="15" customHeight="1" x14ac:dyDescent="0.25">
      <c r="A1145" t="s">
        <v>518</v>
      </c>
      <c r="B1145" t="s">
        <v>1090</v>
      </c>
      <c r="C1145" t="s">
        <v>792</v>
      </c>
      <c r="D1145" t="s">
        <v>795</v>
      </c>
      <c r="E1145" t="s">
        <v>234</v>
      </c>
      <c r="F1145" s="5">
        <v>98</v>
      </c>
      <c r="G1145" t="s">
        <v>794</v>
      </c>
      <c r="H1145" s="3">
        <v>80</v>
      </c>
      <c r="I1145" s="3">
        <v>100</v>
      </c>
      <c r="J1145" s="3">
        <v>4</v>
      </c>
      <c r="K1145" s="3">
        <v>10</v>
      </c>
      <c r="L1145">
        <f t="shared" si="180"/>
        <v>3.2000000000000001E-2</v>
      </c>
      <c r="M1145">
        <f t="shared" si="187"/>
        <v>0.16</v>
      </c>
      <c r="N1145" s="8">
        <v>5</v>
      </c>
      <c r="O1145" s="14">
        <f t="shared" si="181"/>
        <v>490</v>
      </c>
      <c r="P1145" s="8">
        <v>20</v>
      </c>
      <c r="Q1145" s="8">
        <f t="shared" si="190"/>
        <v>0.25</v>
      </c>
      <c r="R1145" s="8">
        <f t="shared" si="191"/>
        <v>3.333333333333333</v>
      </c>
      <c r="S1145" s="8">
        <f t="shared" si="182"/>
        <v>3.583333333333333</v>
      </c>
      <c r="T1145" s="22">
        <f t="shared" si="188"/>
        <v>0.36268356229275228</v>
      </c>
      <c r="U1145" s="19">
        <f t="shared" si="189"/>
        <v>6161.9150210208509</v>
      </c>
      <c r="V1145" s="29" t="s">
        <v>2983</v>
      </c>
    </row>
    <row r="1146" spans="1:22" ht="15" customHeight="1" x14ac:dyDescent="0.25">
      <c r="A1146" t="s">
        <v>518</v>
      </c>
      <c r="B1146" t="s">
        <v>1090</v>
      </c>
      <c r="C1146" t="s">
        <v>2392</v>
      </c>
      <c r="D1146" t="s">
        <v>2394</v>
      </c>
      <c r="E1146" t="s">
        <v>234</v>
      </c>
      <c r="F1146" s="5">
        <v>96</v>
      </c>
      <c r="G1146" t="s">
        <v>2393</v>
      </c>
      <c r="H1146" s="3">
        <v>18</v>
      </c>
      <c r="I1146" s="3">
        <v>15</v>
      </c>
      <c r="J1146" s="3">
        <v>50</v>
      </c>
      <c r="K1146" s="3">
        <v>4.8</v>
      </c>
      <c r="L1146">
        <f t="shared" si="180"/>
        <v>1.35E-2</v>
      </c>
      <c r="M1146">
        <f t="shared" si="187"/>
        <v>6.7500000000000004E-2</v>
      </c>
      <c r="N1146" s="8">
        <v>5</v>
      </c>
      <c r="O1146" s="14">
        <f t="shared" si="181"/>
        <v>480</v>
      </c>
      <c r="P1146" s="8">
        <v>20</v>
      </c>
      <c r="Q1146" s="8">
        <f t="shared" si="190"/>
        <v>0.25</v>
      </c>
      <c r="R1146" s="8">
        <f t="shared" si="191"/>
        <v>3.333333333333333</v>
      </c>
      <c r="S1146" s="8">
        <f t="shared" si="182"/>
        <v>3.583333333333333</v>
      </c>
      <c r="T1146" s="22">
        <f t="shared" si="188"/>
        <v>0.35528185693983894</v>
      </c>
      <c r="U1146" s="19">
        <f t="shared" si="189"/>
        <v>6162.2703028777905</v>
      </c>
      <c r="V1146" s="29" t="s">
        <v>2983</v>
      </c>
    </row>
    <row r="1147" spans="1:22" ht="15" customHeight="1" x14ac:dyDescent="0.25">
      <c r="A1147" t="s">
        <v>518</v>
      </c>
      <c r="B1147" t="s">
        <v>1091</v>
      </c>
      <c r="C1147" t="s">
        <v>1232</v>
      </c>
      <c r="D1147" t="s">
        <v>1233</v>
      </c>
      <c r="E1147" t="s">
        <v>833</v>
      </c>
      <c r="F1147" s="5">
        <v>239.6</v>
      </c>
      <c r="G1147" t="s">
        <v>512</v>
      </c>
      <c r="H1147" s="3">
        <v>28.5</v>
      </c>
      <c r="I1147" s="3">
        <v>36.5</v>
      </c>
      <c r="J1147" s="3">
        <v>59.5</v>
      </c>
      <c r="K1147" s="3">
        <v>10.164999999999999</v>
      </c>
      <c r="L1147">
        <f t="shared" si="180"/>
        <v>6.1894875000000002E-2</v>
      </c>
      <c r="M1147">
        <f t="shared" si="187"/>
        <v>0.12378975</v>
      </c>
      <c r="N1147" s="8">
        <v>2</v>
      </c>
      <c r="O1147" s="14">
        <f t="shared" si="181"/>
        <v>479.2</v>
      </c>
      <c r="P1147" s="8">
        <v>20</v>
      </c>
      <c r="Q1147" s="8">
        <f t="shared" si="190"/>
        <v>0.1</v>
      </c>
      <c r="R1147" s="8">
        <f t="shared" si="191"/>
        <v>1.3333333333333333</v>
      </c>
      <c r="S1147" s="8">
        <f t="shared" si="182"/>
        <v>1.4333333333333333</v>
      </c>
      <c r="T1147" s="22">
        <f t="shared" si="188"/>
        <v>0.35468972051160585</v>
      </c>
      <c r="U1147" s="19">
        <f t="shared" si="189"/>
        <v>6162.624992598302</v>
      </c>
      <c r="V1147" s="29" t="s">
        <v>2983</v>
      </c>
    </row>
    <row r="1148" spans="1:22" ht="15" customHeight="1" x14ac:dyDescent="0.25">
      <c r="A1148" t="s">
        <v>518</v>
      </c>
      <c r="B1148" t="s">
        <v>1090</v>
      </c>
      <c r="C1148" t="s">
        <v>779</v>
      </c>
      <c r="D1148" t="s">
        <v>619</v>
      </c>
      <c r="E1148" t="s">
        <v>234</v>
      </c>
      <c r="F1148" s="5">
        <v>95</v>
      </c>
      <c r="G1148" t="s">
        <v>683</v>
      </c>
      <c r="H1148" s="3">
        <v>50</v>
      </c>
      <c r="I1148" s="3">
        <v>50</v>
      </c>
      <c r="J1148" s="3">
        <v>20</v>
      </c>
      <c r="K1148" s="3">
        <v>8.6</v>
      </c>
      <c r="L1148">
        <f t="shared" si="180"/>
        <v>0.05</v>
      </c>
      <c r="M1148">
        <f t="shared" si="187"/>
        <v>0.25</v>
      </c>
      <c r="N1148" s="8">
        <v>5</v>
      </c>
      <c r="O1148" s="14">
        <f t="shared" si="181"/>
        <v>475</v>
      </c>
      <c r="P1148" s="8">
        <v>20</v>
      </c>
      <c r="Q1148" s="8">
        <f t="shared" si="190"/>
        <v>0.25</v>
      </c>
      <c r="R1148" s="8">
        <f t="shared" si="191"/>
        <v>3.333333333333333</v>
      </c>
      <c r="S1148" s="8">
        <f t="shared" si="182"/>
        <v>3.583333333333333</v>
      </c>
      <c r="T1148" s="22">
        <f t="shared" si="188"/>
        <v>0.35158100426338229</v>
      </c>
      <c r="U1148" s="19">
        <f t="shared" si="189"/>
        <v>6162.9765736025656</v>
      </c>
      <c r="V1148" s="29" t="s">
        <v>2983</v>
      </c>
    </row>
    <row r="1149" spans="1:22" ht="15" customHeight="1" x14ac:dyDescent="0.25">
      <c r="A1149" t="s">
        <v>518</v>
      </c>
      <c r="B1149" t="s">
        <v>519</v>
      </c>
      <c r="C1149" t="s">
        <v>541</v>
      </c>
      <c r="D1149" t="s">
        <v>554</v>
      </c>
      <c r="E1149" t="s">
        <v>24</v>
      </c>
      <c r="F1149" s="5">
        <v>13.9</v>
      </c>
      <c r="G1149" t="s">
        <v>543</v>
      </c>
      <c r="H1149" s="3">
        <v>5</v>
      </c>
      <c r="I1149" s="3">
        <v>20</v>
      </c>
      <c r="J1149" s="3">
        <v>10</v>
      </c>
      <c r="K1149" s="3">
        <v>1</v>
      </c>
      <c r="L1149">
        <f t="shared" si="180"/>
        <v>1E-3</v>
      </c>
      <c r="M1149">
        <f t="shared" si="187"/>
        <v>3.4000000000000002E-2</v>
      </c>
      <c r="N1149" s="8">
        <v>34</v>
      </c>
      <c r="O1149" s="14">
        <f t="shared" si="181"/>
        <v>472.6</v>
      </c>
      <c r="P1149" s="8">
        <v>25</v>
      </c>
      <c r="Q1149" s="8">
        <f>P1149/N1149</f>
        <v>0.73529411764705888</v>
      </c>
      <c r="R1149" s="8">
        <f>P1149+Q1149</f>
        <v>25.735294117647058</v>
      </c>
      <c r="S1149" s="8">
        <f t="shared" si="182"/>
        <v>26.470588235294116</v>
      </c>
      <c r="T1149" s="22">
        <f t="shared" si="188"/>
        <v>0.3498045949786831</v>
      </c>
      <c r="U1149" s="19">
        <f t="shared" si="189"/>
        <v>6163.3263781975447</v>
      </c>
      <c r="V1149" s="29" t="s">
        <v>2983</v>
      </c>
    </row>
    <row r="1150" spans="1:22" ht="15" customHeight="1" x14ac:dyDescent="0.25">
      <c r="A1150" t="s">
        <v>518</v>
      </c>
      <c r="B1150" t="s">
        <v>637</v>
      </c>
      <c r="C1150" t="s">
        <v>2267</v>
      </c>
      <c r="D1150" t="s">
        <v>2273</v>
      </c>
      <c r="E1150" t="s">
        <v>24</v>
      </c>
      <c r="F1150" s="5">
        <v>16.39</v>
      </c>
      <c r="G1150" t="s">
        <v>679</v>
      </c>
      <c r="H1150" s="3">
        <v>10</v>
      </c>
      <c r="I1150" s="3">
        <v>15</v>
      </c>
      <c r="J1150" s="3">
        <v>15</v>
      </c>
      <c r="K1150" s="3">
        <v>0.5</v>
      </c>
      <c r="L1150">
        <f t="shared" si="180"/>
        <v>2.2499999999999998E-3</v>
      </c>
      <c r="M1150">
        <f t="shared" si="187"/>
        <v>6.3E-2</v>
      </c>
      <c r="N1150" s="8">
        <v>28</v>
      </c>
      <c r="O1150" s="14">
        <f t="shared" si="181"/>
        <v>458.92</v>
      </c>
      <c r="P1150" s="8">
        <v>20</v>
      </c>
      <c r="Q1150" s="8">
        <f t="shared" ref="Q1150:Q1177" si="192">N1150/P1150</f>
        <v>1.4</v>
      </c>
      <c r="R1150" s="8">
        <f t="shared" ref="R1150:R1177" si="193">(N1150/30)*P1150</f>
        <v>18.666666666666668</v>
      </c>
      <c r="S1150" s="8">
        <f t="shared" si="182"/>
        <v>20.066666666666666</v>
      </c>
      <c r="T1150" s="22">
        <f t="shared" si="188"/>
        <v>0.33967906205589771</v>
      </c>
      <c r="U1150" s="19">
        <f t="shared" si="189"/>
        <v>6163.6660572596011</v>
      </c>
      <c r="V1150" s="29" t="s">
        <v>2983</v>
      </c>
    </row>
    <row r="1151" spans="1:22" ht="15" customHeight="1" x14ac:dyDescent="0.25">
      <c r="A1151" t="s">
        <v>518</v>
      </c>
      <c r="B1151" t="s">
        <v>637</v>
      </c>
      <c r="C1151" t="s">
        <v>2284</v>
      </c>
      <c r="D1151" t="s">
        <v>694</v>
      </c>
      <c r="E1151" t="s">
        <v>24</v>
      </c>
      <c r="F1151" s="5">
        <v>9.1300000000000008</v>
      </c>
      <c r="G1151" t="s">
        <v>692</v>
      </c>
      <c r="H1151" s="3">
        <v>10</v>
      </c>
      <c r="I1151" s="3">
        <v>15</v>
      </c>
      <c r="J1151" s="3">
        <v>10</v>
      </c>
      <c r="K1151" s="3">
        <v>2</v>
      </c>
      <c r="L1151">
        <f t="shared" si="180"/>
        <v>1.5E-3</v>
      </c>
      <c r="M1151">
        <f t="shared" si="187"/>
        <v>7.4999999999999997E-2</v>
      </c>
      <c r="N1151" s="8">
        <v>50</v>
      </c>
      <c r="O1151" s="14">
        <f t="shared" si="181"/>
        <v>456.50000000000006</v>
      </c>
      <c r="P1151" s="8">
        <v>20</v>
      </c>
      <c r="Q1151" s="8">
        <f t="shared" si="192"/>
        <v>2.5</v>
      </c>
      <c r="R1151" s="8">
        <f t="shared" si="193"/>
        <v>33.333333333333336</v>
      </c>
      <c r="S1151" s="8">
        <f t="shared" si="182"/>
        <v>35.833333333333336</v>
      </c>
      <c r="T1151" s="22">
        <f t="shared" si="188"/>
        <v>0.33788784936049271</v>
      </c>
      <c r="U1151" s="19">
        <f t="shared" si="189"/>
        <v>6164.0039451089615</v>
      </c>
      <c r="V1151" s="29" t="s">
        <v>2983</v>
      </c>
    </row>
    <row r="1152" spans="1:22" ht="15" customHeight="1" x14ac:dyDescent="0.25">
      <c r="A1152" t="s">
        <v>518</v>
      </c>
      <c r="B1152" t="s">
        <v>1090</v>
      </c>
      <c r="C1152" t="s">
        <v>2350</v>
      </c>
      <c r="D1152" t="s">
        <v>727</v>
      </c>
      <c r="E1152" t="s">
        <v>234</v>
      </c>
      <c r="F1152" s="5">
        <v>89</v>
      </c>
      <c r="G1152" t="s">
        <v>683</v>
      </c>
      <c r="H1152" s="3">
        <v>100</v>
      </c>
      <c r="I1152" s="3">
        <v>100</v>
      </c>
      <c r="J1152" s="3">
        <v>100</v>
      </c>
      <c r="K1152" s="3">
        <v>3.6</v>
      </c>
      <c r="L1152">
        <f t="shared" si="180"/>
        <v>1</v>
      </c>
      <c r="M1152">
        <f t="shared" si="187"/>
        <v>5</v>
      </c>
      <c r="N1152" s="8">
        <v>5</v>
      </c>
      <c r="O1152" s="14">
        <f t="shared" si="181"/>
        <v>445</v>
      </c>
      <c r="P1152" s="8">
        <v>20</v>
      </c>
      <c r="Q1152" s="8">
        <f t="shared" si="192"/>
        <v>0.25</v>
      </c>
      <c r="R1152" s="8">
        <f t="shared" si="193"/>
        <v>3.333333333333333</v>
      </c>
      <c r="S1152" s="8">
        <f t="shared" si="182"/>
        <v>3.583333333333333</v>
      </c>
      <c r="T1152" s="22">
        <f t="shared" si="188"/>
        <v>0.32937588820464236</v>
      </c>
      <c r="U1152" s="19">
        <f t="shared" si="189"/>
        <v>6164.3333209971661</v>
      </c>
      <c r="V1152" s="29" t="s">
        <v>2983</v>
      </c>
    </row>
    <row r="1153" spans="1:22" ht="15" customHeight="1" x14ac:dyDescent="0.25">
      <c r="A1153" t="s">
        <v>518</v>
      </c>
      <c r="B1153" t="s">
        <v>1091</v>
      </c>
      <c r="C1153" t="s">
        <v>1142</v>
      </c>
      <c r="D1153" t="s">
        <v>1143</v>
      </c>
      <c r="E1153" t="s">
        <v>833</v>
      </c>
      <c r="F1153" s="5">
        <v>219.2</v>
      </c>
      <c r="G1153" t="s">
        <v>1124</v>
      </c>
      <c r="H1153" s="3">
        <v>230</v>
      </c>
      <c r="I1153" s="3">
        <v>70</v>
      </c>
      <c r="J1153">
        <v>10</v>
      </c>
      <c r="K1153" s="3">
        <v>15</v>
      </c>
      <c r="L1153">
        <f t="shared" si="180"/>
        <v>0.161</v>
      </c>
      <c r="M1153">
        <f t="shared" si="187"/>
        <v>0.32200000000000001</v>
      </c>
      <c r="N1153" s="8">
        <v>2</v>
      </c>
      <c r="O1153" s="14">
        <f t="shared" si="181"/>
        <v>438.4</v>
      </c>
      <c r="P1153" s="8">
        <v>20</v>
      </c>
      <c r="Q1153" s="8">
        <f t="shared" si="192"/>
        <v>0.1</v>
      </c>
      <c r="R1153" s="8">
        <f t="shared" si="193"/>
        <v>1.3333333333333333</v>
      </c>
      <c r="S1153" s="8">
        <f t="shared" si="182"/>
        <v>1.4333333333333333</v>
      </c>
      <c r="T1153" s="22">
        <f t="shared" si="188"/>
        <v>0.32449076267171956</v>
      </c>
      <c r="U1153" s="19">
        <f t="shared" si="189"/>
        <v>6164.6578117598374</v>
      </c>
      <c r="V1153" s="29" t="s">
        <v>2983</v>
      </c>
    </row>
    <row r="1154" spans="1:22" ht="15" customHeight="1" x14ac:dyDescent="0.25">
      <c r="A1154" t="s">
        <v>518</v>
      </c>
      <c r="B1154" t="s">
        <v>1090</v>
      </c>
      <c r="C1154" t="s">
        <v>781</v>
      </c>
      <c r="D1154" t="s">
        <v>630</v>
      </c>
      <c r="E1154" t="s">
        <v>234</v>
      </c>
      <c r="F1154" s="5">
        <v>87</v>
      </c>
      <c r="G1154" t="s">
        <v>782</v>
      </c>
      <c r="H1154" s="3">
        <v>27.5</v>
      </c>
      <c r="I1154" s="3">
        <v>18</v>
      </c>
      <c r="J1154" s="3">
        <v>7.5</v>
      </c>
      <c r="K1154" s="3">
        <v>4.59</v>
      </c>
      <c r="L1154">
        <f t="shared" ref="L1154:L1217" si="194">J1154*I1154*H1154/1000000</f>
        <v>3.7125000000000001E-3</v>
      </c>
      <c r="M1154">
        <f t="shared" si="187"/>
        <v>1.8562499999999999E-2</v>
      </c>
      <c r="N1154" s="8">
        <v>5</v>
      </c>
      <c r="O1154" s="14">
        <f t="shared" ref="O1154:O1217" si="195">N1154*F1154</f>
        <v>435</v>
      </c>
      <c r="P1154" s="8">
        <v>20</v>
      </c>
      <c r="Q1154" s="8">
        <f t="shared" si="192"/>
        <v>0.25</v>
      </c>
      <c r="R1154" s="8">
        <f t="shared" si="193"/>
        <v>3.333333333333333</v>
      </c>
      <c r="S1154" s="8">
        <f t="shared" ref="S1154:S1217" si="196">Q1154+R1154</f>
        <v>3.583333333333333</v>
      </c>
      <c r="T1154" s="22">
        <f t="shared" si="188"/>
        <v>0.32197418285172907</v>
      </c>
      <c r="U1154" s="19">
        <f t="shared" si="189"/>
        <v>6164.979785942689</v>
      </c>
      <c r="V1154" s="29" t="s">
        <v>2983</v>
      </c>
    </row>
    <row r="1155" spans="1:22" ht="15" customHeight="1" x14ac:dyDescent="0.25">
      <c r="A1155" t="s">
        <v>518</v>
      </c>
      <c r="B1155" t="s">
        <v>1090</v>
      </c>
      <c r="C1155" t="s">
        <v>771</v>
      </c>
      <c r="D1155" t="s">
        <v>542</v>
      </c>
      <c r="E1155" t="s">
        <v>234</v>
      </c>
      <c r="F1155" s="5">
        <v>87</v>
      </c>
      <c r="G1155" t="s">
        <v>683</v>
      </c>
      <c r="H1155" s="3">
        <v>10</v>
      </c>
      <c r="I1155" s="3">
        <v>15</v>
      </c>
      <c r="J1155" s="3">
        <v>25</v>
      </c>
      <c r="K1155" s="3">
        <v>0.6</v>
      </c>
      <c r="L1155">
        <f t="shared" si="194"/>
        <v>3.7499999999999999E-3</v>
      </c>
      <c r="M1155">
        <f t="shared" si="187"/>
        <v>1.8749999999999999E-2</v>
      </c>
      <c r="N1155" s="8">
        <v>5</v>
      </c>
      <c r="O1155" s="14">
        <f t="shared" si="195"/>
        <v>435</v>
      </c>
      <c r="P1155" s="8">
        <v>20</v>
      </c>
      <c r="Q1155" s="8">
        <f t="shared" si="192"/>
        <v>0.25</v>
      </c>
      <c r="R1155" s="8">
        <f t="shared" si="193"/>
        <v>3.333333333333333</v>
      </c>
      <c r="S1155" s="8">
        <f t="shared" si="196"/>
        <v>3.583333333333333</v>
      </c>
      <c r="T1155" s="22">
        <f t="shared" si="188"/>
        <v>0.32197418285172907</v>
      </c>
      <c r="U1155" s="19">
        <f t="shared" si="189"/>
        <v>6165.3017601255406</v>
      </c>
      <c r="V1155" s="29" t="s">
        <v>2983</v>
      </c>
    </row>
    <row r="1156" spans="1:22" ht="15" customHeight="1" x14ac:dyDescent="0.25">
      <c r="A1156" t="s">
        <v>518</v>
      </c>
      <c r="B1156" t="s">
        <v>1091</v>
      </c>
      <c r="C1156" t="s">
        <v>1113</v>
      </c>
      <c r="D1156" t="s">
        <v>1114</v>
      </c>
      <c r="E1156" t="s">
        <v>833</v>
      </c>
      <c r="F1156" s="5">
        <v>215.6</v>
      </c>
      <c r="G1156" t="s">
        <v>512</v>
      </c>
      <c r="H1156" s="3">
        <v>350</v>
      </c>
      <c r="I1156" s="3">
        <v>350</v>
      </c>
      <c r="J1156" s="3">
        <v>150</v>
      </c>
      <c r="K1156" s="3">
        <v>80</v>
      </c>
      <c r="L1156">
        <f t="shared" si="194"/>
        <v>18.375</v>
      </c>
      <c r="M1156">
        <f t="shared" si="187"/>
        <v>36.75</v>
      </c>
      <c r="N1156" s="8">
        <v>2</v>
      </c>
      <c r="O1156" s="14">
        <f t="shared" si="195"/>
        <v>431.2</v>
      </c>
      <c r="P1156" s="8">
        <v>20</v>
      </c>
      <c r="Q1156" s="8">
        <f t="shared" si="192"/>
        <v>0.1</v>
      </c>
      <c r="R1156" s="8">
        <f t="shared" si="193"/>
        <v>1.3333333333333333</v>
      </c>
      <c r="S1156" s="8">
        <f t="shared" si="196"/>
        <v>1.4333333333333333</v>
      </c>
      <c r="T1156" s="22">
        <f t="shared" si="188"/>
        <v>0.31916153481762199</v>
      </c>
      <c r="U1156" s="19">
        <f t="shared" si="189"/>
        <v>6165.6209216603584</v>
      </c>
      <c r="V1156" s="29" t="s">
        <v>2983</v>
      </c>
    </row>
    <row r="1157" spans="1:22" ht="15" customHeight="1" x14ac:dyDescent="0.25">
      <c r="A1157" t="s">
        <v>518</v>
      </c>
      <c r="B1157" t="s">
        <v>1091</v>
      </c>
      <c r="C1157" t="s">
        <v>1125</v>
      </c>
      <c r="D1157" t="s">
        <v>1126</v>
      </c>
      <c r="E1157" t="s">
        <v>833</v>
      </c>
      <c r="F1157" s="5">
        <v>211.6</v>
      </c>
      <c r="G1157" t="s">
        <v>512</v>
      </c>
      <c r="H1157" s="3">
        <v>350</v>
      </c>
      <c r="I1157" s="3">
        <v>350</v>
      </c>
      <c r="J1157" s="3">
        <v>150</v>
      </c>
      <c r="K1157" s="3">
        <v>80</v>
      </c>
      <c r="L1157">
        <f t="shared" si="194"/>
        <v>18.375</v>
      </c>
      <c r="M1157">
        <f t="shared" si="187"/>
        <v>36.75</v>
      </c>
      <c r="N1157" s="8">
        <v>2</v>
      </c>
      <c r="O1157" s="14">
        <f t="shared" si="195"/>
        <v>423.2</v>
      </c>
      <c r="P1157" s="8">
        <v>20</v>
      </c>
      <c r="Q1157" s="8">
        <f t="shared" si="192"/>
        <v>0.1</v>
      </c>
      <c r="R1157" s="8">
        <f t="shared" si="193"/>
        <v>1.3333333333333333</v>
      </c>
      <c r="S1157" s="8">
        <f t="shared" si="196"/>
        <v>1.4333333333333333</v>
      </c>
      <c r="T1157" s="22">
        <f t="shared" si="188"/>
        <v>0.31324017053529135</v>
      </c>
      <c r="U1157" s="19">
        <f t="shared" si="189"/>
        <v>6165.9341618308936</v>
      </c>
      <c r="V1157" s="29" t="s">
        <v>2983</v>
      </c>
    </row>
    <row r="1158" spans="1:22" ht="15" customHeight="1" x14ac:dyDescent="0.25">
      <c r="A1158" t="s">
        <v>518</v>
      </c>
      <c r="B1158" t="s">
        <v>1091</v>
      </c>
      <c r="C1158" t="s">
        <v>2147</v>
      </c>
      <c r="D1158" t="s">
        <v>839</v>
      </c>
      <c r="E1158" t="s">
        <v>833</v>
      </c>
      <c r="F1158" s="5">
        <v>210</v>
      </c>
      <c r="G1158" t="s">
        <v>837</v>
      </c>
      <c r="H1158" s="3">
        <v>175</v>
      </c>
      <c r="I1158" s="3">
        <v>60</v>
      </c>
      <c r="J1158" s="3">
        <v>10</v>
      </c>
      <c r="K1158" s="3">
        <v>29</v>
      </c>
      <c r="L1158">
        <f t="shared" si="194"/>
        <v>0.105</v>
      </c>
      <c r="M1158">
        <f t="shared" si="187"/>
        <v>0.21</v>
      </c>
      <c r="N1158" s="8">
        <v>2</v>
      </c>
      <c r="O1158" s="14">
        <f t="shared" si="195"/>
        <v>420</v>
      </c>
      <c r="P1158" s="8">
        <v>20</v>
      </c>
      <c r="Q1158" s="8">
        <f t="shared" si="192"/>
        <v>0.1</v>
      </c>
      <c r="R1158" s="8">
        <f t="shared" si="193"/>
        <v>1.3333333333333333</v>
      </c>
      <c r="S1158" s="8">
        <f t="shared" si="196"/>
        <v>1.4333333333333333</v>
      </c>
      <c r="T1158" s="22">
        <f t="shared" si="188"/>
        <v>0.31087162482235908</v>
      </c>
      <c r="U1158" s="19">
        <f t="shared" si="189"/>
        <v>6166.2450334557161</v>
      </c>
      <c r="V1158" s="29" t="s">
        <v>2983</v>
      </c>
    </row>
    <row r="1159" spans="1:22" ht="15" customHeight="1" x14ac:dyDescent="0.25">
      <c r="A1159" t="s">
        <v>518</v>
      </c>
      <c r="B1159" t="s">
        <v>1091</v>
      </c>
      <c r="C1159" t="s">
        <v>1111</v>
      </c>
      <c r="D1159" t="s">
        <v>1112</v>
      </c>
      <c r="E1159" t="s">
        <v>833</v>
      </c>
      <c r="F1159" s="5">
        <v>205.2</v>
      </c>
      <c r="G1159" t="s">
        <v>919</v>
      </c>
      <c r="H1159" s="3">
        <v>350</v>
      </c>
      <c r="I1159" s="3">
        <v>350</v>
      </c>
      <c r="J1159" s="3">
        <v>150</v>
      </c>
      <c r="K1159" s="3">
        <v>80</v>
      </c>
      <c r="L1159">
        <f t="shared" si="194"/>
        <v>18.375</v>
      </c>
      <c r="M1159">
        <f t="shared" si="187"/>
        <v>36.75</v>
      </c>
      <c r="N1159" s="8">
        <v>2</v>
      </c>
      <c r="O1159" s="14">
        <f t="shared" si="195"/>
        <v>410.4</v>
      </c>
      <c r="P1159" s="8">
        <v>20</v>
      </c>
      <c r="Q1159" s="8">
        <f t="shared" si="192"/>
        <v>0.1</v>
      </c>
      <c r="R1159" s="8">
        <f t="shared" si="193"/>
        <v>1.3333333333333333</v>
      </c>
      <c r="S1159" s="8">
        <f t="shared" si="196"/>
        <v>1.4333333333333333</v>
      </c>
      <c r="T1159" s="22">
        <f t="shared" si="188"/>
        <v>0.30376598768356228</v>
      </c>
      <c r="U1159" s="19">
        <f t="shared" si="189"/>
        <v>6166.5487994433997</v>
      </c>
      <c r="V1159" s="29" t="s">
        <v>2983</v>
      </c>
    </row>
    <row r="1160" spans="1:22" ht="15" customHeight="1" x14ac:dyDescent="0.25">
      <c r="A1160" t="s">
        <v>518</v>
      </c>
      <c r="B1160" t="s">
        <v>1091</v>
      </c>
      <c r="C1160" t="s">
        <v>1205</v>
      </c>
      <c r="D1160" t="s">
        <v>1206</v>
      </c>
      <c r="E1160" t="s">
        <v>234</v>
      </c>
      <c r="F1160" s="5">
        <v>4.4000000000000004</v>
      </c>
      <c r="G1160" t="s">
        <v>919</v>
      </c>
      <c r="H1160" s="3">
        <v>16.5</v>
      </c>
      <c r="I1160" s="3">
        <v>12.5</v>
      </c>
      <c r="J1160" s="3">
        <v>8.5</v>
      </c>
      <c r="K1160" s="3">
        <v>0.155</v>
      </c>
      <c r="L1160">
        <f t="shared" si="194"/>
        <v>1.7531249999999999E-3</v>
      </c>
      <c r="M1160">
        <f t="shared" si="187"/>
        <v>0.15778124999999998</v>
      </c>
      <c r="N1160" s="8">
        <v>90</v>
      </c>
      <c r="O1160" s="14">
        <f t="shared" si="195"/>
        <v>396.00000000000006</v>
      </c>
      <c r="P1160" s="8">
        <v>20</v>
      </c>
      <c r="Q1160" s="8">
        <f t="shared" si="192"/>
        <v>4.5</v>
      </c>
      <c r="R1160" s="8">
        <f t="shared" si="193"/>
        <v>60</v>
      </c>
      <c r="S1160" s="8">
        <f t="shared" si="196"/>
        <v>64.5</v>
      </c>
      <c r="T1160" s="22">
        <f t="shared" si="188"/>
        <v>0.29310753197536715</v>
      </c>
      <c r="U1160" s="19">
        <f t="shared" si="189"/>
        <v>6166.8419069753754</v>
      </c>
      <c r="V1160" s="29" t="s">
        <v>2983</v>
      </c>
    </row>
    <row r="1161" spans="1:22" ht="15" customHeight="1" x14ac:dyDescent="0.25">
      <c r="A1161" t="s">
        <v>518</v>
      </c>
      <c r="B1161" t="s">
        <v>1090</v>
      </c>
      <c r="C1161" t="s">
        <v>2350</v>
      </c>
      <c r="D1161" t="s">
        <v>725</v>
      </c>
      <c r="E1161" t="s">
        <v>234</v>
      </c>
      <c r="F1161" s="5">
        <v>99</v>
      </c>
      <c r="G1161" t="s">
        <v>683</v>
      </c>
      <c r="H1161" s="3">
        <v>100</v>
      </c>
      <c r="I1161" s="3">
        <v>100</v>
      </c>
      <c r="J1161" s="3">
        <v>100</v>
      </c>
      <c r="K1161" s="3">
        <v>6.04</v>
      </c>
      <c r="L1161">
        <f t="shared" si="194"/>
        <v>1</v>
      </c>
      <c r="M1161">
        <f t="shared" si="187"/>
        <v>4</v>
      </c>
      <c r="N1161" s="8">
        <v>4</v>
      </c>
      <c r="O1161" s="14">
        <f t="shared" si="195"/>
        <v>396</v>
      </c>
      <c r="P1161" s="8">
        <v>20</v>
      </c>
      <c r="Q1161" s="8">
        <f t="shared" si="192"/>
        <v>0.2</v>
      </c>
      <c r="R1161" s="8">
        <f t="shared" si="193"/>
        <v>2.6666666666666665</v>
      </c>
      <c r="S1161" s="8">
        <f t="shared" si="196"/>
        <v>2.8666666666666667</v>
      </c>
      <c r="T1161" s="22">
        <f t="shared" si="188"/>
        <v>0.29310753197536715</v>
      </c>
      <c r="U1161" s="19">
        <f t="shared" si="189"/>
        <v>6167.1350145073511</v>
      </c>
      <c r="V1161" s="29" t="s">
        <v>2983</v>
      </c>
    </row>
    <row r="1162" spans="1:22" ht="15" customHeight="1" x14ac:dyDescent="0.25">
      <c r="A1162" t="s">
        <v>518</v>
      </c>
      <c r="B1162" t="s">
        <v>1090</v>
      </c>
      <c r="C1162" t="s">
        <v>2381</v>
      </c>
      <c r="D1162" t="s">
        <v>2382</v>
      </c>
      <c r="E1162" t="s">
        <v>234</v>
      </c>
      <c r="F1162" s="5">
        <v>79</v>
      </c>
      <c r="G1162" t="s">
        <v>683</v>
      </c>
      <c r="H1162" s="3">
        <v>100</v>
      </c>
      <c r="I1162" s="3">
        <v>100</v>
      </c>
      <c r="J1162" s="3">
        <v>100</v>
      </c>
      <c r="K1162" s="3">
        <v>75</v>
      </c>
      <c r="L1162">
        <f t="shared" si="194"/>
        <v>1</v>
      </c>
      <c r="M1162">
        <f t="shared" si="187"/>
        <v>5</v>
      </c>
      <c r="N1162" s="8">
        <v>5</v>
      </c>
      <c r="O1162" s="14">
        <f t="shared" si="195"/>
        <v>395</v>
      </c>
      <c r="P1162" s="8">
        <v>20</v>
      </c>
      <c r="Q1162" s="8">
        <f t="shared" si="192"/>
        <v>0.25</v>
      </c>
      <c r="R1162" s="8">
        <f t="shared" si="193"/>
        <v>3.333333333333333</v>
      </c>
      <c r="S1162" s="8">
        <f t="shared" si="196"/>
        <v>3.583333333333333</v>
      </c>
      <c r="T1162" s="22">
        <f t="shared" si="188"/>
        <v>0.2923673614400758</v>
      </c>
      <c r="U1162" s="19">
        <f t="shared" si="189"/>
        <v>6167.4273818687916</v>
      </c>
      <c r="V1162" s="29" t="s">
        <v>2983</v>
      </c>
    </row>
    <row r="1163" spans="1:22" ht="15" customHeight="1" x14ac:dyDescent="0.25">
      <c r="A1163" t="s">
        <v>518</v>
      </c>
      <c r="B1163" t="s">
        <v>1090</v>
      </c>
      <c r="C1163" t="s">
        <v>2381</v>
      </c>
      <c r="D1163" t="s">
        <v>2384</v>
      </c>
      <c r="E1163" t="s">
        <v>234</v>
      </c>
      <c r="F1163" s="5">
        <v>79</v>
      </c>
      <c r="G1163" t="s">
        <v>683</v>
      </c>
      <c r="H1163" s="3">
        <v>100</v>
      </c>
      <c r="I1163" s="3">
        <v>100</v>
      </c>
      <c r="J1163" s="3">
        <v>100</v>
      </c>
      <c r="K1163" s="3">
        <v>70</v>
      </c>
      <c r="L1163">
        <f t="shared" si="194"/>
        <v>1</v>
      </c>
      <c r="M1163">
        <f t="shared" si="187"/>
        <v>5</v>
      </c>
      <c r="N1163" s="8">
        <v>5</v>
      </c>
      <c r="O1163" s="14">
        <f t="shared" si="195"/>
        <v>395</v>
      </c>
      <c r="P1163" s="8">
        <v>20</v>
      </c>
      <c r="Q1163" s="8">
        <f t="shared" si="192"/>
        <v>0.25</v>
      </c>
      <c r="R1163" s="8">
        <f t="shared" si="193"/>
        <v>3.333333333333333</v>
      </c>
      <c r="S1163" s="8">
        <f t="shared" si="196"/>
        <v>3.583333333333333</v>
      </c>
      <c r="T1163" s="22">
        <f t="shared" si="188"/>
        <v>0.2923673614400758</v>
      </c>
      <c r="U1163" s="19">
        <f t="shared" si="189"/>
        <v>6167.7197492302321</v>
      </c>
      <c r="V1163" s="29" t="s">
        <v>2983</v>
      </c>
    </row>
    <row r="1164" spans="1:22" ht="15" customHeight="1" x14ac:dyDescent="0.25">
      <c r="A1164" t="s">
        <v>518</v>
      </c>
      <c r="B1164" t="s">
        <v>1090</v>
      </c>
      <c r="C1164" t="s">
        <v>750</v>
      </c>
      <c r="D1164" t="s">
        <v>760</v>
      </c>
      <c r="E1164" t="s">
        <v>234</v>
      </c>
      <c r="F1164" s="5">
        <v>79</v>
      </c>
      <c r="G1164" t="s">
        <v>761</v>
      </c>
      <c r="H1164" s="3">
        <v>100</v>
      </c>
      <c r="I1164" s="3">
        <v>100</v>
      </c>
      <c r="J1164" s="3">
        <v>100</v>
      </c>
      <c r="K1164" s="3">
        <v>1.8</v>
      </c>
      <c r="L1164">
        <f t="shared" si="194"/>
        <v>1</v>
      </c>
      <c r="M1164">
        <f t="shared" si="187"/>
        <v>5</v>
      </c>
      <c r="N1164" s="8">
        <v>5</v>
      </c>
      <c r="O1164" s="14">
        <f t="shared" si="195"/>
        <v>395</v>
      </c>
      <c r="P1164" s="8">
        <v>20</v>
      </c>
      <c r="Q1164" s="8">
        <f t="shared" si="192"/>
        <v>0.25</v>
      </c>
      <c r="R1164" s="8">
        <f t="shared" si="193"/>
        <v>3.333333333333333</v>
      </c>
      <c r="S1164" s="8">
        <f t="shared" si="196"/>
        <v>3.583333333333333</v>
      </c>
      <c r="T1164" s="22">
        <f t="shared" si="188"/>
        <v>0.2923673614400758</v>
      </c>
      <c r="U1164" s="19">
        <f t="shared" si="189"/>
        <v>6168.0121165916726</v>
      </c>
      <c r="V1164" s="29" t="s">
        <v>2983</v>
      </c>
    </row>
    <row r="1165" spans="1:22" ht="15" customHeight="1" x14ac:dyDescent="0.25">
      <c r="A1165" t="s">
        <v>518</v>
      </c>
      <c r="B1165" t="s">
        <v>637</v>
      </c>
      <c r="C1165" t="s">
        <v>2212</v>
      </c>
      <c r="D1165" t="s">
        <v>1242</v>
      </c>
      <c r="E1165" t="s">
        <v>2213</v>
      </c>
      <c r="F1165" s="5">
        <v>10.99</v>
      </c>
      <c r="G1165" t="s">
        <v>2214</v>
      </c>
      <c r="H1165" s="3">
        <v>15</v>
      </c>
      <c r="I1165" s="3">
        <v>300</v>
      </c>
      <c r="J1165" s="3">
        <v>0.5</v>
      </c>
      <c r="K1165" s="3">
        <v>2.2499999999999998E-3</v>
      </c>
      <c r="L1165">
        <f t="shared" si="194"/>
        <v>2.2499999999999998E-3</v>
      </c>
      <c r="M1165">
        <f t="shared" si="187"/>
        <v>7.8750000000000001E-2</v>
      </c>
      <c r="N1165" s="8">
        <v>35</v>
      </c>
      <c r="O1165" s="14">
        <f t="shared" si="195"/>
        <v>384.65000000000003</v>
      </c>
      <c r="P1165" s="8">
        <v>20</v>
      </c>
      <c r="Q1165" s="8">
        <f t="shared" si="192"/>
        <v>1.75</v>
      </c>
      <c r="R1165" s="8">
        <f t="shared" si="193"/>
        <v>23.333333333333336</v>
      </c>
      <c r="S1165" s="8">
        <f t="shared" si="196"/>
        <v>25.083333333333336</v>
      </c>
      <c r="T1165" s="22">
        <f t="shared" si="188"/>
        <v>0.28470659639981055</v>
      </c>
      <c r="U1165" s="19">
        <f t="shared" si="189"/>
        <v>6168.2968231880723</v>
      </c>
      <c r="V1165" s="29" t="s">
        <v>2983</v>
      </c>
    </row>
    <row r="1166" spans="1:22" ht="15" customHeight="1" x14ac:dyDescent="0.25">
      <c r="A1166" t="s">
        <v>518</v>
      </c>
      <c r="B1166" t="s">
        <v>1091</v>
      </c>
      <c r="C1166" t="s">
        <v>2082</v>
      </c>
      <c r="D1166" t="s">
        <v>2089</v>
      </c>
      <c r="E1166" t="s">
        <v>833</v>
      </c>
      <c r="F1166" s="5">
        <v>188.4</v>
      </c>
      <c r="G1166" t="s">
        <v>796</v>
      </c>
      <c r="H1166" s="3">
        <v>30</v>
      </c>
      <c r="I1166" s="3">
        <v>35</v>
      </c>
      <c r="J1166" s="3">
        <v>15</v>
      </c>
      <c r="K1166" s="3">
        <v>3.4</v>
      </c>
      <c r="L1166">
        <f t="shared" si="194"/>
        <v>1.575E-2</v>
      </c>
      <c r="M1166">
        <f t="shared" si="187"/>
        <v>3.15E-2</v>
      </c>
      <c r="N1166" s="8">
        <v>2</v>
      </c>
      <c r="O1166" s="14">
        <f t="shared" si="195"/>
        <v>376.8</v>
      </c>
      <c r="P1166" s="8">
        <v>20</v>
      </c>
      <c r="Q1166" s="8">
        <f t="shared" si="192"/>
        <v>0.1</v>
      </c>
      <c r="R1166" s="8">
        <f t="shared" si="193"/>
        <v>1.3333333333333333</v>
      </c>
      <c r="S1166" s="8">
        <f t="shared" si="196"/>
        <v>1.4333333333333333</v>
      </c>
      <c r="T1166" s="22">
        <f t="shared" si="188"/>
        <v>0.2788962576977736</v>
      </c>
      <c r="U1166" s="19">
        <f t="shared" si="189"/>
        <v>6168.5757194457701</v>
      </c>
      <c r="V1166" s="29" t="s">
        <v>2983</v>
      </c>
    </row>
    <row r="1167" spans="1:22" ht="15" customHeight="1" x14ac:dyDescent="0.25">
      <c r="A1167" t="s">
        <v>518</v>
      </c>
      <c r="B1167" t="s">
        <v>1091</v>
      </c>
      <c r="C1167" t="s">
        <v>1166</v>
      </c>
      <c r="D1167" t="s">
        <v>1167</v>
      </c>
      <c r="E1167" t="s">
        <v>833</v>
      </c>
      <c r="F1167" s="5">
        <v>188</v>
      </c>
      <c r="G1167" t="s">
        <v>1168</v>
      </c>
      <c r="H1167" s="3">
        <v>370</v>
      </c>
      <c r="I1167" s="3">
        <v>360</v>
      </c>
      <c r="J1167" s="3">
        <v>190</v>
      </c>
      <c r="K1167" s="3">
        <v>58</v>
      </c>
      <c r="L1167">
        <f t="shared" si="194"/>
        <v>25.308</v>
      </c>
      <c r="M1167">
        <f t="shared" si="187"/>
        <v>50.616</v>
      </c>
      <c r="N1167" s="8">
        <v>2</v>
      </c>
      <c r="O1167" s="14">
        <f t="shared" si="195"/>
        <v>376</v>
      </c>
      <c r="P1167" s="8">
        <v>20</v>
      </c>
      <c r="Q1167" s="8">
        <f t="shared" si="192"/>
        <v>0.1</v>
      </c>
      <c r="R1167" s="8">
        <f t="shared" si="193"/>
        <v>1.3333333333333333</v>
      </c>
      <c r="S1167" s="8">
        <f t="shared" si="196"/>
        <v>1.4333333333333333</v>
      </c>
      <c r="T1167" s="22">
        <f t="shared" si="188"/>
        <v>0.27830412126954052</v>
      </c>
      <c r="U1167" s="19">
        <f t="shared" si="189"/>
        <v>6168.8540235670398</v>
      </c>
      <c r="V1167" s="29" t="s">
        <v>2983</v>
      </c>
    </row>
    <row r="1168" spans="1:22" ht="15" customHeight="1" x14ac:dyDescent="0.25">
      <c r="A1168" t="s">
        <v>518</v>
      </c>
      <c r="B1168" t="s">
        <v>1090</v>
      </c>
      <c r="C1168" t="s">
        <v>2385</v>
      </c>
      <c r="D1168" t="s">
        <v>741</v>
      </c>
      <c r="E1168" t="s">
        <v>234</v>
      </c>
      <c r="F1168" s="5">
        <v>75</v>
      </c>
      <c r="G1168" t="s">
        <v>140</v>
      </c>
      <c r="H1168" s="3">
        <v>15</v>
      </c>
      <c r="I1168" s="3">
        <v>20</v>
      </c>
      <c r="J1168" s="3">
        <v>30</v>
      </c>
      <c r="K1168" s="3">
        <v>1.4</v>
      </c>
      <c r="L1168">
        <f t="shared" si="194"/>
        <v>8.9999999999999993E-3</v>
      </c>
      <c r="M1168">
        <f t="shared" si="187"/>
        <v>4.4999999999999998E-2</v>
      </c>
      <c r="N1168" s="8">
        <v>5</v>
      </c>
      <c r="O1168" s="14">
        <f t="shared" si="195"/>
        <v>375</v>
      </c>
      <c r="P1168" s="8">
        <v>20</v>
      </c>
      <c r="Q1168" s="8">
        <f t="shared" si="192"/>
        <v>0.25</v>
      </c>
      <c r="R1168" s="8">
        <f t="shared" si="193"/>
        <v>3.333333333333333</v>
      </c>
      <c r="S1168" s="8">
        <f t="shared" si="196"/>
        <v>3.583333333333333</v>
      </c>
      <c r="T1168" s="22">
        <f t="shared" si="188"/>
        <v>0.27756395073424917</v>
      </c>
      <c r="U1168" s="19">
        <f t="shared" si="189"/>
        <v>6169.1315875177743</v>
      </c>
      <c r="V1168" s="29" t="s">
        <v>2983</v>
      </c>
    </row>
    <row r="1169" spans="1:22" ht="15" customHeight="1" x14ac:dyDescent="0.25">
      <c r="A1169" t="s">
        <v>518</v>
      </c>
      <c r="B1169" t="s">
        <v>1091</v>
      </c>
      <c r="C1169" t="s">
        <v>2091</v>
      </c>
      <c r="D1169" t="s">
        <v>2095</v>
      </c>
      <c r="E1169" t="s">
        <v>833</v>
      </c>
      <c r="F1169" s="5">
        <v>183.6</v>
      </c>
      <c r="G1169" t="s">
        <v>512</v>
      </c>
      <c r="H1169" s="3">
        <v>20</v>
      </c>
      <c r="I1169" s="3">
        <v>35</v>
      </c>
      <c r="J1169" s="3">
        <v>12</v>
      </c>
      <c r="K1169" s="3">
        <v>16</v>
      </c>
      <c r="L1169">
        <f t="shared" si="194"/>
        <v>8.3999999999999995E-3</v>
      </c>
      <c r="M1169">
        <f t="shared" si="187"/>
        <v>1.6799999999999999E-2</v>
      </c>
      <c r="N1169" s="8">
        <v>2</v>
      </c>
      <c r="O1169" s="14">
        <f t="shared" si="195"/>
        <v>367.2</v>
      </c>
      <c r="P1169" s="8">
        <v>20</v>
      </c>
      <c r="Q1169" s="8">
        <f t="shared" si="192"/>
        <v>0.1</v>
      </c>
      <c r="R1169" s="8">
        <f t="shared" si="193"/>
        <v>1.3333333333333333</v>
      </c>
      <c r="S1169" s="8">
        <f t="shared" si="196"/>
        <v>1.4333333333333333</v>
      </c>
      <c r="T1169" s="22">
        <f t="shared" si="188"/>
        <v>0.27179062055897679</v>
      </c>
      <c r="U1169" s="19">
        <f t="shared" si="189"/>
        <v>6169.4033781383332</v>
      </c>
      <c r="V1169" s="29" t="s">
        <v>2983</v>
      </c>
    </row>
    <row r="1170" spans="1:22" ht="15" customHeight="1" x14ac:dyDescent="0.25">
      <c r="A1170" t="s">
        <v>518</v>
      </c>
      <c r="B1170" t="s">
        <v>1091</v>
      </c>
      <c r="C1170" t="s">
        <v>2146</v>
      </c>
      <c r="D1170" t="s">
        <v>838</v>
      </c>
      <c r="E1170" t="s">
        <v>833</v>
      </c>
      <c r="F1170" s="5">
        <v>180.9</v>
      </c>
      <c r="G1170" t="s">
        <v>837</v>
      </c>
      <c r="H1170" s="3">
        <v>150</v>
      </c>
      <c r="I1170" s="3">
        <v>60</v>
      </c>
      <c r="J1170" s="3">
        <v>10</v>
      </c>
      <c r="K1170" s="3">
        <v>22</v>
      </c>
      <c r="L1170">
        <f t="shared" si="194"/>
        <v>0.09</v>
      </c>
      <c r="M1170">
        <f t="shared" si="187"/>
        <v>0.18</v>
      </c>
      <c r="N1170" s="8">
        <v>2</v>
      </c>
      <c r="O1170" s="14">
        <f t="shared" si="195"/>
        <v>361.8</v>
      </c>
      <c r="P1170" s="8">
        <v>20</v>
      </c>
      <c r="Q1170" s="8">
        <f t="shared" si="192"/>
        <v>0.1</v>
      </c>
      <c r="R1170" s="8">
        <f t="shared" si="193"/>
        <v>1.3333333333333333</v>
      </c>
      <c r="S1170" s="8">
        <f t="shared" si="196"/>
        <v>1.4333333333333333</v>
      </c>
      <c r="T1170" s="22">
        <f t="shared" si="188"/>
        <v>0.26779369966840361</v>
      </c>
      <c r="U1170" s="19">
        <f t="shared" si="189"/>
        <v>6169.671171838002</v>
      </c>
      <c r="V1170" s="29" t="s">
        <v>2983</v>
      </c>
    </row>
    <row r="1171" spans="1:22" ht="15" customHeight="1" x14ac:dyDescent="0.25">
      <c r="A1171" t="s">
        <v>518</v>
      </c>
      <c r="B1171" t="s">
        <v>637</v>
      </c>
      <c r="C1171" t="s">
        <v>2247</v>
      </c>
      <c r="D1171" t="s">
        <v>1309</v>
      </c>
      <c r="E1171" t="s">
        <v>234</v>
      </c>
      <c r="F1171" s="5">
        <v>10</v>
      </c>
      <c r="G1171" t="s">
        <v>2244</v>
      </c>
      <c r="H1171" s="3">
        <v>18</v>
      </c>
      <c r="I1171" s="3">
        <v>24</v>
      </c>
      <c r="J1171" s="3">
        <v>15</v>
      </c>
      <c r="K1171" s="3">
        <v>6.4799999999999996E-3</v>
      </c>
      <c r="L1171">
        <f t="shared" si="194"/>
        <v>6.4799999999999996E-3</v>
      </c>
      <c r="M1171">
        <f t="shared" si="187"/>
        <v>0.23327999999999999</v>
      </c>
      <c r="N1171" s="8">
        <v>36</v>
      </c>
      <c r="O1171" s="14">
        <f t="shared" si="195"/>
        <v>360</v>
      </c>
      <c r="P1171" s="8">
        <v>20</v>
      </c>
      <c r="Q1171" s="8">
        <f t="shared" si="192"/>
        <v>1.8</v>
      </c>
      <c r="R1171" s="8">
        <f t="shared" si="193"/>
        <v>24</v>
      </c>
      <c r="S1171" s="8">
        <f t="shared" si="196"/>
        <v>25.8</v>
      </c>
      <c r="T1171" s="22">
        <f t="shared" si="188"/>
        <v>0.26646139270487923</v>
      </c>
      <c r="U1171" s="19">
        <f t="shared" si="189"/>
        <v>6169.9376332307065</v>
      </c>
      <c r="V1171" s="29" t="s">
        <v>2983</v>
      </c>
    </row>
    <row r="1172" spans="1:22" ht="15" customHeight="1" x14ac:dyDescent="0.25">
      <c r="A1172" t="s">
        <v>518</v>
      </c>
      <c r="B1172" t="s">
        <v>1091</v>
      </c>
      <c r="C1172" t="s">
        <v>2082</v>
      </c>
      <c r="D1172" t="s">
        <v>2087</v>
      </c>
      <c r="E1172" t="s">
        <v>833</v>
      </c>
      <c r="F1172" s="5">
        <v>177.6</v>
      </c>
      <c r="G1172" t="s">
        <v>512</v>
      </c>
      <c r="H1172" s="3">
        <v>30</v>
      </c>
      <c r="I1172" s="3">
        <v>35</v>
      </c>
      <c r="J1172" s="3">
        <v>15</v>
      </c>
      <c r="K1172" s="3">
        <v>5.8</v>
      </c>
      <c r="L1172">
        <f t="shared" si="194"/>
        <v>1.575E-2</v>
      </c>
      <c r="M1172">
        <f t="shared" si="187"/>
        <v>3.15E-2</v>
      </c>
      <c r="N1172" s="8">
        <v>2</v>
      </c>
      <c r="O1172" s="14">
        <f t="shared" si="195"/>
        <v>355.2</v>
      </c>
      <c r="P1172" s="8">
        <v>20</v>
      </c>
      <c r="Q1172" s="8">
        <f t="shared" si="192"/>
        <v>0.1</v>
      </c>
      <c r="R1172" s="8">
        <f t="shared" si="193"/>
        <v>1.3333333333333333</v>
      </c>
      <c r="S1172" s="8">
        <f t="shared" si="196"/>
        <v>1.4333333333333333</v>
      </c>
      <c r="T1172" s="22">
        <f t="shared" si="188"/>
        <v>0.2629085741354808</v>
      </c>
      <c r="U1172" s="19">
        <f t="shared" si="189"/>
        <v>6170.200541804842</v>
      </c>
      <c r="V1172" s="29" t="s">
        <v>2983</v>
      </c>
    </row>
    <row r="1173" spans="1:22" ht="15" customHeight="1" x14ac:dyDescent="0.25">
      <c r="A1173" t="s">
        <v>518</v>
      </c>
      <c r="B1173" t="s">
        <v>1090</v>
      </c>
      <c r="C1173" t="s">
        <v>781</v>
      </c>
      <c r="D1173" t="s">
        <v>628</v>
      </c>
      <c r="E1173" t="s">
        <v>234</v>
      </c>
      <c r="F1173" s="5">
        <v>87</v>
      </c>
      <c r="G1173" t="s">
        <v>692</v>
      </c>
      <c r="H1173" s="3">
        <v>38</v>
      </c>
      <c r="I1173" s="3">
        <v>21</v>
      </c>
      <c r="J1173" s="3">
        <v>5.28</v>
      </c>
      <c r="K1173" s="3">
        <v>4.8899999999999997</v>
      </c>
      <c r="L1173">
        <f t="shared" si="194"/>
        <v>4.2134400000000006E-3</v>
      </c>
      <c r="M1173">
        <f t="shared" si="187"/>
        <v>1.6853760000000002E-2</v>
      </c>
      <c r="N1173" s="8">
        <v>4</v>
      </c>
      <c r="O1173" s="14">
        <f t="shared" si="195"/>
        <v>348</v>
      </c>
      <c r="P1173" s="8">
        <v>20</v>
      </c>
      <c r="Q1173" s="8">
        <f t="shared" si="192"/>
        <v>0.2</v>
      </c>
      <c r="R1173" s="8">
        <f t="shared" si="193"/>
        <v>2.6666666666666665</v>
      </c>
      <c r="S1173" s="8">
        <f t="shared" si="196"/>
        <v>2.8666666666666667</v>
      </c>
      <c r="T1173" s="22">
        <f t="shared" si="188"/>
        <v>0.25757934628138324</v>
      </c>
      <c r="U1173" s="19">
        <f t="shared" si="189"/>
        <v>6170.4581211511231</v>
      </c>
      <c r="V1173" s="29" t="s">
        <v>2983</v>
      </c>
    </row>
    <row r="1174" spans="1:22" ht="15" customHeight="1" x14ac:dyDescent="0.25">
      <c r="A1174" t="s">
        <v>518</v>
      </c>
      <c r="B1174" t="s">
        <v>1090</v>
      </c>
      <c r="C1174" t="s">
        <v>2322</v>
      </c>
      <c r="D1174" t="s">
        <v>2328</v>
      </c>
      <c r="E1174" t="s">
        <v>234</v>
      </c>
      <c r="F1174" s="5">
        <v>69</v>
      </c>
      <c r="G1174" t="s">
        <v>683</v>
      </c>
      <c r="H1174" s="3">
        <v>100</v>
      </c>
      <c r="I1174" s="3">
        <v>100</v>
      </c>
      <c r="J1174" s="3">
        <v>100</v>
      </c>
      <c r="K1174" s="3">
        <v>4.84</v>
      </c>
      <c r="L1174">
        <f t="shared" si="194"/>
        <v>1</v>
      </c>
      <c r="M1174">
        <f t="shared" si="187"/>
        <v>5</v>
      </c>
      <c r="N1174" s="8">
        <v>5</v>
      </c>
      <c r="O1174" s="14">
        <f t="shared" si="195"/>
        <v>345</v>
      </c>
      <c r="P1174" s="8">
        <v>20</v>
      </c>
      <c r="Q1174" s="8">
        <f t="shared" si="192"/>
        <v>0.25</v>
      </c>
      <c r="R1174" s="8">
        <f t="shared" si="193"/>
        <v>3.333333333333333</v>
      </c>
      <c r="S1174" s="8">
        <f t="shared" si="196"/>
        <v>3.583333333333333</v>
      </c>
      <c r="T1174" s="22">
        <f t="shared" si="188"/>
        <v>0.25535883467550924</v>
      </c>
      <c r="U1174" s="19">
        <f t="shared" si="189"/>
        <v>6170.7134799857986</v>
      </c>
      <c r="V1174" s="29" t="s">
        <v>2983</v>
      </c>
    </row>
    <row r="1175" spans="1:22" ht="15" customHeight="1" x14ac:dyDescent="0.25">
      <c r="A1175" t="s">
        <v>518</v>
      </c>
      <c r="B1175" t="s">
        <v>1090</v>
      </c>
      <c r="C1175" t="s">
        <v>2346</v>
      </c>
      <c r="D1175" t="s">
        <v>2349</v>
      </c>
      <c r="E1175" t="s">
        <v>234</v>
      </c>
      <c r="F1175" s="5">
        <v>69</v>
      </c>
      <c r="G1175" t="s">
        <v>683</v>
      </c>
      <c r="H1175" s="3">
        <v>100</v>
      </c>
      <c r="I1175" s="3">
        <v>100</v>
      </c>
      <c r="J1175" s="3">
        <v>100</v>
      </c>
      <c r="K1175" s="3">
        <v>4.16</v>
      </c>
      <c r="L1175">
        <f t="shared" si="194"/>
        <v>1</v>
      </c>
      <c r="M1175">
        <f t="shared" si="187"/>
        <v>5</v>
      </c>
      <c r="N1175" s="8">
        <v>5</v>
      </c>
      <c r="O1175" s="14">
        <f t="shared" si="195"/>
        <v>345</v>
      </c>
      <c r="P1175" s="8">
        <v>20</v>
      </c>
      <c r="Q1175" s="8">
        <f t="shared" si="192"/>
        <v>0.25</v>
      </c>
      <c r="R1175" s="8">
        <f t="shared" si="193"/>
        <v>3.333333333333333</v>
      </c>
      <c r="S1175" s="8">
        <f t="shared" si="196"/>
        <v>3.583333333333333</v>
      </c>
      <c r="T1175" s="22">
        <f t="shared" si="188"/>
        <v>0.25535883467550924</v>
      </c>
      <c r="U1175" s="19">
        <f t="shared" si="189"/>
        <v>6170.968838820474</v>
      </c>
      <c r="V1175" s="29" t="s">
        <v>2983</v>
      </c>
    </row>
    <row r="1176" spans="1:22" ht="15" customHeight="1" x14ac:dyDescent="0.25">
      <c r="A1176" t="s">
        <v>518</v>
      </c>
      <c r="B1176" t="s">
        <v>1090</v>
      </c>
      <c r="C1176" t="s">
        <v>2346</v>
      </c>
      <c r="D1176" t="s">
        <v>720</v>
      </c>
      <c r="E1176" t="s">
        <v>234</v>
      </c>
      <c r="F1176" s="5">
        <v>69</v>
      </c>
      <c r="G1176" t="s">
        <v>2323</v>
      </c>
      <c r="H1176" s="3">
        <v>110</v>
      </c>
      <c r="I1176" s="3">
        <v>90</v>
      </c>
      <c r="J1176" s="3">
        <v>100</v>
      </c>
      <c r="K1176" s="3">
        <v>1.8</v>
      </c>
      <c r="L1176">
        <f t="shared" si="194"/>
        <v>0.99</v>
      </c>
      <c r="M1176">
        <f t="shared" si="187"/>
        <v>4.95</v>
      </c>
      <c r="N1176" s="8">
        <v>5</v>
      </c>
      <c r="O1176" s="14">
        <f t="shared" si="195"/>
        <v>345</v>
      </c>
      <c r="P1176" s="8">
        <v>20</v>
      </c>
      <c r="Q1176" s="8">
        <f t="shared" si="192"/>
        <v>0.25</v>
      </c>
      <c r="R1176" s="8">
        <f t="shared" si="193"/>
        <v>3.333333333333333</v>
      </c>
      <c r="S1176" s="8">
        <f t="shared" si="196"/>
        <v>3.583333333333333</v>
      </c>
      <c r="T1176" s="22">
        <f t="shared" si="188"/>
        <v>0.25535883467550924</v>
      </c>
      <c r="U1176" s="19">
        <f t="shared" si="189"/>
        <v>6171.2241976551495</v>
      </c>
      <c r="V1176" s="29" t="s">
        <v>2983</v>
      </c>
    </row>
    <row r="1177" spans="1:22" ht="15" customHeight="1" x14ac:dyDescent="0.25">
      <c r="A1177" t="s">
        <v>518</v>
      </c>
      <c r="B1177" t="s">
        <v>1090</v>
      </c>
      <c r="C1177" t="s">
        <v>2364</v>
      </c>
      <c r="D1177" t="s">
        <v>2365</v>
      </c>
      <c r="E1177" t="s">
        <v>234</v>
      </c>
      <c r="F1177" s="5">
        <v>68</v>
      </c>
      <c r="G1177" t="s">
        <v>683</v>
      </c>
      <c r="H1177" s="3">
        <v>100</v>
      </c>
      <c r="I1177" s="3">
        <v>100</v>
      </c>
      <c r="J1177" s="3">
        <v>100</v>
      </c>
      <c r="K1177" s="3">
        <v>0.9</v>
      </c>
      <c r="L1177">
        <f t="shared" si="194"/>
        <v>1</v>
      </c>
      <c r="M1177">
        <f t="shared" si="187"/>
        <v>5</v>
      </c>
      <c r="N1177" s="8">
        <v>5</v>
      </c>
      <c r="O1177" s="14">
        <f t="shared" si="195"/>
        <v>340</v>
      </c>
      <c r="P1177" s="8">
        <v>20</v>
      </c>
      <c r="Q1177" s="8">
        <f t="shared" si="192"/>
        <v>0.25</v>
      </c>
      <c r="R1177" s="8">
        <f t="shared" si="193"/>
        <v>3.333333333333333</v>
      </c>
      <c r="S1177" s="8">
        <f t="shared" si="196"/>
        <v>3.583333333333333</v>
      </c>
      <c r="T1177" s="22">
        <f t="shared" si="188"/>
        <v>0.25165798199905259</v>
      </c>
      <c r="U1177" s="19">
        <f t="shared" si="189"/>
        <v>6171.4758556371489</v>
      </c>
      <c r="V1177" s="29" t="s">
        <v>2983</v>
      </c>
    </row>
    <row r="1178" spans="1:22" ht="15" customHeight="1" x14ac:dyDescent="0.25">
      <c r="A1178" t="s">
        <v>518</v>
      </c>
      <c r="B1178" t="s">
        <v>519</v>
      </c>
      <c r="C1178" t="s">
        <v>527</v>
      </c>
      <c r="D1178" t="s">
        <v>528</v>
      </c>
      <c r="E1178" t="s">
        <v>24</v>
      </c>
      <c r="F1178" s="5">
        <v>10</v>
      </c>
      <c r="G1178" t="s">
        <v>522</v>
      </c>
      <c r="H1178" s="3">
        <v>5</v>
      </c>
      <c r="I1178" s="3">
        <v>20</v>
      </c>
      <c r="J1178" s="3">
        <v>10</v>
      </c>
      <c r="K1178" s="3">
        <v>1</v>
      </c>
      <c r="L1178">
        <f t="shared" si="194"/>
        <v>1E-3</v>
      </c>
      <c r="M1178">
        <f t="shared" si="187"/>
        <v>3.4000000000000002E-2</v>
      </c>
      <c r="N1178" s="8">
        <v>34</v>
      </c>
      <c r="O1178" s="14">
        <f t="shared" si="195"/>
        <v>340</v>
      </c>
      <c r="P1178" s="8">
        <v>25</v>
      </c>
      <c r="Q1178" s="8">
        <f>P1178/N1178</f>
        <v>0.73529411764705888</v>
      </c>
      <c r="R1178" s="8">
        <f>P1178+Q1178</f>
        <v>25.735294117647058</v>
      </c>
      <c r="S1178" s="8">
        <f t="shared" si="196"/>
        <v>26.470588235294116</v>
      </c>
      <c r="T1178" s="22">
        <f t="shared" si="188"/>
        <v>0.25165798199905259</v>
      </c>
      <c r="U1178" s="19">
        <f t="shared" si="189"/>
        <v>6171.7275136191483</v>
      </c>
      <c r="V1178" s="29" t="s">
        <v>2983</v>
      </c>
    </row>
    <row r="1179" spans="1:22" ht="15" customHeight="1" x14ac:dyDescent="0.25">
      <c r="A1179" t="s">
        <v>518</v>
      </c>
      <c r="B1179" t="s">
        <v>519</v>
      </c>
      <c r="C1179" t="s">
        <v>541</v>
      </c>
      <c r="D1179" t="s">
        <v>542</v>
      </c>
      <c r="E1179" t="s">
        <v>24</v>
      </c>
      <c r="F1179" s="5">
        <v>10</v>
      </c>
      <c r="G1179" t="s">
        <v>543</v>
      </c>
      <c r="H1179" s="3">
        <v>5</v>
      </c>
      <c r="I1179" s="3">
        <v>20</v>
      </c>
      <c r="J1179" s="3">
        <v>10</v>
      </c>
      <c r="K1179" s="3">
        <v>1</v>
      </c>
      <c r="L1179">
        <f t="shared" si="194"/>
        <v>1E-3</v>
      </c>
      <c r="M1179">
        <f t="shared" si="187"/>
        <v>3.4000000000000002E-2</v>
      </c>
      <c r="N1179" s="8">
        <v>34</v>
      </c>
      <c r="O1179" s="14">
        <f t="shared" si="195"/>
        <v>340</v>
      </c>
      <c r="P1179" s="8">
        <v>25</v>
      </c>
      <c r="Q1179" s="8">
        <f>P1179/N1179</f>
        <v>0.73529411764705888</v>
      </c>
      <c r="R1179" s="8">
        <f>P1179+Q1179</f>
        <v>25.735294117647058</v>
      </c>
      <c r="S1179" s="8">
        <f t="shared" si="196"/>
        <v>26.470588235294116</v>
      </c>
      <c r="T1179" s="22">
        <f t="shared" si="188"/>
        <v>0.25165798199905259</v>
      </c>
      <c r="U1179" s="19">
        <f t="shared" si="189"/>
        <v>6171.9791716011478</v>
      </c>
      <c r="V1179" s="29" t="s">
        <v>2983</v>
      </c>
    </row>
    <row r="1180" spans="1:22" ht="15" customHeight="1" x14ac:dyDescent="0.25">
      <c r="A1180" t="s">
        <v>518</v>
      </c>
      <c r="B1180" t="s">
        <v>519</v>
      </c>
      <c r="C1180" t="s">
        <v>548</v>
      </c>
      <c r="D1180" t="s">
        <v>549</v>
      </c>
      <c r="E1180" t="s">
        <v>24</v>
      </c>
      <c r="F1180" s="5">
        <v>10</v>
      </c>
      <c r="G1180" t="s">
        <v>543</v>
      </c>
      <c r="H1180" s="3">
        <v>5</v>
      </c>
      <c r="I1180" s="3">
        <v>20</v>
      </c>
      <c r="J1180" s="3">
        <v>10</v>
      </c>
      <c r="K1180" s="3">
        <v>1</v>
      </c>
      <c r="L1180">
        <f t="shared" si="194"/>
        <v>1E-3</v>
      </c>
      <c r="M1180">
        <f t="shared" si="187"/>
        <v>3.4000000000000002E-2</v>
      </c>
      <c r="N1180" s="8">
        <v>34</v>
      </c>
      <c r="O1180" s="14">
        <f t="shared" si="195"/>
        <v>340</v>
      </c>
      <c r="P1180" s="8">
        <v>25</v>
      </c>
      <c r="Q1180" s="8">
        <f>P1180/N1180</f>
        <v>0.73529411764705888</v>
      </c>
      <c r="R1180" s="8">
        <f>P1180+Q1180</f>
        <v>25.735294117647058</v>
      </c>
      <c r="S1180" s="8">
        <f t="shared" si="196"/>
        <v>26.470588235294116</v>
      </c>
      <c r="T1180" s="22">
        <f t="shared" si="188"/>
        <v>0.25165798199905259</v>
      </c>
      <c r="U1180" s="19">
        <f t="shared" si="189"/>
        <v>6172.2308295831472</v>
      </c>
      <c r="V1180" s="29" t="s">
        <v>2983</v>
      </c>
    </row>
    <row r="1181" spans="1:22" ht="15" customHeight="1" x14ac:dyDescent="0.25">
      <c r="A1181" t="s">
        <v>518</v>
      </c>
      <c r="B1181" t="s">
        <v>519</v>
      </c>
      <c r="C1181" t="s">
        <v>546</v>
      </c>
      <c r="D1181" t="s">
        <v>555</v>
      </c>
      <c r="E1181" t="s">
        <v>24</v>
      </c>
      <c r="F1181" s="5">
        <v>10</v>
      </c>
      <c r="G1181" t="s">
        <v>543</v>
      </c>
      <c r="H1181" s="3">
        <v>5</v>
      </c>
      <c r="I1181" s="3">
        <v>20</v>
      </c>
      <c r="J1181" s="3">
        <v>10</v>
      </c>
      <c r="K1181" s="3">
        <v>1</v>
      </c>
      <c r="L1181">
        <f t="shared" si="194"/>
        <v>1E-3</v>
      </c>
      <c r="M1181">
        <f t="shared" si="187"/>
        <v>3.4000000000000002E-2</v>
      </c>
      <c r="N1181" s="8">
        <v>34</v>
      </c>
      <c r="O1181" s="14">
        <f t="shared" si="195"/>
        <v>340</v>
      </c>
      <c r="P1181" s="8">
        <v>25</v>
      </c>
      <c r="Q1181" s="8">
        <f>P1181/N1181</f>
        <v>0.73529411764705888</v>
      </c>
      <c r="R1181" s="8">
        <f>P1181+Q1181</f>
        <v>25.735294117647058</v>
      </c>
      <c r="S1181" s="8">
        <f t="shared" si="196"/>
        <v>26.470588235294116</v>
      </c>
      <c r="T1181" s="22">
        <f t="shared" si="188"/>
        <v>0.25165798199905259</v>
      </c>
      <c r="U1181" s="19">
        <f t="shared" si="189"/>
        <v>6172.4824875651466</v>
      </c>
      <c r="V1181" s="29" t="s">
        <v>2983</v>
      </c>
    </row>
    <row r="1182" spans="1:22" ht="15" customHeight="1" x14ac:dyDescent="0.25">
      <c r="A1182" t="s">
        <v>518</v>
      </c>
      <c r="B1182" t="s">
        <v>519</v>
      </c>
      <c r="C1182" t="s">
        <v>550</v>
      </c>
      <c r="D1182" t="s">
        <v>551</v>
      </c>
      <c r="E1182" t="s">
        <v>24</v>
      </c>
      <c r="F1182" s="5">
        <v>9.99</v>
      </c>
      <c r="G1182" t="s">
        <v>543</v>
      </c>
      <c r="H1182" s="3">
        <v>5</v>
      </c>
      <c r="I1182" s="3">
        <v>20</v>
      </c>
      <c r="J1182" s="3">
        <v>10</v>
      </c>
      <c r="K1182" s="3">
        <v>1</v>
      </c>
      <c r="L1182">
        <f t="shared" si="194"/>
        <v>1E-3</v>
      </c>
      <c r="M1182">
        <f t="shared" si="187"/>
        <v>3.4000000000000002E-2</v>
      </c>
      <c r="N1182" s="8">
        <v>34</v>
      </c>
      <c r="O1182" s="14">
        <f t="shared" si="195"/>
        <v>339.66</v>
      </c>
      <c r="P1182" s="8">
        <v>25</v>
      </c>
      <c r="Q1182" s="8">
        <f>P1182/N1182</f>
        <v>0.73529411764705888</v>
      </c>
      <c r="R1182" s="8">
        <f>P1182+Q1182</f>
        <v>25.735294117647058</v>
      </c>
      <c r="S1182" s="8">
        <f t="shared" si="196"/>
        <v>26.470588235294116</v>
      </c>
      <c r="T1182" s="22">
        <f t="shared" si="188"/>
        <v>0.25140632401705354</v>
      </c>
      <c r="U1182" s="19">
        <f t="shared" si="189"/>
        <v>6172.7338938891635</v>
      </c>
      <c r="V1182" s="29" t="s">
        <v>2983</v>
      </c>
    </row>
    <row r="1183" spans="1:22" ht="15" customHeight="1" x14ac:dyDescent="0.25">
      <c r="A1183" t="s">
        <v>518</v>
      </c>
      <c r="B1183" t="s">
        <v>637</v>
      </c>
      <c r="C1183" t="s">
        <v>2267</v>
      </c>
      <c r="D1183" t="s">
        <v>2269</v>
      </c>
      <c r="E1183" t="s">
        <v>24</v>
      </c>
      <c r="F1183" s="5">
        <v>13.9</v>
      </c>
      <c r="G1183" t="s">
        <v>678</v>
      </c>
      <c r="H1183" s="3">
        <v>10</v>
      </c>
      <c r="I1183" s="3">
        <v>15</v>
      </c>
      <c r="J1183" s="3">
        <v>15</v>
      </c>
      <c r="K1183" s="3">
        <v>0.5</v>
      </c>
      <c r="L1183">
        <f t="shared" si="194"/>
        <v>2.2499999999999998E-3</v>
      </c>
      <c r="M1183">
        <f t="shared" si="187"/>
        <v>5.3999999999999992E-2</v>
      </c>
      <c r="N1183" s="8">
        <v>24</v>
      </c>
      <c r="O1183" s="14">
        <f t="shared" si="195"/>
        <v>333.6</v>
      </c>
      <c r="P1183" s="8">
        <v>20</v>
      </c>
      <c r="Q1183" s="8">
        <f t="shared" ref="Q1183:Q1214" si="197">N1183/P1183</f>
        <v>1.2</v>
      </c>
      <c r="R1183" s="8">
        <f t="shared" ref="R1183:R1214" si="198">(N1183/30)*P1183</f>
        <v>16</v>
      </c>
      <c r="S1183" s="8">
        <f t="shared" si="196"/>
        <v>17.2</v>
      </c>
      <c r="T1183" s="22">
        <f t="shared" si="188"/>
        <v>0.24692089057318808</v>
      </c>
      <c r="U1183" s="19">
        <f t="shared" si="189"/>
        <v>6172.9808147797366</v>
      </c>
      <c r="V1183" s="29" t="s">
        <v>2983</v>
      </c>
    </row>
    <row r="1184" spans="1:22" ht="15" customHeight="1" x14ac:dyDescent="0.25">
      <c r="A1184" t="s">
        <v>518</v>
      </c>
      <c r="B1184" t="s">
        <v>637</v>
      </c>
      <c r="C1184" t="s">
        <v>2267</v>
      </c>
      <c r="D1184" t="s">
        <v>2277</v>
      </c>
      <c r="E1184" t="s">
        <v>24</v>
      </c>
      <c r="F1184" s="5">
        <v>11.9</v>
      </c>
      <c r="G1184" t="s">
        <v>680</v>
      </c>
      <c r="H1184" s="3">
        <v>10</v>
      </c>
      <c r="I1184" s="3">
        <v>15</v>
      </c>
      <c r="J1184" s="3">
        <v>15</v>
      </c>
      <c r="K1184" s="3">
        <v>0.5</v>
      </c>
      <c r="L1184">
        <f t="shared" si="194"/>
        <v>2.2499999999999998E-3</v>
      </c>
      <c r="M1184">
        <f t="shared" si="187"/>
        <v>6.3E-2</v>
      </c>
      <c r="N1184" s="8">
        <v>28</v>
      </c>
      <c r="O1184" s="14">
        <f t="shared" si="195"/>
        <v>333.2</v>
      </c>
      <c r="P1184" s="8">
        <v>20</v>
      </c>
      <c r="Q1184" s="8">
        <f t="shared" si="197"/>
        <v>1.4</v>
      </c>
      <c r="R1184" s="8">
        <f t="shared" si="198"/>
        <v>18.666666666666668</v>
      </c>
      <c r="S1184" s="8">
        <f t="shared" si="196"/>
        <v>20.066666666666666</v>
      </c>
      <c r="T1184" s="22">
        <f t="shared" si="188"/>
        <v>0.24662482235907152</v>
      </c>
      <c r="U1184" s="19">
        <f t="shared" si="189"/>
        <v>6173.2274396020957</v>
      </c>
      <c r="V1184" s="29" t="s">
        <v>2983</v>
      </c>
    </row>
    <row r="1185" spans="1:22" ht="15" customHeight="1" x14ac:dyDescent="0.25">
      <c r="A1185" t="s">
        <v>518</v>
      </c>
      <c r="B1185" t="s">
        <v>1090</v>
      </c>
      <c r="C1185" t="s">
        <v>2344</v>
      </c>
      <c r="D1185" t="s">
        <v>2345</v>
      </c>
      <c r="E1185" t="s">
        <v>234</v>
      </c>
      <c r="F1185" s="5">
        <v>65</v>
      </c>
      <c r="G1185" t="s">
        <v>683</v>
      </c>
      <c r="H1185" s="3">
        <v>100</v>
      </c>
      <c r="I1185" s="3">
        <v>100</v>
      </c>
      <c r="J1185" s="3">
        <v>100</v>
      </c>
      <c r="K1185" s="3">
        <v>1.88</v>
      </c>
      <c r="L1185">
        <f t="shared" si="194"/>
        <v>1</v>
      </c>
      <c r="M1185">
        <f t="shared" si="187"/>
        <v>5</v>
      </c>
      <c r="N1185" s="8">
        <v>5</v>
      </c>
      <c r="O1185" s="14">
        <f t="shared" si="195"/>
        <v>325</v>
      </c>
      <c r="P1185" s="8">
        <v>20</v>
      </c>
      <c r="Q1185" s="8">
        <f t="shared" si="197"/>
        <v>0.25</v>
      </c>
      <c r="R1185" s="8">
        <f t="shared" si="198"/>
        <v>3.333333333333333</v>
      </c>
      <c r="S1185" s="8">
        <f t="shared" si="196"/>
        <v>3.583333333333333</v>
      </c>
      <c r="T1185" s="22">
        <f t="shared" si="188"/>
        <v>0.24055542396968263</v>
      </c>
      <c r="U1185" s="19">
        <f t="shared" si="189"/>
        <v>6173.4679950260652</v>
      </c>
      <c r="V1185" s="29" t="s">
        <v>2983</v>
      </c>
    </row>
    <row r="1186" spans="1:22" ht="15" customHeight="1" x14ac:dyDescent="0.25">
      <c r="A1186" t="s">
        <v>518</v>
      </c>
      <c r="B1186" t="s">
        <v>1091</v>
      </c>
      <c r="C1186" t="s">
        <v>1115</v>
      </c>
      <c r="D1186" t="s">
        <v>1116</v>
      </c>
      <c r="E1186" t="s">
        <v>833</v>
      </c>
      <c r="F1186" s="5">
        <v>159.6</v>
      </c>
      <c r="G1186" t="s">
        <v>512</v>
      </c>
      <c r="H1186" s="3">
        <v>350</v>
      </c>
      <c r="I1186" s="3">
        <v>350</v>
      </c>
      <c r="J1186" s="3">
        <v>150</v>
      </c>
      <c r="K1186" s="3">
        <v>80</v>
      </c>
      <c r="L1186">
        <f t="shared" si="194"/>
        <v>18.375</v>
      </c>
      <c r="M1186">
        <f t="shared" si="187"/>
        <v>36.75</v>
      </c>
      <c r="N1186" s="8">
        <v>2</v>
      </c>
      <c r="O1186" s="14">
        <f t="shared" si="195"/>
        <v>319.2</v>
      </c>
      <c r="P1186" s="8">
        <v>20</v>
      </c>
      <c r="Q1186" s="8">
        <f t="shared" si="197"/>
        <v>0.1</v>
      </c>
      <c r="R1186" s="8">
        <f t="shared" si="198"/>
        <v>1.3333333333333333</v>
      </c>
      <c r="S1186" s="8">
        <f t="shared" si="196"/>
        <v>1.4333333333333333</v>
      </c>
      <c r="T1186" s="22">
        <f t="shared" si="188"/>
        <v>0.2362624348649929</v>
      </c>
      <c r="U1186" s="19">
        <f t="shared" si="189"/>
        <v>6173.7042574609304</v>
      </c>
      <c r="V1186" s="29" t="s">
        <v>2983</v>
      </c>
    </row>
    <row r="1187" spans="1:22" ht="15" customHeight="1" x14ac:dyDescent="0.25">
      <c r="A1187" t="s">
        <v>518</v>
      </c>
      <c r="B1187" t="s">
        <v>1091</v>
      </c>
      <c r="C1187" t="s">
        <v>2082</v>
      </c>
      <c r="D1187" t="s">
        <v>2090</v>
      </c>
      <c r="E1187" t="s">
        <v>833</v>
      </c>
      <c r="F1187" s="5">
        <v>156</v>
      </c>
      <c r="G1187" t="s">
        <v>796</v>
      </c>
      <c r="H1187" s="3">
        <v>30</v>
      </c>
      <c r="I1187" s="3">
        <v>35</v>
      </c>
      <c r="J1187" s="3">
        <v>15</v>
      </c>
      <c r="K1187" s="3">
        <v>3.2</v>
      </c>
      <c r="L1187">
        <f t="shared" si="194"/>
        <v>1.575E-2</v>
      </c>
      <c r="M1187">
        <f t="shared" si="187"/>
        <v>3.15E-2</v>
      </c>
      <c r="N1187" s="8">
        <v>2</v>
      </c>
      <c r="O1187" s="14">
        <f t="shared" si="195"/>
        <v>312</v>
      </c>
      <c r="P1187" s="8">
        <v>20</v>
      </c>
      <c r="Q1187" s="8">
        <f t="shared" si="197"/>
        <v>0.1</v>
      </c>
      <c r="R1187" s="8">
        <f t="shared" si="198"/>
        <v>1.3333333333333333</v>
      </c>
      <c r="S1187" s="8">
        <f t="shared" si="196"/>
        <v>1.4333333333333333</v>
      </c>
      <c r="T1187" s="22">
        <f t="shared" si="188"/>
        <v>0.23093320701089531</v>
      </c>
      <c r="U1187" s="19">
        <f t="shared" si="189"/>
        <v>6173.9351906679412</v>
      </c>
      <c r="V1187" s="29" t="s">
        <v>2983</v>
      </c>
    </row>
    <row r="1188" spans="1:22" ht="15" customHeight="1" x14ac:dyDescent="0.25">
      <c r="A1188" t="s">
        <v>518</v>
      </c>
      <c r="B1188" t="s">
        <v>1091</v>
      </c>
      <c r="C1188" t="s">
        <v>1171</v>
      </c>
      <c r="D1188" t="s">
        <v>1172</v>
      </c>
      <c r="E1188" t="s">
        <v>833</v>
      </c>
      <c r="F1188" s="5">
        <v>156</v>
      </c>
      <c r="G1188" t="s">
        <v>1173</v>
      </c>
      <c r="H1188" s="3">
        <v>810</v>
      </c>
      <c r="I1188" s="3">
        <v>900</v>
      </c>
      <c r="J1188" s="3">
        <v>350</v>
      </c>
      <c r="K1188" s="3">
        <v>255.3</v>
      </c>
      <c r="L1188">
        <f t="shared" si="194"/>
        <v>255.15</v>
      </c>
      <c r="M1188">
        <f t="shared" si="187"/>
        <v>510.3</v>
      </c>
      <c r="N1188" s="8">
        <v>2</v>
      </c>
      <c r="O1188" s="14">
        <f t="shared" si="195"/>
        <v>312</v>
      </c>
      <c r="P1188" s="8">
        <v>20</v>
      </c>
      <c r="Q1188" s="8">
        <f t="shared" si="197"/>
        <v>0.1</v>
      </c>
      <c r="R1188" s="8">
        <f t="shared" si="198"/>
        <v>1.3333333333333333</v>
      </c>
      <c r="S1188" s="8">
        <f t="shared" si="196"/>
        <v>1.4333333333333333</v>
      </c>
      <c r="T1188" s="22">
        <f t="shared" si="188"/>
        <v>0.23093320701089531</v>
      </c>
      <c r="U1188" s="19">
        <f t="shared" si="189"/>
        <v>6174.1661238749521</v>
      </c>
      <c r="V1188" s="29" t="s">
        <v>2983</v>
      </c>
    </row>
    <row r="1189" spans="1:22" ht="15" customHeight="1" x14ac:dyDescent="0.25">
      <c r="A1189" t="s">
        <v>518</v>
      </c>
      <c r="B1189" t="s">
        <v>1091</v>
      </c>
      <c r="C1189" t="s">
        <v>1164</v>
      </c>
      <c r="D1189" t="s">
        <v>1165</v>
      </c>
      <c r="E1189" t="s">
        <v>833</v>
      </c>
      <c r="F1189" s="5">
        <v>156</v>
      </c>
      <c r="G1189" t="s">
        <v>512</v>
      </c>
      <c r="H1189" s="3">
        <v>300</v>
      </c>
      <c r="I1189" s="3">
        <v>320</v>
      </c>
      <c r="J1189" s="3">
        <v>200</v>
      </c>
      <c r="K1189" s="3">
        <v>24</v>
      </c>
      <c r="L1189">
        <f t="shared" si="194"/>
        <v>19.2</v>
      </c>
      <c r="M1189">
        <f t="shared" si="187"/>
        <v>38.4</v>
      </c>
      <c r="N1189" s="8">
        <v>2</v>
      </c>
      <c r="O1189" s="14">
        <f t="shared" si="195"/>
        <v>312</v>
      </c>
      <c r="P1189" s="8">
        <v>20</v>
      </c>
      <c r="Q1189" s="8">
        <f t="shared" si="197"/>
        <v>0.1</v>
      </c>
      <c r="R1189" s="8">
        <f t="shared" si="198"/>
        <v>1.3333333333333333</v>
      </c>
      <c r="S1189" s="8">
        <f t="shared" si="196"/>
        <v>1.4333333333333333</v>
      </c>
      <c r="T1189" s="22">
        <f t="shared" si="188"/>
        <v>0.23093320701089531</v>
      </c>
      <c r="U1189" s="19">
        <f t="shared" si="189"/>
        <v>6174.3970570819629</v>
      </c>
      <c r="V1189" s="29" t="s">
        <v>2983</v>
      </c>
    </row>
    <row r="1190" spans="1:22" ht="15" customHeight="1" x14ac:dyDescent="0.25">
      <c r="A1190" t="s">
        <v>518</v>
      </c>
      <c r="B1190" t="s">
        <v>1091</v>
      </c>
      <c r="C1190" t="s">
        <v>2091</v>
      </c>
      <c r="D1190" t="s">
        <v>2092</v>
      </c>
      <c r="E1190" t="s">
        <v>833</v>
      </c>
      <c r="F1190" s="5">
        <v>154.80000000000001</v>
      </c>
      <c r="G1190" t="s">
        <v>512</v>
      </c>
      <c r="H1190" s="3">
        <v>20</v>
      </c>
      <c r="I1190" s="3">
        <v>35</v>
      </c>
      <c r="J1190" s="3">
        <v>12</v>
      </c>
      <c r="K1190" s="3">
        <v>16</v>
      </c>
      <c r="L1190">
        <f t="shared" si="194"/>
        <v>8.3999999999999995E-3</v>
      </c>
      <c r="M1190">
        <f t="shared" si="187"/>
        <v>1.6799999999999999E-2</v>
      </c>
      <c r="N1190" s="8">
        <v>2</v>
      </c>
      <c r="O1190" s="14">
        <f t="shared" si="195"/>
        <v>309.60000000000002</v>
      </c>
      <c r="P1190" s="8">
        <v>20</v>
      </c>
      <c r="Q1190" s="8">
        <f t="shared" si="197"/>
        <v>0.1</v>
      </c>
      <c r="R1190" s="8">
        <f t="shared" si="198"/>
        <v>1.3333333333333333</v>
      </c>
      <c r="S1190" s="8">
        <f t="shared" si="196"/>
        <v>1.4333333333333333</v>
      </c>
      <c r="T1190" s="22">
        <f t="shared" si="188"/>
        <v>0.22915679772619613</v>
      </c>
      <c r="U1190" s="19">
        <f t="shared" si="189"/>
        <v>6174.6262138796892</v>
      </c>
      <c r="V1190" s="29" t="s">
        <v>2983</v>
      </c>
    </row>
    <row r="1191" spans="1:22" ht="15" customHeight="1" x14ac:dyDescent="0.25">
      <c r="A1191" t="s">
        <v>518</v>
      </c>
      <c r="B1191" t="s">
        <v>1091</v>
      </c>
      <c r="C1191" t="s">
        <v>2194</v>
      </c>
      <c r="D1191" t="s">
        <v>2195</v>
      </c>
      <c r="E1191" t="s">
        <v>833</v>
      </c>
      <c r="F1191" s="5">
        <v>6.1</v>
      </c>
      <c r="G1191" t="s">
        <v>606</v>
      </c>
      <c r="H1191" s="3">
        <v>2.1</v>
      </c>
      <c r="I1191" s="3">
        <v>16</v>
      </c>
      <c r="J1191" s="3">
        <v>8</v>
      </c>
      <c r="K1191" s="3">
        <v>2</v>
      </c>
      <c r="L1191">
        <f t="shared" si="194"/>
        <v>2.6880000000000003E-4</v>
      </c>
      <c r="M1191">
        <f t="shared" si="187"/>
        <v>1.3440000000000001E-2</v>
      </c>
      <c r="N1191" s="8">
        <v>50</v>
      </c>
      <c r="O1191" s="14">
        <f t="shared" si="195"/>
        <v>305</v>
      </c>
      <c r="P1191" s="8">
        <v>20</v>
      </c>
      <c r="Q1191" s="8">
        <f t="shared" si="197"/>
        <v>2.5</v>
      </c>
      <c r="R1191" s="8">
        <f t="shared" si="198"/>
        <v>33.333333333333336</v>
      </c>
      <c r="S1191" s="8">
        <f t="shared" si="196"/>
        <v>35.833333333333336</v>
      </c>
      <c r="T1191" s="22">
        <f t="shared" si="188"/>
        <v>0.22575201326385599</v>
      </c>
      <c r="U1191" s="19">
        <f t="shared" si="189"/>
        <v>6174.8519658929526</v>
      </c>
      <c r="V1191" s="29" t="s">
        <v>2983</v>
      </c>
    </row>
    <row r="1192" spans="1:22" ht="15" customHeight="1" x14ac:dyDescent="0.25">
      <c r="A1192" t="s">
        <v>518</v>
      </c>
      <c r="B1192" t="s">
        <v>1091</v>
      </c>
      <c r="C1192" t="s">
        <v>2145</v>
      </c>
      <c r="D1192" t="s">
        <v>836</v>
      </c>
      <c r="E1192" t="s">
        <v>833</v>
      </c>
      <c r="F1192" s="5">
        <v>150</v>
      </c>
      <c r="G1192" t="s">
        <v>837</v>
      </c>
      <c r="H1192" s="3">
        <v>125</v>
      </c>
      <c r="I1192" s="3">
        <v>60</v>
      </c>
      <c r="J1192" s="3">
        <v>10</v>
      </c>
      <c r="K1192" s="3">
        <v>20</v>
      </c>
      <c r="L1192">
        <f t="shared" si="194"/>
        <v>7.4999999999999997E-2</v>
      </c>
      <c r="M1192">
        <f t="shared" si="187"/>
        <v>0.15</v>
      </c>
      <c r="N1192" s="8">
        <v>2</v>
      </c>
      <c r="O1192" s="14">
        <f t="shared" si="195"/>
        <v>300</v>
      </c>
      <c r="P1192" s="8">
        <v>20</v>
      </c>
      <c r="Q1192" s="8">
        <f t="shared" si="197"/>
        <v>0.1</v>
      </c>
      <c r="R1192" s="8">
        <f t="shared" si="198"/>
        <v>1.3333333333333333</v>
      </c>
      <c r="S1192" s="8">
        <f t="shared" si="196"/>
        <v>1.4333333333333333</v>
      </c>
      <c r="T1192" s="22">
        <f t="shared" si="188"/>
        <v>0.22205116058739935</v>
      </c>
      <c r="U1192" s="19">
        <f t="shared" si="189"/>
        <v>6175.07401705354</v>
      </c>
      <c r="V1192" s="29" t="s">
        <v>2983</v>
      </c>
    </row>
    <row r="1193" spans="1:22" ht="15" customHeight="1" x14ac:dyDescent="0.25">
      <c r="A1193" t="s">
        <v>518</v>
      </c>
      <c r="B1193" t="s">
        <v>1090</v>
      </c>
      <c r="C1193" t="s">
        <v>2381</v>
      </c>
      <c r="D1193" t="s">
        <v>2383</v>
      </c>
      <c r="E1193" t="s">
        <v>234</v>
      </c>
      <c r="F1193" s="5">
        <v>59.9</v>
      </c>
      <c r="G1193" t="s">
        <v>683</v>
      </c>
      <c r="H1193" s="3">
        <v>100</v>
      </c>
      <c r="I1193" s="3">
        <v>100</v>
      </c>
      <c r="J1193" s="3">
        <v>100</v>
      </c>
      <c r="K1193" s="3">
        <v>63</v>
      </c>
      <c r="L1193">
        <f t="shared" si="194"/>
        <v>1</v>
      </c>
      <c r="M1193">
        <f t="shared" si="187"/>
        <v>5</v>
      </c>
      <c r="N1193" s="8">
        <v>5</v>
      </c>
      <c r="O1193" s="14">
        <f t="shared" si="195"/>
        <v>299.5</v>
      </c>
      <c r="P1193" s="8">
        <v>20</v>
      </c>
      <c r="Q1193" s="8">
        <f t="shared" si="197"/>
        <v>0.25</v>
      </c>
      <c r="R1193" s="8">
        <f t="shared" si="198"/>
        <v>3.333333333333333</v>
      </c>
      <c r="S1193" s="8">
        <f t="shared" si="196"/>
        <v>3.583333333333333</v>
      </c>
      <c r="T1193" s="22">
        <f t="shared" si="188"/>
        <v>0.22168107531975367</v>
      </c>
      <c r="U1193" s="19">
        <f t="shared" si="189"/>
        <v>6175.2956981288598</v>
      </c>
      <c r="V1193" s="29" t="s">
        <v>2983</v>
      </c>
    </row>
    <row r="1194" spans="1:22" ht="15" customHeight="1" x14ac:dyDescent="0.25">
      <c r="A1194" t="s">
        <v>518</v>
      </c>
      <c r="B1194" t="s">
        <v>1090</v>
      </c>
      <c r="C1194" t="s">
        <v>2387</v>
      </c>
      <c r="D1194" t="s">
        <v>2260</v>
      </c>
      <c r="E1194" t="s">
        <v>234</v>
      </c>
      <c r="F1194" s="5">
        <v>59.9</v>
      </c>
      <c r="G1194" t="s">
        <v>683</v>
      </c>
      <c r="H1194" s="3">
        <v>20</v>
      </c>
      <c r="I1194" s="3">
        <v>30</v>
      </c>
      <c r="J1194" s="3">
        <v>5</v>
      </c>
      <c r="K1194" s="3">
        <v>35.950000000000003</v>
      </c>
      <c r="L1194">
        <f t="shared" si="194"/>
        <v>3.0000000000000001E-3</v>
      </c>
      <c r="M1194">
        <f t="shared" si="187"/>
        <v>1.4999999999999999E-2</v>
      </c>
      <c r="N1194" s="8">
        <v>5</v>
      </c>
      <c r="O1194" s="14">
        <f t="shared" si="195"/>
        <v>299.5</v>
      </c>
      <c r="P1194" s="8">
        <v>20</v>
      </c>
      <c r="Q1194" s="8">
        <f t="shared" si="197"/>
        <v>0.25</v>
      </c>
      <c r="R1194" s="8">
        <f t="shared" si="198"/>
        <v>3.333333333333333</v>
      </c>
      <c r="S1194" s="8">
        <f t="shared" si="196"/>
        <v>3.583333333333333</v>
      </c>
      <c r="T1194" s="22">
        <f t="shared" si="188"/>
        <v>0.22168107531975367</v>
      </c>
      <c r="U1194" s="19">
        <f t="shared" si="189"/>
        <v>6175.5173792041796</v>
      </c>
      <c r="V1194" s="29" t="s">
        <v>2983</v>
      </c>
    </row>
    <row r="1195" spans="1:22" ht="15" customHeight="1" x14ac:dyDescent="0.25">
      <c r="A1195" t="s">
        <v>518</v>
      </c>
      <c r="B1195" t="s">
        <v>1090</v>
      </c>
      <c r="C1195" t="s">
        <v>781</v>
      </c>
      <c r="D1195" t="s">
        <v>631</v>
      </c>
      <c r="E1195" t="s">
        <v>234</v>
      </c>
      <c r="F1195" s="5">
        <v>59.7</v>
      </c>
      <c r="G1195" t="s">
        <v>782</v>
      </c>
      <c r="H1195" s="3">
        <v>27.5</v>
      </c>
      <c r="I1195" s="3">
        <v>18</v>
      </c>
      <c r="J1195" s="3">
        <v>7.5</v>
      </c>
      <c r="K1195" s="3">
        <v>4.59</v>
      </c>
      <c r="L1195">
        <f t="shared" si="194"/>
        <v>3.7125000000000001E-3</v>
      </c>
      <c r="M1195">
        <f t="shared" si="187"/>
        <v>1.8562499999999999E-2</v>
      </c>
      <c r="N1195" s="8">
        <v>5</v>
      </c>
      <c r="O1195" s="14">
        <f t="shared" si="195"/>
        <v>298.5</v>
      </c>
      <c r="P1195" s="8">
        <v>20</v>
      </c>
      <c r="Q1195" s="8">
        <f t="shared" si="197"/>
        <v>0.25</v>
      </c>
      <c r="R1195" s="8">
        <f t="shared" si="198"/>
        <v>3.333333333333333</v>
      </c>
      <c r="S1195" s="8">
        <f t="shared" si="196"/>
        <v>3.583333333333333</v>
      </c>
      <c r="T1195" s="22">
        <f t="shared" si="188"/>
        <v>0.22094090478446235</v>
      </c>
      <c r="U1195" s="19">
        <f t="shared" si="189"/>
        <v>6175.7383201089642</v>
      </c>
      <c r="V1195" s="29" t="s">
        <v>2983</v>
      </c>
    </row>
    <row r="1196" spans="1:22" ht="15" customHeight="1" x14ac:dyDescent="0.25">
      <c r="A1196" t="s">
        <v>518</v>
      </c>
      <c r="B1196" t="s">
        <v>1091</v>
      </c>
      <c r="C1196" t="s">
        <v>2082</v>
      </c>
      <c r="D1196" t="s">
        <v>2088</v>
      </c>
      <c r="E1196" t="s">
        <v>833</v>
      </c>
      <c r="F1196" s="5">
        <v>147.6</v>
      </c>
      <c r="G1196" t="s">
        <v>796</v>
      </c>
      <c r="H1196" s="3">
        <v>30</v>
      </c>
      <c r="I1196" s="3">
        <v>35</v>
      </c>
      <c r="J1196" s="3">
        <v>15</v>
      </c>
      <c r="K1196" s="3">
        <v>3.1</v>
      </c>
      <c r="L1196">
        <f t="shared" si="194"/>
        <v>1.575E-2</v>
      </c>
      <c r="M1196">
        <f t="shared" si="187"/>
        <v>3.15E-2</v>
      </c>
      <c r="N1196" s="8">
        <v>2</v>
      </c>
      <c r="O1196" s="14">
        <f t="shared" si="195"/>
        <v>295.2</v>
      </c>
      <c r="P1196" s="8">
        <v>20</v>
      </c>
      <c r="Q1196" s="8">
        <f t="shared" si="197"/>
        <v>0.1</v>
      </c>
      <c r="R1196" s="8">
        <f t="shared" si="198"/>
        <v>1.3333333333333333</v>
      </c>
      <c r="S1196" s="8">
        <f t="shared" si="196"/>
        <v>1.4333333333333333</v>
      </c>
      <c r="T1196" s="22">
        <f t="shared" si="188"/>
        <v>0.21849834201800095</v>
      </c>
      <c r="U1196" s="19">
        <f t="shared" si="189"/>
        <v>6175.9568184509826</v>
      </c>
      <c r="V1196" s="29" t="s">
        <v>2983</v>
      </c>
    </row>
    <row r="1197" spans="1:22" ht="15" customHeight="1" x14ac:dyDescent="0.25">
      <c r="A1197" t="s">
        <v>518</v>
      </c>
      <c r="B1197" t="s">
        <v>1090</v>
      </c>
      <c r="C1197" t="s">
        <v>2369</v>
      </c>
      <c r="D1197" t="s">
        <v>733</v>
      </c>
      <c r="E1197" t="s">
        <v>234</v>
      </c>
      <c r="F1197" s="5">
        <v>59</v>
      </c>
      <c r="G1197" t="s">
        <v>2323</v>
      </c>
      <c r="H1197" s="3">
        <v>110</v>
      </c>
      <c r="I1197" s="3">
        <v>90</v>
      </c>
      <c r="J1197" s="3">
        <v>100</v>
      </c>
      <c r="K1197" s="3">
        <v>46.22</v>
      </c>
      <c r="L1197">
        <f t="shared" si="194"/>
        <v>0.99</v>
      </c>
      <c r="M1197">
        <f t="shared" si="187"/>
        <v>4.95</v>
      </c>
      <c r="N1197" s="8">
        <v>5</v>
      </c>
      <c r="O1197" s="14">
        <f t="shared" si="195"/>
        <v>295</v>
      </c>
      <c r="P1197" s="8">
        <v>20</v>
      </c>
      <c r="Q1197" s="8">
        <f t="shared" si="197"/>
        <v>0.25</v>
      </c>
      <c r="R1197" s="8">
        <f t="shared" si="198"/>
        <v>3.333333333333333</v>
      </c>
      <c r="S1197" s="8">
        <f t="shared" si="196"/>
        <v>3.583333333333333</v>
      </c>
      <c r="T1197" s="22">
        <f t="shared" si="188"/>
        <v>0.21835030791094268</v>
      </c>
      <c r="U1197" s="19">
        <f t="shared" si="189"/>
        <v>6176.175168758894</v>
      </c>
      <c r="V1197" s="29" t="s">
        <v>2983</v>
      </c>
    </row>
    <row r="1198" spans="1:22" ht="15" customHeight="1" x14ac:dyDescent="0.25">
      <c r="A1198" t="s">
        <v>518</v>
      </c>
      <c r="B1198" t="s">
        <v>1090</v>
      </c>
      <c r="C1198" t="s">
        <v>2369</v>
      </c>
      <c r="D1198" t="s">
        <v>2370</v>
      </c>
      <c r="E1198" t="s">
        <v>234</v>
      </c>
      <c r="F1198" s="5">
        <v>59</v>
      </c>
      <c r="G1198" t="s">
        <v>683</v>
      </c>
      <c r="H1198" s="3">
        <v>100</v>
      </c>
      <c r="I1198" s="3">
        <v>100</v>
      </c>
      <c r="J1198" s="3">
        <v>100</v>
      </c>
      <c r="K1198" s="3">
        <v>20.97</v>
      </c>
      <c r="L1198">
        <f t="shared" si="194"/>
        <v>1</v>
      </c>
      <c r="M1198">
        <f t="shared" ref="M1198:M1261" si="199">L1198*N1198</f>
        <v>5</v>
      </c>
      <c r="N1198" s="8">
        <v>5</v>
      </c>
      <c r="O1198" s="14">
        <f t="shared" si="195"/>
        <v>295</v>
      </c>
      <c r="P1198" s="8">
        <v>20</v>
      </c>
      <c r="Q1198" s="8">
        <f t="shared" si="197"/>
        <v>0.25</v>
      </c>
      <c r="R1198" s="8">
        <f t="shared" si="198"/>
        <v>3.333333333333333</v>
      </c>
      <c r="S1198" s="8">
        <f t="shared" si="196"/>
        <v>3.583333333333333</v>
      </c>
      <c r="T1198" s="22">
        <f t="shared" si="188"/>
        <v>0.21835030791094268</v>
      </c>
      <c r="U1198" s="19">
        <f t="shared" si="189"/>
        <v>6176.3935190668053</v>
      </c>
      <c r="V1198" s="29" t="s">
        <v>2983</v>
      </c>
    </row>
    <row r="1199" spans="1:22" ht="15" customHeight="1" x14ac:dyDescent="0.25">
      <c r="A1199" t="s">
        <v>518</v>
      </c>
      <c r="B1199" t="s">
        <v>1090</v>
      </c>
      <c r="C1199" t="s">
        <v>2337</v>
      </c>
      <c r="D1199" t="s">
        <v>2343</v>
      </c>
      <c r="E1199" t="s">
        <v>234</v>
      </c>
      <c r="F1199" s="5">
        <v>59</v>
      </c>
      <c r="G1199" t="s">
        <v>683</v>
      </c>
      <c r="H1199" s="3">
        <v>100</v>
      </c>
      <c r="I1199" s="3">
        <v>100</v>
      </c>
      <c r="J1199" s="3">
        <v>100</v>
      </c>
      <c r="K1199" s="3">
        <v>9</v>
      </c>
      <c r="L1199">
        <f t="shared" si="194"/>
        <v>1</v>
      </c>
      <c r="M1199">
        <f t="shared" si="199"/>
        <v>5</v>
      </c>
      <c r="N1199" s="8">
        <v>5</v>
      </c>
      <c r="O1199" s="14">
        <f t="shared" si="195"/>
        <v>295</v>
      </c>
      <c r="P1199" s="8">
        <v>20</v>
      </c>
      <c r="Q1199" s="8">
        <f t="shared" si="197"/>
        <v>0.25</v>
      </c>
      <c r="R1199" s="8">
        <f t="shared" si="198"/>
        <v>3.333333333333333</v>
      </c>
      <c r="S1199" s="8">
        <f t="shared" si="196"/>
        <v>3.583333333333333</v>
      </c>
      <c r="T1199" s="22">
        <f t="shared" si="188"/>
        <v>0.21835030791094268</v>
      </c>
      <c r="U1199" s="19">
        <f t="shared" si="189"/>
        <v>6176.6118693747167</v>
      </c>
      <c r="V1199" s="29" t="s">
        <v>2983</v>
      </c>
    </row>
    <row r="1200" spans="1:22" ht="15" customHeight="1" x14ac:dyDescent="0.25">
      <c r="A1200" t="s">
        <v>518</v>
      </c>
      <c r="B1200" t="s">
        <v>1090</v>
      </c>
      <c r="C1200" t="s">
        <v>2322</v>
      </c>
      <c r="D1200" t="s">
        <v>2326</v>
      </c>
      <c r="E1200" t="s">
        <v>234</v>
      </c>
      <c r="F1200" s="5">
        <v>59</v>
      </c>
      <c r="G1200" t="s">
        <v>683</v>
      </c>
      <c r="H1200" s="3">
        <v>100</v>
      </c>
      <c r="I1200" s="3">
        <v>100</v>
      </c>
      <c r="J1200" s="3">
        <v>100</v>
      </c>
      <c r="K1200" s="3">
        <v>4.84</v>
      </c>
      <c r="L1200">
        <f t="shared" si="194"/>
        <v>1</v>
      </c>
      <c r="M1200">
        <f t="shared" si="199"/>
        <v>5</v>
      </c>
      <c r="N1200" s="8">
        <v>5</v>
      </c>
      <c r="O1200" s="14">
        <f t="shared" si="195"/>
        <v>295</v>
      </c>
      <c r="P1200" s="8">
        <v>20</v>
      </c>
      <c r="Q1200" s="8">
        <f t="shared" si="197"/>
        <v>0.25</v>
      </c>
      <c r="R1200" s="8">
        <f t="shared" si="198"/>
        <v>3.333333333333333</v>
      </c>
      <c r="S1200" s="8">
        <f t="shared" si="196"/>
        <v>3.583333333333333</v>
      </c>
      <c r="T1200" s="22">
        <f t="shared" si="188"/>
        <v>0.21835030791094268</v>
      </c>
      <c r="U1200" s="19">
        <f t="shared" si="189"/>
        <v>6176.830219682628</v>
      </c>
      <c r="V1200" s="29" t="s">
        <v>2983</v>
      </c>
    </row>
    <row r="1201" spans="1:22" ht="15" customHeight="1" x14ac:dyDescent="0.25">
      <c r="A1201" t="s">
        <v>518</v>
      </c>
      <c r="B1201" t="s">
        <v>1090</v>
      </c>
      <c r="C1201" t="s">
        <v>2337</v>
      </c>
      <c r="D1201" t="s">
        <v>2338</v>
      </c>
      <c r="E1201" t="s">
        <v>234</v>
      </c>
      <c r="F1201" s="5">
        <v>59</v>
      </c>
      <c r="G1201" t="s">
        <v>2323</v>
      </c>
      <c r="H1201" s="3">
        <v>110</v>
      </c>
      <c r="I1201" s="3">
        <v>90</v>
      </c>
      <c r="J1201" s="3">
        <v>100</v>
      </c>
      <c r="K1201" s="3">
        <v>4.58</v>
      </c>
      <c r="L1201">
        <f t="shared" si="194"/>
        <v>0.99</v>
      </c>
      <c r="M1201">
        <f t="shared" si="199"/>
        <v>4.95</v>
      </c>
      <c r="N1201" s="8">
        <v>5</v>
      </c>
      <c r="O1201" s="14">
        <f t="shared" si="195"/>
        <v>295</v>
      </c>
      <c r="P1201" s="8">
        <v>20</v>
      </c>
      <c r="Q1201" s="8">
        <f t="shared" si="197"/>
        <v>0.25</v>
      </c>
      <c r="R1201" s="8">
        <f t="shared" si="198"/>
        <v>3.333333333333333</v>
      </c>
      <c r="S1201" s="8">
        <f t="shared" si="196"/>
        <v>3.583333333333333</v>
      </c>
      <c r="T1201" s="22">
        <f t="shared" si="188"/>
        <v>0.21835030791094268</v>
      </c>
      <c r="U1201" s="19">
        <f t="shared" si="189"/>
        <v>6177.0485699905394</v>
      </c>
      <c r="V1201" s="29" t="s">
        <v>2983</v>
      </c>
    </row>
    <row r="1202" spans="1:22" ht="15" customHeight="1" x14ac:dyDescent="0.25">
      <c r="A1202" t="s">
        <v>518</v>
      </c>
      <c r="B1202" t="s">
        <v>1090</v>
      </c>
      <c r="C1202" t="s">
        <v>2346</v>
      </c>
      <c r="D1202" t="s">
        <v>2347</v>
      </c>
      <c r="E1202" t="s">
        <v>234</v>
      </c>
      <c r="F1202" s="5">
        <v>59</v>
      </c>
      <c r="G1202" t="s">
        <v>683</v>
      </c>
      <c r="H1202" s="3">
        <v>100</v>
      </c>
      <c r="I1202" s="3">
        <v>100</v>
      </c>
      <c r="J1202" s="3">
        <v>100</v>
      </c>
      <c r="K1202" s="3">
        <v>2.82</v>
      </c>
      <c r="L1202">
        <f t="shared" si="194"/>
        <v>1</v>
      </c>
      <c r="M1202">
        <f t="shared" si="199"/>
        <v>5</v>
      </c>
      <c r="N1202" s="8">
        <v>5</v>
      </c>
      <c r="O1202" s="14">
        <f t="shared" si="195"/>
        <v>295</v>
      </c>
      <c r="P1202" s="8">
        <v>20</v>
      </c>
      <c r="Q1202" s="8">
        <f t="shared" si="197"/>
        <v>0.25</v>
      </c>
      <c r="R1202" s="8">
        <f t="shared" si="198"/>
        <v>3.333333333333333</v>
      </c>
      <c r="S1202" s="8">
        <f t="shared" si="196"/>
        <v>3.583333333333333</v>
      </c>
      <c r="T1202" s="22">
        <f t="shared" si="188"/>
        <v>0.21835030791094268</v>
      </c>
      <c r="U1202" s="19">
        <f t="shared" si="189"/>
        <v>6177.2669202984507</v>
      </c>
      <c r="V1202" s="29" t="s">
        <v>2983</v>
      </c>
    </row>
    <row r="1203" spans="1:22" ht="15" customHeight="1" x14ac:dyDescent="0.25">
      <c r="A1203" t="s">
        <v>518</v>
      </c>
      <c r="B1203" t="s">
        <v>1090</v>
      </c>
      <c r="C1203" t="s">
        <v>2364</v>
      </c>
      <c r="D1203" t="s">
        <v>2366</v>
      </c>
      <c r="E1203" t="s">
        <v>234</v>
      </c>
      <c r="F1203" s="5">
        <v>59</v>
      </c>
      <c r="G1203" t="s">
        <v>683</v>
      </c>
      <c r="H1203" s="3">
        <v>100</v>
      </c>
      <c r="I1203" s="3">
        <v>100</v>
      </c>
      <c r="J1203" s="3">
        <v>100</v>
      </c>
      <c r="K1203" s="3">
        <v>1.2</v>
      </c>
      <c r="L1203">
        <f t="shared" si="194"/>
        <v>1</v>
      </c>
      <c r="M1203">
        <f t="shared" si="199"/>
        <v>5</v>
      </c>
      <c r="N1203" s="8">
        <v>5</v>
      </c>
      <c r="O1203" s="14">
        <f t="shared" si="195"/>
        <v>295</v>
      </c>
      <c r="P1203" s="8">
        <v>20</v>
      </c>
      <c r="Q1203" s="8">
        <f t="shared" si="197"/>
        <v>0.25</v>
      </c>
      <c r="R1203" s="8">
        <f t="shared" si="198"/>
        <v>3.333333333333333</v>
      </c>
      <c r="S1203" s="8">
        <f t="shared" si="196"/>
        <v>3.583333333333333</v>
      </c>
      <c r="T1203" s="22">
        <f t="shared" si="188"/>
        <v>0.21835030791094268</v>
      </c>
      <c r="U1203" s="19">
        <f t="shared" si="189"/>
        <v>6177.4852706063621</v>
      </c>
      <c r="V1203" s="29" t="s">
        <v>2983</v>
      </c>
    </row>
    <row r="1204" spans="1:22" ht="15" customHeight="1" x14ac:dyDescent="0.25">
      <c r="A1204" t="s">
        <v>518</v>
      </c>
      <c r="B1204" t="s">
        <v>1090</v>
      </c>
      <c r="C1204" t="s">
        <v>750</v>
      </c>
      <c r="D1204" t="s">
        <v>752</v>
      </c>
      <c r="E1204" t="s">
        <v>234</v>
      </c>
      <c r="F1204" s="5">
        <v>59</v>
      </c>
      <c r="G1204" t="s">
        <v>753</v>
      </c>
      <c r="H1204" s="3">
        <v>100</v>
      </c>
      <c r="I1204" s="3">
        <v>100</v>
      </c>
      <c r="J1204" s="3">
        <v>100</v>
      </c>
      <c r="K1204" s="3">
        <v>0.7</v>
      </c>
      <c r="L1204">
        <f t="shared" si="194"/>
        <v>1</v>
      </c>
      <c r="M1204">
        <f t="shared" si="199"/>
        <v>5</v>
      </c>
      <c r="N1204" s="8">
        <v>5</v>
      </c>
      <c r="O1204" s="14">
        <f t="shared" si="195"/>
        <v>295</v>
      </c>
      <c r="P1204" s="8">
        <v>20</v>
      </c>
      <c r="Q1204" s="8">
        <f t="shared" si="197"/>
        <v>0.25</v>
      </c>
      <c r="R1204" s="8">
        <f t="shared" si="198"/>
        <v>3.333333333333333</v>
      </c>
      <c r="S1204" s="8">
        <f t="shared" si="196"/>
        <v>3.583333333333333</v>
      </c>
      <c r="T1204" s="22">
        <f t="shared" si="188"/>
        <v>0.21835030791094268</v>
      </c>
      <c r="U1204" s="19">
        <f t="shared" si="189"/>
        <v>6177.7036209142734</v>
      </c>
      <c r="V1204" s="29" t="s">
        <v>2983</v>
      </c>
    </row>
    <row r="1205" spans="1:22" ht="15" customHeight="1" x14ac:dyDescent="0.25">
      <c r="A1205" t="s">
        <v>518</v>
      </c>
      <c r="B1205" t="s">
        <v>1091</v>
      </c>
      <c r="C1205" t="s">
        <v>2082</v>
      </c>
      <c r="D1205" t="s">
        <v>2085</v>
      </c>
      <c r="E1205" t="s">
        <v>833</v>
      </c>
      <c r="F1205" s="5">
        <v>144</v>
      </c>
      <c r="G1205" t="s">
        <v>512</v>
      </c>
      <c r="H1205" s="3">
        <v>30</v>
      </c>
      <c r="I1205" s="3">
        <v>35</v>
      </c>
      <c r="J1205" s="3">
        <v>15</v>
      </c>
      <c r="K1205" s="3">
        <v>3.5</v>
      </c>
      <c r="L1205">
        <f t="shared" si="194"/>
        <v>1.575E-2</v>
      </c>
      <c r="M1205">
        <f t="shared" si="199"/>
        <v>3.15E-2</v>
      </c>
      <c r="N1205" s="8">
        <v>2</v>
      </c>
      <c r="O1205" s="14">
        <f t="shared" si="195"/>
        <v>288</v>
      </c>
      <c r="P1205" s="8">
        <v>20</v>
      </c>
      <c r="Q1205" s="8">
        <f t="shared" si="197"/>
        <v>0.1</v>
      </c>
      <c r="R1205" s="8">
        <f t="shared" si="198"/>
        <v>1.3333333333333333</v>
      </c>
      <c r="S1205" s="8">
        <f t="shared" si="196"/>
        <v>1.4333333333333333</v>
      </c>
      <c r="T1205" s="22">
        <f t="shared" ref="T1205:T1268" si="200">O1205/O$1749</f>
        <v>0.21316911416390336</v>
      </c>
      <c r="U1205" s="19">
        <f t="shared" ref="U1205:U1268" si="201">U1204+T1205</f>
        <v>6177.9167900284374</v>
      </c>
      <c r="V1205" s="29" t="s">
        <v>2983</v>
      </c>
    </row>
    <row r="1206" spans="1:22" ht="15" customHeight="1" x14ac:dyDescent="0.25">
      <c r="A1206" t="s">
        <v>518</v>
      </c>
      <c r="B1206" t="s">
        <v>1090</v>
      </c>
      <c r="C1206" t="s">
        <v>771</v>
      </c>
      <c r="D1206" t="s">
        <v>547</v>
      </c>
      <c r="E1206" t="s">
        <v>234</v>
      </c>
      <c r="F1206" s="5">
        <v>57</v>
      </c>
      <c r="G1206" t="s">
        <v>772</v>
      </c>
      <c r="H1206" s="3">
        <v>15</v>
      </c>
      <c r="I1206" s="3">
        <v>20</v>
      </c>
      <c r="J1206" s="3">
        <v>30</v>
      </c>
      <c r="K1206" s="3">
        <v>0.3</v>
      </c>
      <c r="L1206">
        <f t="shared" si="194"/>
        <v>8.9999999999999993E-3</v>
      </c>
      <c r="M1206">
        <f t="shared" si="199"/>
        <v>4.4999999999999998E-2</v>
      </c>
      <c r="N1206" s="8">
        <v>5</v>
      </c>
      <c r="O1206" s="14">
        <f t="shared" si="195"/>
        <v>285</v>
      </c>
      <c r="P1206" s="8">
        <v>20</v>
      </c>
      <c r="Q1206" s="8">
        <f t="shared" si="197"/>
        <v>0.25</v>
      </c>
      <c r="R1206" s="8">
        <f t="shared" si="198"/>
        <v>3.333333333333333</v>
      </c>
      <c r="S1206" s="8">
        <f t="shared" si="196"/>
        <v>3.583333333333333</v>
      </c>
      <c r="T1206" s="22">
        <f t="shared" si="200"/>
        <v>0.21094860255802939</v>
      </c>
      <c r="U1206" s="19">
        <f t="shared" si="201"/>
        <v>6178.1277386309957</v>
      </c>
      <c r="V1206" s="29" t="s">
        <v>2983</v>
      </c>
    </row>
    <row r="1207" spans="1:22" ht="15" customHeight="1" x14ac:dyDescent="0.25">
      <c r="A1207" t="s">
        <v>518</v>
      </c>
      <c r="B1207" t="s">
        <v>1091</v>
      </c>
      <c r="C1207" t="s">
        <v>2091</v>
      </c>
      <c r="D1207" t="s">
        <v>2093</v>
      </c>
      <c r="E1207" t="s">
        <v>833</v>
      </c>
      <c r="F1207" s="5">
        <v>140.4</v>
      </c>
      <c r="G1207" t="s">
        <v>512</v>
      </c>
      <c r="H1207" s="3">
        <v>20</v>
      </c>
      <c r="I1207" s="3">
        <v>35</v>
      </c>
      <c r="J1207" s="3">
        <v>12</v>
      </c>
      <c r="K1207" s="3">
        <v>16</v>
      </c>
      <c r="L1207">
        <f t="shared" si="194"/>
        <v>8.3999999999999995E-3</v>
      </c>
      <c r="M1207">
        <f t="shared" si="199"/>
        <v>1.6799999999999999E-2</v>
      </c>
      <c r="N1207" s="8">
        <v>2</v>
      </c>
      <c r="O1207" s="14">
        <f t="shared" si="195"/>
        <v>280.8</v>
      </c>
      <c r="P1207" s="8">
        <v>20</v>
      </c>
      <c r="Q1207" s="8">
        <f t="shared" si="197"/>
        <v>0.1</v>
      </c>
      <c r="R1207" s="8">
        <f t="shared" si="198"/>
        <v>1.3333333333333333</v>
      </c>
      <c r="S1207" s="8">
        <f t="shared" si="196"/>
        <v>1.4333333333333333</v>
      </c>
      <c r="T1207" s="22">
        <f t="shared" si="200"/>
        <v>0.20783988630980579</v>
      </c>
      <c r="U1207" s="19">
        <f t="shared" si="201"/>
        <v>6178.3355785173053</v>
      </c>
      <c r="V1207" s="29" t="s">
        <v>2983</v>
      </c>
    </row>
    <row r="1208" spans="1:22" ht="15" customHeight="1" x14ac:dyDescent="0.25">
      <c r="A1208" t="s">
        <v>518</v>
      </c>
      <c r="B1208" t="s">
        <v>1090</v>
      </c>
      <c r="C1208" t="s">
        <v>2369</v>
      </c>
      <c r="D1208" t="s">
        <v>2373</v>
      </c>
      <c r="E1208" t="s">
        <v>234</v>
      </c>
      <c r="F1208" s="5">
        <v>55</v>
      </c>
      <c r="G1208" t="s">
        <v>683</v>
      </c>
      <c r="H1208" s="3">
        <v>100</v>
      </c>
      <c r="I1208" s="3">
        <v>100</v>
      </c>
      <c r="J1208" s="3">
        <v>100</v>
      </c>
      <c r="K1208" s="3">
        <v>47.52</v>
      </c>
      <c r="L1208">
        <f t="shared" si="194"/>
        <v>1</v>
      </c>
      <c r="M1208">
        <f t="shared" si="199"/>
        <v>5</v>
      </c>
      <c r="N1208" s="8">
        <v>5</v>
      </c>
      <c r="O1208" s="14">
        <f t="shared" si="195"/>
        <v>275</v>
      </c>
      <c r="P1208" s="8">
        <v>20</v>
      </c>
      <c r="Q1208" s="8">
        <f t="shared" si="197"/>
        <v>0.25</v>
      </c>
      <c r="R1208" s="8">
        <f t="shared" si="198"/>
        <v>3.333333333333333</v>
      </c>
      <c r="S1208" s="8">
        <f t="shared" si="196"/>
        <v>3.583333333333333</v>
      </c>
      <c r="T1208" s="22">
        <f t="shared" si="200"/>
        <v>0.20354689720511607</v>
      </c>
      <c r="U1208" s="19">
        <f t="shared" si="201"/>
        <v>6178.5391254145106</v>
      </c>
      <c r="V1208" s="29" t="s">
        <v>2983</v>
      </c>
    </row>
    <row r="1209" spans="1:22" ht="15" customHeight="1" x14ac:dyDescent="0.25">
      <c r="A1209" t="s">
        <v>518</v>
      </c>
      <c r="B1209" t="s">
        <v>1091</v>
      </c>
      <c r="C1209" t="s">
        <v>1162</v>
      </c>
      <c r="D1209" t="s">
        <v>1163</v>
      </c>
      <c r="E1209" t="s">
        <v>833</v>
      </c>
      <c r="F1209" s="5">
        <v>136</v>
      </c>
      <c r="G1209" t="s">
        <v>512</v>
      </c>
      <c r="H1209" s="3">
        <v>290</v>
      </c>
      <c r="I1209" s="3">
        <v>300</v>
      </c>
      <c r="J1209" s="3">
        <v>180</v>
      </c>
      <c r="K1209" s="3">
        <v>15</v>
      </c>
      <c r="L1209">
        <f t="shared" si="194"/>
        <v>15.66</v>
      </c>
      <c r="M1209">
        <f t="shared" si="199"/>
        <v>31.32</v>
      </c>
      <c r="N1209" s="8">
        <v>2</v>
      </c>
      <c r="O1209" s="14">
        <f t="shared" si="195"/>
        <v>272</v>
      </c>
      <c r="P1209" s="8">
        <v>20</v>
      </c>
      <c r="Q1209" s="8">
        <f t="shared" si="197"/>
        <v>0.1</v>
      </c>
      <c r="R1209" s="8">
        <f t="shared" si="198"/>
        <v>1.3333333333333333</v>
      </c>
      <c r="S1209" s="8">
        <f t="shared" si="196"/>
        <v>1.4333333333333333</v>
      </c>
      <c r="T1209" s="22">
        <f t="shared" si="200"/>
        <v>0.20132638559924207</v>
      </c>
      <c r="U1209" s="19">
        <f t="shared" si="201"/>
        <v>6178.7404518001094</v>
      </c>
      <c r="V1209" s="29" t="s">
        <v>2983</v>
      </c>
    </row>
    <row r="1210" spans="1:22" ht="15" customHeight="1" x14ac:dyDescent="0.25">
      <c r="A1210" t="s">
        <v>518</v>
      </c>
      <c r="B1210" t="s">
        <v>1091</v>
      </c>
      <c r="C1210" t="s">
        <v>1131</v>
      </c>
      <c r="D1210" t="s">
        <v>1132</v>
      </c>
      <c r="E1210" t="s">
        <v>833</v>
      </c>
      <c r="F1210" s="5">
        <v>132</v>
      </c>
      <c r="G1210" t="s">
        <v>1121</v>
      </c>
      <c r="H1210" s="3">
        <v>800</v>
      </c>
      <c r="I1210" s="3">
        <v>980</v>
      </c>
      <c r="J1210" s="3">
        <v>680</v>
      </c>
      <c r="K1210" s="3">
        <v>85</v>
      </c>
      <c r="L1210">
        <f t="shared" si="194"/>
        <v>533.12</v>
      </c>
      <c r="M1210">
        <f t="shared" si="199"/>
        <v>1066.24</v>
      </c>
      <c r="N1210" s="8">
        <v>2</v>
      </c>
      <c r="O1210" s="14">
        <f t="shared" si="195"/>
        <v>264</v>
      </c>
      <c r="P1210" s="8">
        <v>20</v>
      </c>
      <c r="Q1210" s="8">
        <f t="shared" si="197"/>
        <v>0.1</v>
      </c>
      <c r="R1210" s="8">
        <f t="shared" si="198"/>
        <v>1.3333333333333333</v>
      </c>
      <c r="S1210" s="8">
        <f t="shared" si="196"/>
        <v>1.4333333333333333</v>
      </c>
      <c r="T1210" s="22">
        <f t="shared" si="200"/>
        <v>0.19540502131691143</v>
      </c>
      <c r="U1210" s="19">
        <f t="shared" si="201"/>
        <v>6178.9358568214266</v>
      </c>
      <c r="V1210" s="29" t="s">
        <v>2983</v>
      </c>
    </row>
    <row r="1211" spans="1:22" ht="15" customHeight="1" x14ac:dyDescent="0.25">
      <c r="A1211" t="s">
        <v>518</v>
      </c>
      <c r="B1211" t="s">
        <v>1091</v>
      </c>
      <c r="C1211" t="s">
        <v>2091</v>
      </c>
      <c r="D1211" t="s">
        <v>2094</v>
      </c>
      <c r="E1211" t="s">
        <v>833</v>
      </c>
      <c r="F1211" s="5">
        <v>130.80000000000001</v>
      </c>
      <c r="G1211" t="s">
        <v>512</v>
      </c>
      <c r="H1211" s="3">
        <v>20</v>
      </c>
      <c r="I1211" s="3">
        <v>35</v>
      </c>
      <c r="J1211" s="3">
        <v>12</v>
      </c>
      <c r="K1211" s="3">
        <v>18</v>
      </c>
      <c r="L1211">
        <f t="shared" si="194"/>
        <v>8.3999999999999995E-3</v>
      </c>
      <c r="M1211">
        <f t="shared" si="199"/>
        <v>1.6799999999999999E-2</v>
      </c>
      <c r="N1211" s="8">
        <v>2</v>
      </c>
      <c r="O1211" s="14">
        <f t="shared" si="195"/>
        <v>261.60000000000002</v>
      </c>
      <c r="P1211" s="8">
        <v>20</v>
      </c>
      <c r="Q1211" s="8">
        <f t="shared" si="197"/>
        <v>0.1</v>
      </c>
      <c r="R1211" s="8">
        <f t="shared" si="198"/>
        <v>1.3333333333333333</v>
      </c>
      <c r="S1211" s="8">
        <f t="shared" si="196"/>
        <v>1.4333333333333333</v>
      </c>
      <c r="T1211" s="22">
        <f t="shared" si="200"/>
        <v>0.19362861203221224</v>
      </c>
      <c r="U1211" s="19">
        <f t="shared" si="201"/>
        <v>6179.1294854334592</v>
      </c>
      <c r="V1211" s="29" t="s">
        <v>2983</v>
      </c>
    </row>
    <row r="1212" spans="1:22" ht="15" customHeight="1" x14ac:dyDescent="0.25">
      <c r="A1212" t="s">
        <v>518</v>
      </c>
      <c r="B1212" t="s">
        <v>1091</v>
      </c>
      <c r="C1212" t="s">
        <v>2091</v>
      </c>
      <c r="D1212" t="s">
        <v>2096</v>
      </c>
      <c r="E1212" t="s">
        <v>833</v>
      </c>
      <c r="F1212" s="5">
        <v>127.2</v>
      </c>
      <c r="G1212" t="s">
        <v>798</v>
      </c>
      <c r="H1212" s="3">
        <v>20</v>
      </c>
      <c r="I1212" s="3">
        <v>35</v>
      </c>
      <c r="J1212" s="3">
        <v>12</v>
      </c>
      <c r="K1212" s="3">
        <v>16</v>
      </c>
      <c r="L1212">
        <f t="shared" si="194"/>
        <v>8.3999999999999995E-3</v>
      </c>
      <c r="M1212">
        <f t="shared" si="199"/>
        <v>1.6799999999999999E-2</v>
      </c>
      <c r="N1212" s="8">
        <v>2</v>
      </c>
      <c r="O1212" s="14">
        <f t="shared" si="195"/>
        <v>254.4</v>
      </c>
      <c r="P1212" s="8">
        <v>20</v>
      </c>
      <c r="Q1212" s="8">
        <f t="shared" si="197"/>
        <v>0.1</v>
      </c>
      <c r="R1212" s="8">
        <f t="shared" si="198"/>
        <v>1.3333333333333333</v>
      </c>
      <c r="S1212" s="8">
        <f t="shared" si="196"/>
        <v>1.4333333333333333</v>
      </c>
      <c r="T1212" s="22">
        <f t="shared" si="200"/>
        <v>0.18829938417811465</v>
      </c>
      <c r="U1212" s="19">
        <f t="shared" si="201"/>
        <v>6179.3177848176374</v>
      </c>
      <c r="V1212" s="29" t="s">
        <v>2983</v>
      </c>
    </row>
    <row r="1213" spans="1:22" ht="15" customHeight="1" x14ac:dyDescent="0.25">
      <c r="A1213" t="s">
        <v>518</v>
      </c>
      <c r="B1213" t="s">
        <v>1091</v>
      </c>
      <c r="C1213" t="s">
        <v>2082</v>
      </c>
      <c r="D1213" t="s">
        <v>2084</v>
      </c>
      <c r="E1213" t="s">
        <v>833</v>
      </c>
      <c r="F1213" s="5">
        <v>124.8</v>
      </c>
      <c r="G1213" t="s">
        <v>512</v>
      </c>
      <c r="H1213" s="3">
        <v>30</v>
      </c>
      <c r="I1213" s="3">
        <v>35</v>
      </c>
      <c r="J1213" s="3">
        <v>15</v>
      </c>
      <c r="K1213" s="3">
        <v>3.9</v>
      </c>
      <c r="L1213">
        <f t="shared" si="194"/>
        <v>1.575E-2</v>
      </c>
      <c r="M1213">
        <f t="shared" si="199"/>
        <v>3.15E-2</v>
      </c>
      <c r="N1213" s="8">
        <v>2</v>
      </c>
      <c r="O1213" s="14">
        <f t="shared" si="195"/>
        <v>249.6</v>
      </c>
      <c r="P1213" s="8">
        <v>20</v>
      </c>
      <c r="Q1213" s="8">
        <f t="shared" si="197"/>
        <v>0.1</v>
      </c>
      <c r="R1213" s="8">
        <f t="shared" si="198"/>
        <v>1.3333333333333333</v>
      </c>
      <c r="S1213" s="8">
        <f t="shared" si="196"/>
        <v>1.4333333333333333</v>
      </c>
      <c r="T1213" s="22">
        <f t="shared" si="200"/>
        <v>0.18474656560871625</v>
      </c>
      <c r="U1213" s="19">
        <f t="shared" si="201"/>
        <v>6179.5025313832457</v>
      </c>
      <c r="V1213" s="29" t="s">
        <v>2983</v>
      </c>
    </row>
    <row r="1214" spans="1:22" ht="15" customHeight="1" x14ac:dyDescent="0.25">
      <c r="A1214" t="s">
        <v>518</v>
      </c>
      <c r="B1214" t="s">
        <v>1091</v>
      </c>
      <c r="C1214" t="s">
        <v>1148</v>
      </c>
      <c r="D1214" t="s">
        <v>1149</v>
      </c>
      <c r="E1214" t="s">
        <v>833</v>
      </c>
      <c r="F1214" s="5">
        <v>124.8</v>
      </c>
      <c r="G1214" t="s">
        <v>1150</v>
      </c>
      <c r="H1214" s="3">
        <v>270</v>
      </c>
      <c r="I1214" s="3">
        <v>260</v>
      </c>
      <c r="J1214" s="3">
        <v>80</v>
      </c>
      <c r="K1214" s="3">
        <v>25</v>
      </c>
      <c r="L1214">
        <f t="shared" si="194"/>
        <v>5.6159999999999997</v>
      </c>
      <c r="M1214">
        <f t="shared" si="199"/>
        <v>11.231999999999999</v>
      </c>
      <c r="N1214" s="8">
        <v>2</v>
      </c>
      <c r="O1214" s="14">
        <f t="shared" si="195"/>
        <v>249.6</v>
      </c>
      <c r="P1214" s="8">
        <v>20</v>
      </c>
      <c r="Q1214" s="8">
        <f t="shared" si="197"/>
        <v>0.1</v>
      </c>
      <c r="R1214" s="8">
        <f t="shared" si="198"/>
        <v>1.3333333333333333</v>
      </c>
      <c r="S1214" s="8">
        <f t="shared" si="196"/>
        <v>1.4333333333333333</v>
      </c>
      <c r="T1214" s="22">
        <f t="shared" si="200"/>
        <v>0.18474656560871625</v>
      </c>
      <c r="U1214" s="19">
        <f t="shared" si="201"/>
        <v>6179.687277948854</v>
      </c>
      <c r="V1214" s="29" t="s">
        <v>2983</v>
      </c>
    </row>
    <row r="1215" spans="1:22" ht="15" customHeight="1" x14ac:dyDescent="0.25">
      <c r="A1215" t="s">
        <v>518</v>
      </c>
      <c r="B1215" t="s">
        <v>1090</v>
      </c>
      <c r="C1215" t="s">
        <v>2350</v>
      </c>
      <c r="D1215" t="s">
        <v>722</v>
      </c>
      <c r="E1215" t="s">
        <v>234</v>
      </c>
      <c r="F1215" s="5">
        <v>49.5</v>
      </c>
      <c r="G1215" t="s">
        <v>2351</v>
      </c>
      <c r="H1215" s="3">
        <v>100</v>
      </c>
      <c r="I1215" s="3">
        <v>100</v>
      </c>
      <c r="J1215" s="3">
        <v>100</v>
      </c>
      <c r="K1215" s="3">
        <v>2.88</v>
      </c>
      <c r="L1215">
        <f t="shared" si="194"/>
        <v>1</v>
      </c>
      <c r="M1215">
        <f t="shared" si="199"/>
        <v>5</v>
      </c>
      <c r="N1215" s="8">
        <v>5</v>
      </c>
      <c r="O1215" s="14">
        <f t="shared" si="195"/>
        <v>247.5</v>
      </c>
      <c r="P1215" s="8">
        <v>20</v>
      </c>
      <c r="Q1215" s="8">
        <f t="shared" ref="Q1215:Q1245" si="202">N1215/P1215</f>
        <v>0.25</v>
      </c>
      <c r="R1215" s="8">
        <f t="shared" ref="R1215:R1245" si="203">(N1215/30)*P1215</f>
        <v>3.333333333333333</v>
      </c>
      <c r="S1215" s="8">
        <f t="shared" si="196"/>
        <v>3.583333333333333</v>
      </c>
      <c r="T1215" s="22">
        <f t="shared" si="200"/>
        <v>0.18319220748460446</v>
      </c>
      <c r="U1215" s="19">
        <f t="shared" si="201"/>
        <v>6179.8704701563383</v>
      </c>
      <c r="V1215" s="29" t="s">
        <v>2983</v>
      </c>
    </row>
    <row r="1216" spans="1:22" ht="15" customHeight="1" x14ac:dyDescent="0.25">
      <c r="A1216" t="s">
        <v>518</v>
      </c>
      <c r="B1216" t="s">
        <v>637</v>
      </c>
      <c r="C1216" t="s">
        <v>2300</v>
      </c>
      <c r="D1216" t="s">
        <v>2310</v>
      </c>
      <c r="E1216" t="s">
        <v>24</v>
      </c>
      <c r="F1216" s="5">
        <v>10.210000000000001</v>
      </c>
      <c r="G1216" t="s">
        <v>710</v>
      </c>
      <c r="H1216" s="3">
        <v>4</v>
      </c>
      <c r="I1216" s="3">
        <v>2</v>
      </c>
      <c r="J1216" s="3">
        <v>5</v>
      </c>
      <c r="K1216" s="3">
        <v>0.5</v>
      </c>
      <c r="L1216">
        <f t="shared" si="194"/>
        <v>4.0000000000000003E-5</v>
      </c>
      <c r="M1216">
        <f t="shared" si="199"/>
        <v>9.6000000000000013E-4</v>
      </c>
      <c r="N1216" s="8">
        <v>24</v>
      </c>
      <c r="O1216" s="14">
        <f t="shared" si="195"/>
        <v>245.04000000000002</v>
      </c>
      <c r="P1216" s="8">
        <v>20</v>
      </c>
      <c r="Q1216" s="8">
        <f t="shared" si="202"/>
        <v>1.2</v>
      </c>
      <c r="R1216" s="8">
        <f t="shared" si="203"/>
        <v>16</v>
      </c>
      <c r="S1216" s="8">
        <f t="shared" si="196"/>
        <v>17.2</v>
      </c>
      <c r="T1216" s="22">
        <f t="shared" si="200"/>
        <v>0.18137138796778779</v>
      </c>
      <c r="U1216" s="19">
        <f t="shared" si="201"/>
        <v>6180.0518415443057</v>
      </c>
      <c r="V1216" s="29" t="s">
        <v>2983</v>
      </c>
    </row>
    <row r="1217" spans="1:22" ht="15" customHeight="1" x14ac:dyDescent="0.25">
      <c r="A1217" t="s">
        <v>518</v>
      </c>
      <c r="B1217" t="s">
        <v>1090</v>
      </c>
      <c r="C1217" t="s">
        <v>2369</v>
      </c>
      <c r="D1217" t="s">
        <v>2372</v>
      </c>
      <c r="E1217" t="s">
        <v>234</v>
      </c>
      <c r="F1217" s="5">
        <v>49</v>
      </c>
      <c r="G1217" t="s">
        <v>683</v>
      </c>
      <c r="H1217" s="3">
        <v>100</v>
      </c>
      <c r="I1217" s="3">
        <v>100</v>
      </c>
      <c r="J1217" s="3">
        <v>100</v>
      </c>
      <c r="K1217" s="3">
        <v>86</v>
      </c>
      <c r="L1217">
        <f t="shared" si="194"/>
        <v>1</v>
      </c>
      <c r="M1217">
        <f t="shared" si="199"/>
        <v>5</v>
      </c>
      <c r="N1217" s="8">
        <v>5</v>
      </c>
      <c r="O1217" s="14">
        <f t="shared" si="195"/>
        <v>245</v>
      </c>
      <c r="P1217" s="8">
        <v>20</v>
      </c>
      <c r="Q1217" s="8">
        <f t="shared" si="202"/>
        <v>0.25</v>
      </c>
      <c r="R1217" s="8">
        <f t="shared" si="203"/>
        <v>3.333333333333333</v>
      </c>
      <c r="S1217" s="8">
        <f t="shared" si="196"/>
        <v>3.583333333333333</v>
      </c>
      <c r="T1217" s="22">
        <f t="shared" si="200"/>
        <v>0.18134178114637614</v>
      </c>
      <c r="U1217" s="19">
        <f t="shared" si="201"/>
        <v>6180.233183325452</v>
      </c>
      <c r="V1217" s="29" t="s">
        <v>2983</v>
      </c>
    </row>
    <row r="1218" spans="1:22" ht="15" customHeight="1" x14ac:dyDescent="0.25">
      <c r="A1218" t="s">
        <v>518</v>
      </c>
      <c r="B1218" t="s">
        <v>1090</v>
      </c>
      <c r="C1218" t="s">
        <v>2337</v>
      </c>
      <c r="D1218" t="s">
        <v>2340</v>
      </c>
      <c r="E1218" t="s">
        <v>234</v>
      </c>
      <c r="F1218" s="5">
        <v>49</v>
      </c>
      <c r="G1218" t="s">
        <v>683</v>
      </c>
      <c r="H1218" s="3">
        <v>100</v>
      </c>
      <c r="I1218" s="3">
        <v>100</v>
      </c>
      <c r="J1218" s="3">
        <v>100</v>
      </c>
      <c r="K1218" s="3">
        <v>3.07</v>
      </c>
      <c r="L1218">
        <f t="shared" ref="L1218:L1281" si="204">J1218*I1218*H1218/1000000</f>
        <v>1</v>
      </c>
      <c r="M1218">
        <f t="shared" si="199"/>
        <v>5</v>
      </c>
      <c r="N1218" s="8">
        <v>5</v>
      </c>
      <c r="O1218" s="14">
        <f t="shared" ref="O1218:O1281" si="205">N1218*F1218</f>
        <v>245</v>
      </c>
      <c r="P1218" s="8">
        <v>20</v>
      </c>
      <c r="Q1218" s="8">
        <f t="shared" si="202"/>
        <v>0.25</v>
      </c>
      <c r="R1218" s="8">
        <f t="shared" si="203"/>
        <v>3.333333333333333</v>
      </c>
      <c r="S1218" s="8">
        <f t="shared" ref="S1218:S1281" si="206">Q1218+R1218</f>
        <v>3.583333333333333</v>
      </c>
      <c r="T1218" s="22">
        <f t="shared" si="200"/>
        <v>0.18134178114637614</v>
      </c>
      <c r="U1218" s="19">
        <f t="shared" si="201"/>
        <v>6180.4145251065984</v>
      </c>
      <c r="V1218" s="29" t="s">
        <v>2983</v>
      </c>
    </row>
    <row r="1219" spans="1:22" ht="15" customHeight="1" x14ac:dyDescent="0.25">
      <c r="A1219" t="s">
        <v>518</v>
      </c>
      <c r="B1219" t="s">
        <v>1090</v>
      </c>
      <c r="C1219" t="s">
        <v>2360</v>
      </c>
      <c r="D1219" t="s">
        <v>2363</v>
      </c>
      <c r="E1219" t="s">
        <v>234</v>
      </c>
      <c r="F1219" s="5">
        <v>49</v>
      </c>
      <c r="G1219" t="s">
        <v>683</v>
      </c>
      <c r="H1219" s="3">
        <v>100</v>
      </c>
      <c r="I1219" s="3">
        <v>100</v>
      </c>
      <c r="J1219" s="3">
        <v>100</v>
      </c>
      <c r="K1219" s="3">
        <v>1.5</v>
      </c>
      <c r="L1219">
        <f t="shared" si="204"/>
        <v>1</v>
      </c>
      <c r="M1219">
        <f t="shared" si="199"/>
        <v>5</v>
      </c>
      <c r="N1219" s="8">
        <v>5</v>
      </c>
      <c r="O1219" s="14">
        <f t="shared" si="205"/>
        <v>245</v>
      </c>
      <c r="P1219" s="8">
        <v>20</v>
      </c>
      <c r="Q1219" s="8">
        <f t="shared" si="202"/>
        <v>0.25</v>
      </c>
      <c r="R1219" s="8">
        <f t="shared" si="203"/>
        <v>3.333333333333333</v>
      </c>
      <c r="S1219" s="8">
        <f t="shared" si="206"/>
        <v>3.583333333333333</v>
      </c>
      <c r="T1219" s="22">
        <f t="shared" si="200"/>
        <v>0.18134178114637614</v>
      </c>
      <c r="U1219" s="19">
        <f t="shared" si="201"/>
        <v>6180.5958668877447</v>
      </c>
      <c r="V1219" s="29" t="s">
        <v>2983</v>
      </c>
    </row>
    <row r="1220" spans="1:22" ht="15" customHeight="1" x14ac:dyDescent="0.25">
      <c r="A1220" t="s">
        <v>518</v>
      </c>
      <c r="B1220" t="s">
        <v>1090</v>
      </c>
      <c r="C1220" t="s">
        <v>2360</v>
      </c>
      <c r="D1220" t="s">
        <v>2361</v>
      </c>
      <c r="E1220" t="s">
        <v>234</v>
      </c>
      <c r="F1220" s="5">
        <v>49</v>
      </c>
      <c r="G1220" t="s">
        <v>683</v>
      </c>
      <c r="H1220" s="3">
        <v>100</v>
      </c>
      <c r="I1220" s="3">
        <v>100</v>
      </c>
      <c r="J1220" s="3">
        <v>100</v>
      </c>
      <c r="K1220" s="3">
        <v>1.2</v>
      </c>
      <c r="L1220">
        <f t="shared" si="204"/>
        <v>1</v>
      </c>
      <c r="M1220">
        <f t="shared" si="199"/>
        <v>5</v>
      </c>
      <c r="N1220" s="8">
        <v>5</v>
      </c>
      <c r="O1220" s="14">
        <f t="shared" si="205"/>
        <v>245</v>
      </c>
      <c r="P1220" s="8">
        <v>20</v>
      </c>
      <c r="Q1220" s="8">
        <f t="shared" si="202"/>
        <v>0.25</v>
      </c>
      <c r="R1220" s="8">
        <f t="shared" si="203"/>
        <v>3.333333333333333</v>
      </c>
      <c r="S1220" s="8">
        <f t="shared" si="206"/>
        <v>3.583333333333333</v>
      </c>
      <c r="T1220" s="22">
        <f t="shared" si="200"/>
        <v>0.18134178114637614</v>
      </c>
      <c r="U1220" s="19">
        <f t="shared" si="201"/>
        <v>6180.777208668891</v>
      </c>
      <c r="V1220" s="29" t="s">
        <v>2983</v>
      </c>
    </row>
    <row r="1221" spans="1:22" ht="15" customHeight="1" x14ac:dyDescent="0.25">
      <c r="A1221" t="s">
        <v>518</v>
      </c>
      <c r="B1221" t="s">
        <v>1091</v>
      </c>
      <c r="C1221" t="s">
        <v>2182</v>
      </c>
      <c r="D1221" t="s">
        <v>868</v>
      </c>
      <c r="E1221" t="s">
        <v>821</v>
      </c>
      <c r="F1221" s="5">
        <v>119.9</v>
      </c>
      <c r="G1221" t="s">
        <v>568</v>
      </c>
      <c r="H1221" s="3">
        <v>5</v>
      </c>
      <c r="I1221" s="3">
        <v>3.2</v>
      </c>
      <c r="J1221" s="3">
        <v>1500</v>
      </c>
      <c r="K1221" s="3">
        <v>12.5</v>
      </c>
      <c r="L1221">
        <f t="shared" si="204"/>
        <v>2.4E-2</v>
      </c>
      <c r="M1221">
        <f t="shared" si="199"/>
        <v>4.8000000000000001E-2</v>
      </c>
      <c r="N1221" s="8">
        <v>2</v>
      </c>
      <c r="O1221" s="14">
        <f t="shared" si="205"/>
        <v>239.8</v>
      </c>
      <c r="P1221" s="8">
        <v>20</v>
      </c>
      <c r="Q1221" s="8">
        <f t="shared" si="202"/>
        <v>0.1</v>
      </c>
      <c r="R1221" s="8">
        <f t="shared" si="203"/>
        <v>1.3333333333333333</v>
      </c>
      <c r="S1221" s="8">
        <f t="shared" si="206"/>
        <v>1.4333333333333333</v>
      </c>
      <c r="T1221" s="22">
        <f t="shared" si="200"/>
        <v>0.17749289436286123</v>
      </c>
      <c r="U1221" s="19">
        <f t="shared" si="201"/>
        <v>6180.9547015632543</v>
      </c>
      <c r="V1221" s="29" t="s">
        <v>2983</v>
      </c>
    </row>
    <row r="1222" spans="1:22" ht="15" customHeight="1" x14ac:dyDescent="0.25">
      <c r="A1222" t="s">
        <v>518</v>
      </c>
      <c r="B1222" t="s">
        <v>1091</v>
      </c>
      <c r="C1222" t="s">
        <v>2183</v>
      </c>
      <c r="D1222" t="s">
        <v>869</v>
      </c>
      <c r="E1222" t="s">
        <v>821</v>
      </c>
      <c r="F1222" s="5">
        <v>119.9</v>
      </c>
      <c r="G1222" t="s">
        <v>568</v>
      </c>
      <c r="H1222" s="3">
        <v>5</v>
      </c>
      <c r="I1222" s="3">
        <v>3.2</v>
      </c>
      <c r="J1222" s="3">
        <v>1500</v>
      </c>
      <c r="K1222" s="3">
        <v>12.5</v>
      </c>
      <c r="L1222">
        <f t="shared" si="204"/>
        <v>2.4E-2</v>
      </c>
      <c r="M1222">
        <f t="shared" si="199"/>
        <v>4.8000000000000001E-2</v>
      </c>
      <c r="N1222" s="8">
        <v>2</v>
      </c>
      <c r="O1222" s="14">
        <f t="shared" si="205"/>
        <v>239.8</v>
      </c>
      <c r="P1222" s="8">
        <v>20</v>
      </c>
      <c r="Q1222" s="8">
        <f t="shared" si="202"/>
        <v>0.1</v>
      </c>
      <c r="R1222" s="8">
        <f t="shared" si="203"/>
        <v>1.3333333333333333</v>
      </c>
      <c r="S1222" s="8">
        <f t="shared" si="206"/>
        <v>1.4333333333333333</v>
      </c>
      <c r="T1222" s="22">
        <f t="shared" si="200"/>
        <v>0.17749289436286123</v>
      </c>
      <c r="U1222" s="19">
        <f t="shared" si="201"/>
        <v>6181.1321944576175</v>
      </c>
      <c r="V1222" s="29" t="s">
        <v>2983</v>
      </c>
    </row>
    <row r="1223" spans="1:22" ht="15" customHeight="1" x14ac:dyDescent="0.25">
      <c r="A1223" t="s">
        <v>518</v>
      </c>
      <c r="B1223" t="s">
        <v>1091</v>
      </c>
      <c r="C1223" t="s">
        <v>2184</v>
      </c>
      <c r="D1223" t="s">
        <v>870</v>
      </c>
      <c r="E1223" t="s">
        <v>821</v>
      </c>
      <c r="F1223" s="5">
        <v>119.9</v>
      </c>
      <c r="G1223" t="s">
        <v>568</v>
      </c>
      <c r="H1223" s="3">
        <v>5</v>
      </c>
      <c r="I1223" s="3">
        <v>3.2</v>
      </c>
      <c r="J1223" s="3">
        <v>1500</v>
      </c>
      <c r="K1223" s="3">
        <v>12.5</v>
      </c>
      <c r="L1223">
        <f t="shared" si="204"/>
        <v>2.4E-2</v>
      </c>
      <c r="M1223">
        <f t="shared" si="199"/>
        <v>4.8000000000000001E-2</v>
      </c>
      <c r="N1223" s="8">
        <v>2</v>
      </c>
      <c r="O1223" s="14">
        <f t="shared" si="205"/>
        <v>239.8</v>
      </c>
      <c r="P1223" s="8">
        <v>20</v>
      </c>
      <c r="Q1223" s="8">
        <f t="shared" si="202"/>
        <v>0.1</v>
      </c>
      <c r="R1223" s="8">
        <f t="shared" si="203"/>
        <v>1.3333333333333333</v>
      </c>
      <c r="S1223" s="8">
        <f t="shared" si="206"/>
        <v>1.4333333333333333</v>
      </c>
      <c r="T1223" s="22">
        <f t="shared" si="200"/>
        <v>0.17749289436286123</v>
      </c>
      <c r="U1223" s="19">
        <f t="shared" si="201"/>
        <v>6181.3096873519808</v>
      </c>
      <c r="V1223" s="29" t="s">
        <v>2983</v>
      </c>
    </row>
    <row r="1224" spans="1:22" ht="15" customHeight="1" x14ac:dyDescent="0.25">
      <c r="A1224" t="s">
        <v>518</v>
      </c>
      <c r="B1224" t="s">
        <v>1091</v>
      </c>
      <c r="C1224" t="s">
        <v>1117</v>
      </c>
      <c r="D1224" t="s">
        <v>1118</v>
      </c>
      <c r="E1224" t="s">
        <v>833</v>
      </c>
      <c r="F1224" s="5">
        <v>119.6</v>
      </c>
      <c r="G1224" t="s">
        <v>512</v>
      </c>
      <c r="H1224" s="3">
        <v>350</v>
      </c>
      <c r="I1224" s="3">
        <v>350</v>
      </c>
      <c r="J1224" s="3">
        <v>150</v>
      </c>
      <c r="K1224" s="3">
        <v>80</v>
      </c>
      <c r="L1224">
        <f t="shared" si="204"/>
        <v>18.375</v>
      </c>
      <c r="M1224">
        <f t="shared" si="199"/>
        <v>36.75</v>
      </c>
      <c r="N1224" s="8">
        <v>2</v>
      </c>
      <c r="O1224" s="14">
        <f t="shared" si="205"/>
        <v>239.2</v>
      </c>
      <c r="P1224" s="8">
        <v>20</v>
      </c>
      <c r="Q1224" s="8">
        <f t="shared" si="202"/>
        <v>0.1</v>
      </c>
      <c r="R1224" s="8">
        <f t="shared" si="203"/>
        <v>1.3333333333333333</v>
      </c>
      <c r="S1224" s="8">
        <f t="shared" si="206"/>
        <v>1.4333333333333333</v>
      </c>
      <c r="T1224" s="22">
        <f t="shared" si="200"/>
        <v>0.17704879204168641</v>
      </c>
      <c r="U1224" s="19">
        <f t="shared" si="201"/>
        <v>6181.4867361440229</v>
      </c>
      <c r="V1224" s="29" t="s">
        <v>2983</v>
      </c>
    </row>
    <row r="1225" spans="1:22" ht="15" customHeight="1" x14ac:dyDescent="0.25">
      <c r="A1225" t="s">
        <v>518</v>
      </c>
      <c r="B1225" t="s">
        <v>1091</v>
      </c>
      <c r="C1225" t="s">
        <v>1107</v>
      </c>
      <c r="D1225" t="s">
        <v>1108</v>
      </c>
      <c r="E1225" t="s">
        <v>833</v>
      </c>
      <c r="F1225" s="5">
        <v>115.6</v>
      </c>
      <c r="G1225" t="s">
        <v>512</v>
      </c>
      <c r="H1225" s="3">
        <v>350</v>
      </c>
      <c r="I1225" s="3">
        <v>350</v>
      </c>
      <c r="J1225" s="3">
        <v>150</v>
      </c>
      <c r="K1225" s="3">
        <v>80</v>
      </c>
      <c r="L1225">
        <f t="shared" si="204"/>
        <v>18.375</v>
      </c>
      <c r="M1225">
        <f t="shared" si="199"/>
        <v>36.75</v>
      </c>
      <c r="N1225" s="8">
        <v>2</v>
      </c>
      <c r="O1225" s="14">
        <f t="shared" si="205"/>
        <v>231.2</v>
      </c>
      <c r="P1225" s="8">
        <v>20</v>
      </c>
      <c r="Q1225" s="8">
        <f t="shared" si="202"/>
        <v>0.1</v>
      </c>
      <c r="R1225" s="8">
        <f t="shared" si="203"/>
        <v>1.3333333333333333</v>
      </c>
      <c r="S1225" s="8">
        <f t="shared" si="206"/>
        <v>1.4333333333333333</v>
      </c>
      <c r="T1225" s="22">
        <f t="shared" si="200"/>
        <v>0.17112742775935574</v>
      </c>
      <c r="U1225" s="19">
        <f t="shared" si="201"/>
        <v>6181.6578635717824</v>
      </c>
      <c r="V1225" s="29" t="s">
        <v>2983</v>
      </c>
    </row>
    <row r="1226" spans="1:22" ht="15" customHeight="1" x14ac:dyDescent="0.25">
      <c r="A1226" t="s">
        <v>518</v>
      </c>
      <c r="B1226" t="s">
        <v>1091</v>
      </c>
      <c r="C1226" t="s">
        <v>2082</v>
      </c>
      <c r="D1226" t="s">
        <v>2083</v>
      </c>
      <c r="E1226" t="s">
        <v>833</v>
      </c>
      <c r="F1226" s="5">
        <v>112.8</v>
      </c>
      <c r="G1226" t="s">
        <v>512</v>
      </c>
      <c r="H1226" s="3">
        <v>30</v>
      </c>
      <c r="I1226" s="3">
        <v>35</v>
      </c>
      <c r="J1226" s="3">
        <v>15</v>
      </c>
      <c r="K1226" s="3">
        <v>4.3</v>
      </c>
      <c r="L1226">
        <f t="shared" si="204"/>
        <v>1.575E-2</v>
      </c>
      <c r="M1226">
        <f t="shared" si="199"/>
        <v>3.15E-2</v>
      </c>
      <c r="N1226" s="8">
        <v>2</v>
      </c>
      <c r="O1226" s="14">
        <f t="shared" si="205"/>
        <v>225.6</v>
      </c>
      <c r="P1226" s="8">
        <v>20</v>
      </c>
      <c r="Q1226" s="8">
        <f t="shared" si="202"/>
        <v>0.1</v>
      </c>
      <c r="R1226" s="8">
        <f t="shared" si="203"/>
        <v>1.3333333333333333</v>
      </c>
      <c r="S1226" s="8">
        <f t="shared" si="206"/>
        <v>1.4333333333333333</v>
      </c>
      <c r="T1226" s="22">
        <f t="shared" si="200"/>
        <v>0.16698247276172432</v>
      </c>
      <c r="U1226" s="19">
        <f t="shared" si="201"/>
        <v>6181.8248460445438</v>
      </c>
      <c r="V1226" s="29" t="s">
        <v>2983</v>
      </c>
    </row>
    <row r="1227" spans="1:22" ht="15" customHeight="1" x14ac:dyDescent="0.25">
      <c r="A1227" t="s">
        <v>518</v>
      </c>
      <c r="B1227" t="s">
        <v>1090</v>
      </c>
      <c r="C1227" t="s">
        <v>2387</v>
      </c>
      <c r="D1227" t="s">
        <v>2388</v>
      </c>
      <c r="E1227" t="s">
        <v>234</v>
      </c>
      <c r="F1227" s="5">
        <v>44.8</v>
      </c>
      <c r="G1227" t="s">
        <v>683</v>
      </c>
      <c r="H1227" s="3">
        <v>20</v>
      </c>
      <c r="I1227" s="3">
        <v>175</v>
      </c>
      <c r="J1227" s="3">
        <v>5</v>
      </c>
      <c r="K1227" s="3">
        <v>40</v>
      </c>
      <c r="L1227">
        <f t="shared" si="204"/>
        <v>1.7500000000000002E-2</v>
      </c>
      <c r="M1227">
        <f t="shared" si="199"/>
        <v>8.7500000000000008E-2</v>
      </c>
      <c r="N1227" s="8">
        <v>5</v>
      </c>
      <c r="O1227" s="14">
        <f t="shared" si="205"/>
        <v>224</v>
      </c>
      <c r="P1227" s="8">
        <v>20</v>
      </c>
      <c r="Q1227" s="8">
        <f t="shared" si="202"/>
        <v>0.25</v>
      </c>
      <c r="R1227" s="8">
        <f t="shared" si="203"/>
        <v>3.333333333333333</v>
      </c>
      <c r="S1227" s="8">
        <f t="shared" si="206"/>
        <v>3.583333333333333</v>
      </c>
      <c r="T1227" s="22">
        <f t="shared" si="200"/>
        <v>0.16579819990525818</v>
      </c>
      <c r="U1227" s="19">
        <f t="shared" si="201"/>
        <v>6181.990644244449</v>
      </c>
      <c r="V1227" s="29" t="s">
        <v>2983</v>
      </c>
    </row>
    <row r="1228" spans="1:22" ht="15" customHeight="1" x14ac:dyDescent="0.25">
      <c r="A1228" t="s">
        <v>518</v>
      </c>
      <c r="B1228" t="s">
        <v>1091</v>
      </c>
      <c r="C1228" t="s">
        <v>1122</v>
      </c>
      <c r="D1228" t="s">
        <v>1123</v>
      </c>
      <c r="E1228" t="s">
        <v>833</v>
      </c>
      <c r="F1228" s="5">
        <v>111.6</v>
      </c>
      <c r="G1228" t="s">
        <v>1124</v>
      </c>
      <c r="H1228" s="3">
        <v>350</v>
      </c>
      <c r="I1228" s="3">
        <v>350</v>
      </c>
      <c r="J1228" s="3">
        <v>150</v>
      </c>
      <c r="K1228" s="3">
        <v>80</v>
      </c>
      <c r="L1228">
        <f t="shared" si="204"/>
        <v>18.375</v>
      </c>
      <c r="M1228">
        <f t="shared" si="199"/>
        <v>36.75</v>
      </c>
      <c r="N1228" s="8">
        <v>2</v>
      </c>
      <c r="O1228" s="14">
        <f t="shared" si="205"/>
        <v>223.2</v>
      </c>
      <c r="P1228" s="8">
        <v>20</v>
      </c>
      <c r="Q1228" s="8">
        <f t="shared" si="202"/>
        <v>0.1</v>
      </c>
      <c r="R1228" s="8">
        <f t="shared" si="203"/>
        <v>1.3333333333333333</v>
      </c>
      <c r="S1228" s="8">
        <f t="shared" si="206"/>
        <v>1.4333333333333333</v>
      </c>
      <c r="T1228" s="22">
        <f t="shared" si="200"/>
        <v>0.1652060634770251</v>
      </c>
      <c r="U1228" s="19">
        <f t="shared" si="201"/>
        <v>6182.1558503079259</v>
      </c>
      <c r="V1228" s="29" t="s">
        <v>2983</v>
      </c>
    </row>
    <row r="1229" spans="1:22" ht="15" customHeight="1" x14ac:dyDescent="0.25">
      <c r="A1229" t="s">
        <v>518</v>
      </c>
      <c r="B1229" t="s">
        <v>1091</v>
      </c>
      <c r="C1229" t="s">
        <v>2091</v>
      </c>
      <c r="D1229" t="s">
        <v>2097</v>
      </c>
      <c r="E1229" t="s">
        <v>833</v>
      </c>
      <c r="F1229" s="5">
        <v>108</v>
      </c>
      <c r="G1229" t="s">
        <v>798</v>
      </c>
      <c r="H1229" s="3">
        <v>20</v>
      </c>
      <c r="I1229" s="3">
        <v>35</v>
      </c>
      <c r="J1229" s="3">
        <v>12</v>
      </c>
      <c r="K1229" s="3">
        <v>17</v>
      </c>
      <c r="L1229">
        <f t="shared" si="204"/>
        <v>8.3999999999999995E-3</v>
      </c>
      <c r="M1229">
        <f t="shared" si="199"/>
        <v>1.6799999999999999E-2</v>
      </c>
      <c r="N1229" s="8">
        <v>2</v>
      </c>
      <c r="O1229" s="14">
        <f t="shared" si="205"/>
        <v>216</v>
      </c>
      <c r="P1229" s="8">
        <v>20</v>
      </c>
      <c r="Q1229" s="8">
        <f t="shared" si="202"/>
        <v>0.1</v>
      </c>
      <c r="R1229" s="8">
        <f t="shared" si="203"/>
        <v>1.3333333333333333</v>
      </c>
      <c r="S1229" s="8">
        <f t="shared" si="206"/>
        <v>1.4333333333333333</v>
      </c>
      <c r="T1229" s="22">
        <f t="shared" si="200"/>
        <v>0.15987683562292754</v>
      </c>
      <c r="U1229" s="19">
        <f t="shared" si="201"/>
        <v>6182.3157271435484</v>
      </c>
      <c r="V1229" s="29" t="s">
        <v>2983</v>
      </c>
    </row>
    <row r="1230" spans="1:22" ht="15" customHeight="1" x14ac:dyDescent="0.25">
      <c r="A1230" t="s">
        <v>518</v>
      </c>
      <c r="B1230" t="s">
        <v>1091</v>
      </c>
      <c r="C1230" t="s">
        <v>1207</v>
      </c>
      <c r="D1230" t="s">
        <v>1208</v>
      </c>
      <c r="E1230" t="s">
        <v>234</v>
      </c>
      <c r="F1230" s="5">
        <v>2.4</v>
      </c>
      <c r="G1230" t="s">
        <v>919</v>
      </c>
      <c r="H1230" s="3">
        <v>17.5</v>
      </c>
      <c r="I1230" s="3">
        <v>11.5</v>
      </c>
      <c r="J1230" s="3">
        <v>10.5</v>
      </c>
      <c r="K1230" s="3">
        <v>0.16500000000000001</v>
      </c>
      <c r="L1230">
        <f t="shared" si="204"/>
        <v>2.113125E-3</v>
      </c>
      <c r="M1230">
        <f t="shared" si="199"/>
        <v>0.19018125</v>
      </c>
      <c r="N1230" s="8">
        <v>90</v>
      </c>
      <c r="O1230" s="14">
        <f t="shared" si="205"/>
        <v>216</v>
      </c>
      <c r="P1230" s="8">
        <v>20</v>
      </c>
      <c r="Q1230" s="8">
        <f t="shared" si="202"/>
        <v>4.5</v>
      </c>
      <c r="R1230" s="8">
        <f t="shared" si="203"/>
        <v>60</v>
      </c>
      <c r="S1230" s="8">
        <f t="shared" si="206"/>
        <v>64.5</v>
      </c>
      <c r="T1230" s="22">
        <f t="shared" si="200"/>
        <v>0.15987683562292754</v>
      </c>
      <c r="U1230" s="19">
        <f t="shared" si="201"/>
        <v>6182.475603979171</v>
      </c>
      <c r="V1230" s="29" t="s">
        <v>2983</v>
      </c>
    </row>
    <row r="1231" spans="1:22" ht="15" customHeight="1" x14ac:dyDescent="0.25">
      <c r="A1231" t="s">
        <v>518</v>
      </c>
      <c r="B1231" t="s">
        <v>1091</v>
      </c>
      <c r="C1231" t="s">
        <v>1178</v>
      </c>
      <c r="D1231" t="s">
        <v>1179</v>
      </c>
      <c r="E1231" t="s">
        <v>833</v>
      </c>
      <c r="F1231" s="5">
        <v>107.6</v>
      </c>
      <c r="G1231" t="s">
        <v>1139</v>
      </c>
      <c r="H1231" s="3">
        <v>1140</v>
      </c>
      <c r="I1231" s="3">
        <v>1340</v>
      </c>
      <c r="J1231" s="3">
        <v>640</v>
      </c>
      <c r="K1231" s="3">
        <v>16</v>
      </c>
      <c r="L1231">
        <f t="shared" si="204"/>
        <v>977.66399999999999</v>
      </c>
      <c r="M1231">
        <f t="shared" si="199"/>
        <v>1955.328</v>
      </c>
      <c r="N1231" s="8">
        <v>2</v>
      </c>
      <c r="O1231" s="14">
        <f t="shared" si="205"/>
        <v>215.2</v>
      </c>
      <c r="P1231" s="8">
        <v>20</v>
      </c>
      <c r="Q1231" s="8">
        <f t="shared" si="202"/>
        <v>0.1</v>
      </c>
      <c r="R1231" s="8">
        <f t="shared" si="203"/>
        <v>1.3333333333333333</v>
      </c>
      <c r="S1231" s="8">
        <f t="shared" si="206"/>
        <v>1.4333333333333333</v>
      </c>
      <c r="T1231" s="22">
        <f t="shared" si="200"/>
        <v>0.15928469919469446</v>
      </c>
      <c r="U1231" s="19">
        <f t="shared" si="201"/>
        <v>6182.6348886783653</v>
      </c>
      <c r="V1231" s="29" t="s">
        <v>2983</v>
      </c>
    </row>
    <row r="1232" spans="1:22" ht="15" customHeight="1" x14ac:dyDescent="0.25">
      <c r="A1232" t="s">
        <v>518</v>
      </c>
      <c r="B1232" t="s">
        <v>1091</v>
      </c>
      <c r="C1232" t="s">
        <v>1146</v>
      </c>
      <c r="D1232" t="s">
        <v>1147</v>
      </c>
      <c r="E1232" t="s">
        <v>833</v>
      </c>
      <c r="F1232" s="5">
        <v>104.5</v>
      </c>
      <c r="G1232" t="s">
        <v>1124</v>
      </c>
      <c r="H1232" s="3">
        <v>250</v>
      </c>
      <c r="I1232" s="3">
        <v>300</v>
      </c>
      <c r="J1232" s="3">
        <v>80</v>
      </c>
      <c r="K1232" s="3">
        <v>32.4</v>
      </c>
      <c r="L1232">
        <f t="shared" si="204"/>
        <v>6</v>
      </c>
      <c r="M1232">
        <f t="shared" si="199"/>
        <v>12</v>
      </c>
      <c r="N1232" s="8">
        <v>2</v>
      </c>
      <c r="O1232" s="14">
        <f t="shared" si="205"/>
        <v>209</v>
      </c>
      <c r="P1232" s="8">
        <v>20</v>
      </c>
      <c r="Q1232" s="8">
        <f t="shared" si="202"/>
        <v>0.1</v>
      </c>
      <c r="R1232" s="8">
        <f t="shared" si="203"/>
        <v>1.3333333333333333</v>
      </c>
      <c r="S1232" s="8">
        <f t="shared" si="206"/>
        <v>1.4333333333333333</v>
      </c>
      <c r="T1232" s="22">
        <f t="shared" si="200"/>
        <v>0.15469564187588822</v>
      </c>
      <c r="U1232" s="19">
        <f t="shared" si="201"/>
        <v>6182.7895843202414</v>
      </c>
      <c r="V1232" s="29" t="s">
        <v>2983</v>
      </c>
    </row>
    <row r="1233" spans="1:22" ht="15" customHeight="1" x14ac:dyDescent="0.25">
      <c r="A1233" t="s">
        <v>518</v>
      </c>
      <c r="B1233" t="s">
        <v>1091</v>
      </c>
      <c r="C1233" t="s">
        <v>2091</v>
      </c>
      <c r="D1233" t="s">
        <v>2098</v>
      </c>
      <c r="E1233" t="s">
        <v>833</v>
      </c>
      <c r="F1233" s="5">
        <v>104.4</v>
      </c>
      <c r="G1233" t="s">
        <v>798</v>
      </c>
      <c r="H1233" s="3">
        <v>20</v>
      </c>
      <c r="I1233" s="3">
        <v>35</v>
      </c>
      <c r="J1233" s="3">
        <v>12</v>
      </c>
      <c r="K1233" s="3">
        <v>16</v>
      </c>
      <c r="L1233">
        <f t="shared" si="204"/>
        <v>8.3999999999999995E-3</v>
      </c>
      <c r="M1233">
        <f t="shared" si="199"/>
        <v>1.6799999999999999E-2</v>
      </c>
      <c r="N1233" s="8">
        <v>2</v>
      </c>
      <c r="O1233" s="14">
        <f t="shared" si="205"/>
        <v>208.8</v>
      </c>
      <c r="P1233" s="8">
        <v>20</v>
      </c>
      <c r="Q1233" s="8">
        <f t="shared" si="202"/>
        <v>0.1</v>
      </c>
      <c r="R1233" s="8">
        <f t="shared" si="203"/>
        <v>1.3333333333333333</v>
      </c>
      <c r="S1233" s="8">
        <f t="shared" si="206"/>
        <v>1.4333333333333333</v>
      </c>
      <c r="T1233" s="22">
        <f t="shared" si="200"/>
        <v>0.15454760776882995</v>
      </c>
      <c r="U1233" s="19">
        <f t="shared" si="201"/>
        <v>6182.9441319280104</v>
      </c>
      <c r="V1233" s="29" t="s">
        <v>2983</v>
      </c>
    </row>
    <row r="1234" spans="1:22" ht="15" customHeight="1" x14ac:dyDescent="0.25">
      <c r="A1234" t="s">
        <v>518</v>
      </c>
      <c r="B1234" t="s">
        <v>1091</v>
      </c>
      <c r="C1234" t="s">
        <v>1135</v>
      </c>
      <c r="D1234" t="s">
        <v>1136</v>
      </c>
      <c r="E1234" t="s">
        <v>833</v>
      </c>
      <c r="F1234" s="5">
        <v>104</v>
      </c>
      <c r="G1234" t="s">
        <v>1121</v>
      </c>
      <c r="H1234" s="3">
        <v>820</v>
      </c>
      <c r="I1234" s="3">
        <v>1350</v>
      </c>
      <c r="J1234" s="3">
        <v>620</v>
      </c>
      <c r="K1234" s="3">
        <v>400</v>
      </c>
      <c r="L1234">
        <f t="shared" si="204"/>
        <v>686.34</v>
      </c>
      <c r="M1234">
        <f t="shared" si="199"/>
        <v>1372.68</v>
      </c>
      <c r="N1234" s="8">
        <v>2</v>
      </c>
      <c r="O1234" s="14">
        <f t="shared" si="205"/>
        <v>208</v>
      </c>
      <c r="P1234" s="8">
        <v>20</v>
      </c>
      <c r="Q1234" s="8">
        <f t="shared" si="202"/>
        <v>0.1</v>
      </c>
      <c r="R1234" s="8">
        <f t="shared" si="203"/>
        <v>1.3333333333333333</v>
      </c>
      <c r="S1234" s="8">
        <f t="shared" si="206"/>
        <v>1.4333333333333333</v>
      </c>
      <c r="T1234" s="22">
        <f t="shared" si="200"/>
        <v>0.15395547134059687</v>
      </c>
      <c r="U1234" s="19">
        <f t="shared" si="201"/>
        <v>6183.0980873993512</v>
      </c>
      <c r="V1234" s="29" t="s">
        <v>2983</v>
      </c>
    </row>
    <row r="1235" spans="1:22" ht="15" customHeight="1" x14ac:dyDescent="0.25">
      <c r="A1235" t="s">
        <v>518</v>
      </c>
      <c r="B1235" t="s">
        <v>637</v>
      </c>
      <c r="C1235" t="s">
        <v>2300</v>
      </c>
      <c r="D1235" t="s">
        <v>2305</v>
      </c>
      <c r="E1235" t="s">
        <v>24</v>
      </c>
      <c r="F1235" s="5">
        <v>8.51</v>
      </c>
      <c r="G1235" t="s">
        <v>710</v>
      </c>
      <c r="H1235" s="3">
        <v>4</v>
      </c>
      <c r="I1235" s="3">
        <v>2</v>
      </c>
      <c r="J1235" s="3">
        <v>5</v>
      </c>
      <c r="K1235" s="3">
        <v>0.5</v>
      </c>
      <c r="L1235">
        <f t="shared" si="204"/>
        <v>4.0000000000000003E-5</v>
      </c>
      <c r="M1235">
        <f t="shared" si="199"/>
        <v>9.6000000000000013E-4</v>
      </c>
      <c r="N1235" s="8">
        <v>24</v>
      </c>
      <c r="O1235" s="14">
        <f t="shared" si="205"/>
        <v>204.24</v>
      </c>
      <c r="P1235" s="8">
        <v>20</v>
      </c>
      <c r="Q1235" s="8">
        <f t="shared" si="202"/>
        <v>1.2</v>
      </c>
      <c r="R1235" s="8">
        <f t="shared" si="203"/>
        <v>16</v>
      </c>
      <c r="S1235" s="8">
        <f t="shared" si="206"/>
        <v>17.2</v>
      </c>
      <c r="T1235" s="22">
        <f t="shared" si="200"/>
        <v>0.15117243012790149</v>
      </c>
      <c r="U1235" s="19">
        <f t="shared" si="201"/>
        <v>6183.2492598294793</v>
      </c>
      <c r="V1235" s="29" t="s">
        <v>2983</v>
      </c>
    </row>
    <row r="1236" spans="1:22" ht="15" customHeight="1" x14ac:dyDescent="0.25">
      <c r="A1236" t="s">
        <v>518</v>
      </c>
      <c r="B1236" t="s">
        <v>1091</v>
      </c>
      <c r="C1236" t="s">
        <v>1109</v>
      </c>
      <c r="D1236" t="s">
        <v>1110</v>
      </c>
      <c r="E1236" t="s">
        <v>833</v>
      </c>
      <c r="F1236" s="5">
        <v>101.2</v>
      </c>
      <c r="G1236" t="s">
        <v>512</v>
      </c>
      <c r="H1236" s="3">
        <v>350</v>
      </c>
      <c r="I1236" s="3">
        <v>350</v>
      </c>
      <c r="J1236" s="3">
        <v>150</v>
      </c>
      <c r="K1236" s="3">
        <v>80</v>
      </c>
      <c r="L1236">
        <f t="shared" si="204"/>
        <v>18.375</v>
      </c>
      <c r="M1236">
        <f t="shared" si="199"/>
        <v>36.75</v>
      </c>
      <c r="N1236" s="8">
        <v>2</v>
      </c>
      <c r="O1236" s="14">
        <f t="shared" si="205"/>
        <v>202.4</v>
      </c>
      <c r="P1236" s="8">
        <v>20</v>
      </c>
      <c r="Q1236" s="8">
        <f t="shared" si="202"/>
        <v>0.1</v>
      </c>
      <c r="R1236" s="8">
        <f t="shared" si="203"/>
        <v>1.3333333333333333</v>
      </c>
      <c r="S1236" s="8">
        <f t="shared" si="206"/>
        <v>1.4333333333333333</v>
      </c>
      <c r="T1236" s="22">
        <f t="shared" si="200"/>
        <v>0.14981051634296544</v>
      </c>
      <c r="U1236" s="19">
        <f t="shared" si="201"/>
        <v>6183.3990703458221</v>
      </c>
      <c r="V1236" s="29" t="s">
        <v>2983</v>
      </c>
    </row>
    <row r="1237" spans="1:22" ht="15" customHeight="1" x14ac:dyDescent="0.25">
      <c r="A1237" t="s">
        <v>518</v>
      </c>
      <c r="B1237" t="s">
        <v>1090</v>
      </c>
      <c r="C1237" t="s">
        <v>2344</v>
      </c>
      <c r="D1237" t="s">
        <v>717</v>
      </c>
      <c r="E1237" t="s">
        <v>234</v>
      </c>
      <c r="F1237" s="5">
        <v>39.9</v>
      </c>
      <c r="G1237" t="s">
        <v>2323</v>
      </c>
      <c r="H1237" s="3">
        <v>110</v>
      </c>
      <c r="I1237" s="3">
        <v>90</v>
      </c>
      <c r="J1237" s="3">
        <v>100</v>
      </c>
      <c r="K1237" s="3">
        <v>3</v>
      </c>
      <c r="L1237">
        <f t="shared" si="204"/>
        <v>0.99</v>
      </c>
      <c r="M1237">
        <f t="shared" si="199"/>
        <v>4.95</v>
      </c>
      <c r="N1237" s="8">
        <v>5</v>
      </c>
      <c r="O1237" s="14">
        <f t="shared" si="205"/>
        <v>199.5</v>
      </c>
      <c r="P1237" s="8">
        <v>20</v>
      </c>
      <c r="Q1237" s="8">
        <f t="shared" si="202"/>
        <v>0.25</v>
      </c>
      <c r="R1237" s="8">
        <f t="shared" si="203"/>
        <v>3.333333333333333</v>
      </c>
      <c r="S1237" s="8">
        <f t="shared" si="206"/>
        <v>3.583333333333333</v>
      </c>
      <c r="T1237" s="22">
        <f t="shared" si="200"/>
        <v>0.14766402179062058</v>
      </c>
      <c r="U1237" s="19">
        <f t="shared" si="201"/>
        <v>6183.5467343676128</v>
      </c>
      <c r="V1237" s="29" t="s">
        <v>2983</v>
      </c>
    </row>
    <row r="1238" spans="1:22" ht="15" customHeight="1" x14ac:dyDescent="0.25">
      <c r="A1238" t="s">
        <v>518</v>
      </c>
      <c r="B1238" t="s">
        <v>1091</v>
      </c>
      <c r="C1238" t="s">
        <v>1181</v>
      </c>
      <c r="D1238" t="s">
        <v>1182</v>
      </c>
      <c r="E1238" t="s">
        <v>833</v>
      </c>
      <c r="F1238" s="5">
        <v>98.4</v>
      </c>
      <c r="G1238" t="s">
        <v>1139</v>
      </c>
      <c r="H1238" s="3">
        <v>610</v>
      </c>
      <c r="I1238" s="3">
        <v>600</v>
      </c>
      <c r="J1238" s="3">
        <v>350</v>
      </c>
      <c r="K1238" s="3">
        <v>230</v>
      </c>
      <c r="L1238">
        <f t="shared" si="204"/>
        <v>128.1</v>
      </c>
      <c r="M1238">
        <f t="shared" si="199"/>
        <v>256.2</v>
      </c>
      <c r="N1238" s="8">
        <v>2</v>
      </c>
      <c r="O1238" s="14">
        <f t="shared" si="205"/>
        <v>196.8</v>
      </c>
      <c r="P1238" s="8">
        <v>20</v>
      </c>
      <c r="Q1238" s="8">
        <f t="shared" si="202"/>
        <v>0.1</v>
      </c>
      <c r="R1238" s="8">
        <f t="shared" si="203"/>
        <v>1.3333333333333333</v>
      </c>
      <c r="S1238" s="8">
        <f t="shared" si="206"/>
        <v>1.4333333333333333</v>
      </c>
      <c r="T1238" s="22">
        <f t="shared" si="200"/>
        <v>0.14566556134533398</v>
      </c>
      <c r="U1238" s="19">
        <f t="shared" si="201"/>
        <v>6183.6923999289584</v>
      </c>
      <c r="V1238" s="29" t="s">
        <v>2983</v>
      </c>
    </row>
    <row r="1239" spans="1:22" ht="15" customHeight="1" x14ac:dyDescent="0.25">
      <c r="A1239" t="s">
        <v>518</v>
      </c>
      <c r="B1239" t="s">
        <v>1091</v>
      </c>
      <c r="C1239" t="s">
        <v>1153</v>
      </c>
      <c r="D1239" t="s">
        <v>1154</v>
      </c>
      <c r="E1239" t="s">
        <v>833</v>
      </c>
      <c r="F1239" s="5">
        <v>98.4</v>
      </c>
      <c r="G1239" t="s">
        <v>1150</v>
      </c>
      <c r="H1239" s="3">
        <v>250</v>
      </c>
      <c r="I1239" s="3">
        <v>300</v>
      </c>
      <c r="J1239" s="3">
        <v>80</v>
      </c>
      <c r="K1239" s="3">
        <v>25</v>
      </c>
      <c r="L1239">
        <f t="shared" si="204"/>
        <v>6</v>
      </c>
      <c r="M1239">
        <f t="shared" si="199"/>
        <v>12</v>
      </c>
      <c r="N1239" s="8">
        <v>2</v>
      </c>
      <c r="O1239" s="14">
        <f t="shared" si="205"/>
        <v>196.8</v>
      </c>
      <c r="P1239" s="8">
        <v>20</v>
      </c>
      <c r="Q1239" s="8">
        <f t="shared" si="202"/>
        <v>0.1</v>
      </c>
      <c r="R1239" s="8">
        <f t="shared" si="203"/>
        <v>1.3333333333333333</v>
      </c>
      <c r="S1239" s="8">
        <f t="shared" si="206"/>
        <v>1.4333333333333333</v>
      </c>
      <c r="T1239" s="22">
        <f t="shared" si="200"/>
        <v>0.14566556134533398</v>
      </c>
      <c r="U1239" s="19">
        <f t="shared" si="201"/>
        <v>6183.838065490304</v>
      </c>
      <c r="V1239" s="29" t="s">
        <v>2983</v>
      </c>
    </row>
    <row r="1240" spans="1:22" ht="15" customHeight="1" x14ac:dyDescent="0.25">
      <c r="A1240" t="s">
        <v>518</v>
      </c>
      <c r="B1240" t="s">
        <v>1090</v>
      </c>
      <c r="C1240" t="s">
        <v>2322</v>
      </c>
      <c r="D1240" t="s">
        <v>524</v>
      </c>
      <c r="E1240" t="s">
        <v>234</v>
      </c>
      <c r="F1240" s="5">
        <v>39</v>
      </c>
      <c r="G1240" t="s">
        <v>2323</v>
      </c>
      <c r="H1240" s="3">
        <v>110</v>
      </c>
      <c r="I1240" s="3">
        <v>90</v>
      </c>
      <c r="J1240" s="3">
        <v>100</v>
      </c>
      <c r="K1240" s="3">
        <v>4.84</v>
      </c>
      <c r="L1240">
        <f t="shared" si="204"/>
        <v>0.99</v>
      </c>
      <c r="M1240">
        <f t="shared" si="199"/>
        <v>4.95</v>
      </c>
      <c r="N1240" s="8">
        <v>5</v>
      </c>
      <c r="O1240" s="14">
        <f t="shared" si="205"/>
        <v>195</v>
      </c>
      <c r="P1240" s="8">
        <v>20</v>
      </c>
      <c r="Q1240" s="8">
        <f t="shared" si="202"/>
        <v>0.25</v>
      </c>
      <c r="R1240" s="8">
        <f t="shared" si="203"/>
        <v>3.333333333333333</v>
      </c>
      <c r="S1240" s="8">
        <f t="shared" si="206"/>
        <v>3.583333333333333</v>
      </c>
      <c r="T1240" s="22">
        <f t="shared" si="200"/>
        <v>0.14433325438180958</v>
      </c>
      <c r="U1240" s="19">
        <f t="shared" si="201"/>
        <v>6183.9823987446862</v>
      </c>
      <c r="V1240" s="29" t="s">
        <v>2983</v>
      </c>
    </row>
    <row r="1241" spans="1:22" ht="15" customHeight="1" x14ac:dyDescent="0.25">
      <c r="A1241" t="s">
        <v>518</v>
      </c>
      <c r="B1241" t="s">
        <v>1090</v>
      </c>
      <c r="C1241" t="s">
        <v>2322</v>
      </c>
      <c r="D1241" t="s">
        <v>2325</v>
      </c>
      <c r="E1241" t="s">
        <v>234</v>
      </c>
      <c r="F1241" s="5">
        <v>39</v>
      </c>
      <c r="G1241" t="s">
        <v>683</v>
      </c>
      <c r="H1241" s="3">
        <v>100</v>
      </c>
      <c r="I1241" s="3">
        <v>100</v>
      </c>
      <c r="J1241" s="3">
        <v>100</v>
      </c>
      <c r="K1241" s="3">
        <v>4.84</v>
      </c>
      <c r="L1241">
        <f t="shared" si="204"/>
        <v>1</v>
      </c>
      <c r="M1241">
        <f t="shared" si="199"/>
        <v>5</v>
      </c>
      <c r="N1241" s="8">
        <v>5</v>
      </c>
      <c r="O1241" s="14">
        <f t="shared" si="205"/>
        <v>195</v>
      </c>
      <c r="P1241" s="8">
        <v>20</v>
      </c>
      <c r="Q1241" s="8">
        <f t="shared" si="202"/>
        <v>0.25</v>
      </c>
      <c r="R1241" s="8">
        <f t="shared" si="203"/>
        <v>3.333333333333333</v>
      </c>
      <c r="S1241" s="8">
        <f t="shared" si="206"/>
        <v>3.583333333333333</v>
      </c>
      <c r="T1241" s="22">
        <f t="shared" si="200"/>
        <v>0.14433325438180958</v>
      </c>
      <c r="U1241" s="19">
        <f t="shared" si="201"/>
        <v>6184.1267319990684</v>
      </c>
      <c r="V1241" s="29" t="s">
        <v>2983</v>
      </c>
    </row>
    <row r="1242" spans="1:22" ht="15" customHeight="1" x14ac:dyDescent="0.25">
      <c r="A1242" t="s">
        <v>518</v>
      </c>
      <c r="B1242" t="s">
        <v>1091</v>
      </c>
      <c r="C1242" t="s">
        <v>1223</v>
      </c>
      <c r="D1242" t="s">
        <v>1224</v>
      </c>
      <c r="E1242" t="s">
        <v>833</v>
      </c>
      <c r="F1242" s="5">
        <v>93.6</v>
      </c>
      <c r="G1242" t="s">
        <v>512</v>
      </c>
      <c r="H1242" s="3">
        <v>58.9</v>
      </c>
      <c r="I1242" s="3">
        <v>27</v>
      </c>
      <c r="J1242" s="3">
        <v>34.5</v>
      </c>
      <c r="K1242" s="3">
        <v>6.7050000000000001</v>
      </c>
      <c r="L1242">
        <f t="shared" si="204"/>
        <v>5.486535E-2</v>
      </c>
      <c r="M1242">
        <f t="shared" si="199"/>
        <v>0.1097307</v>
      </c>
      <c r="N1242" s="8">
        <v>2</v>
      </c>
      <c r="O1242" s="14">
        <f t="shared" si="205"/>
        <v>187.2</v>
      </c>
      <c r="P1242" s="8">
        <v>20</v>
      </c>
      <c r="Q1242" s="8">
        <f t="shared" si="202"/>
        <v>0.1</v>
      </c>
      <c r="R1242" s="8">
        <f t="shared" si="203"/>
        <v>1.3333333333333333</v>
      </c>
      <c r="S1242" s="8">
        <f t="shared" si="206"/>
        <v>1.4333333333333333</v>
      </c>
      <c r="T1242" s="22">
        <f t="shared" si="200"/>
        <v>0.13855992420653718</v>
      </c>
      <c r="U1242" s="19">
        <f t="shared" si="201"/>
        <v>6184.2652919232751</v>
      </c>
      <c r="V1242" s="29" t="s">
        <v>2983</v>
      </c>
    </row>
    <row r="1243" spans="1:22" ht="15" customHeight="1" x14ac:dyDescent="0.25">
      <c r="A1243" t="s">
        <v>518</v>
      </c>
      <c r="B1243" t="s">
        <v>637</v>
      </c>
      <c r="C1243" t="s">
        <v>2246</v>
      </c>
      <c r="D1243" t="s">
        <v>1308</v>
      </c>
      <c r="E1243" t="s">
        <v>234</v>
      </c>
      <c r="F1243" s="5">
        <v>5</v>
      </c>
      <c r="G1243" t="s">
        <v>2244</v>
      </c>
      <c r="H1243" s="3">
        <v>16</v>
      </c>
      <c r="I1243" s="3">
        <v>23</v>
      </c>
      <c r="J1243" s="3">
        <v>20</v>
      </c>
      <c r="K1243" s="3">
        <v>7.3600000000000002E-3</v>
      </c>
      <c r="L1243">
        <f t="shared" si="204"/>
        <v>7.3600000000000002E-3</v>
      </c>
      <c r="M1243">
        <f t="shared" si="199"/>
        <v>0.26496000000000003</v>
      </c>
      <c r="N1243" s="8">
        <v>36</v>
      </c>
      <c r="O1243" s="14">
        <f t="shared" si="205"/>
        <v>180</v>
      </c>
      <c r="P1243" s="8">
        <v>20</v>
      </c>
      <c r="Q1243" s="8">
        <f t="shared" si="202"/>
        <v>1.8</v>
      </c>
      <c r="R1243" s="8">
        <f t="shared" si="203"/>
        <v>24</v>
      </c>
      <c r="S1243" s="8">
        <f t="shared" si="206"/>
        <v>25.8</v>
      </c>
      <c r="T1243" s="22">
        <f t="shared" si="200"/>
        <v>0.13323069635243961</v>
      </c>
      <c r="U1243" s="19">
        <f t="shared" si="201"/>
        <v>6184.3985226196273</v>
      </c>
      <c r="V1243" s="29" t="s">
        <v>2983</v>
      </c>
    </row>
    <row r="1244" spans="1:22" ht="15" customHeight="1" x14ac:dyDescent="0.25">
      <c r="A1244" t="s">
        <v>518</v>
      </c>
      <c r="B1244" t="s">
        <v>1091</v>
      </c>
      <c r="C1244" t="s">
        <v>1102</v>
      </c>
      <c r="D1244" t="s">
        <v>1103</v>
      </c>
      <c r="E1244" t="s">
        <v>833</v>
      </c>
      <c r="F1244" s="5">
        <v>88</v>
      </c>
      <c r="G1244" t="s">
        <v>1104</v>
      </c>
      <c r="H1244" s="3">
        <v>300</v>
      </c>
      <c r="I1244" s="3">
        <v>450</v>
      </c>
      <c r="J1244" s="3">
        <v>200</v>
      </c>
      <c r="K1244" s="3">
        <v>60</v>
      </c>
      <c r="L1244">
        <f t="shared" si="204"/>
        <v>27</v>
      </c>
      <c r="M1244">
        <f t="shared" si="199"/>
        <v>54</v>
      </c>
      <c r="N1244" s="8">
        <v>2</v>
      </c>
      <c r="O1244" s="14">
        <f t="shared" si="205"/>
        <v>176</v>
      </c>
      <c r="P1244" s="8">
        <v>20</v>
      </c>
      <c r="Q1244" s="8">
        <f t="shared" si="202"/>
        <v>0.1</v>
      </c>
      <c r="R1244" s="8">
        <f t="shared" si="203"/>
        <v>1.3333333333333333</v>
      </c>
      <c r="S1244" s="8">
        <f t="shared" si="206"/>
        <v>1.4333333333333333</v>
      </c>
      <c r="T1244" s="22">
        <f t="shared" si="200"/>
        <v>0.13027001421127429</v>
      </c>
      <c r="U1244" s="19">
        <f t="shared" si="201"/>
        <v>6184.5287926338387</v>
      </c>
      <c r="V1244" s="29" t="s">
        <v>2983</v>
      </c>
    </row>
    <row r="1245" spans="1:22" ht="15" customHeight="1" x14ac:dyDescent="0.25">
      <c r="A1245" t="s">
        <v>518</v>
      </c>
      <c r="B1245" t="s">
        <v>1091</v>
      </c>
      <c r="C1245" t="s">
        <v>1162</v>
      </c>
      <c r="D1245" t="s">
        <v>1180</v>
      </c>
      <c r="E1245" t="s">
        <v>833</v>
      </c>
      <c r="F1245" s="5">
        <v>86.4</v>
      </c>
      <c r="G1245" t="s">
        <v>512</v>
      </c>
      <c r="H1245" s="3">
        <v>160</v>
      </c>
      <c r="I1245" s="3">
        <v>330</v>
      </c>
      <c r="J1245" s="3">
        <v>240</v>
      </c>
      <c r="K1245" s="3">
        <v>150</v>
      </c>
      <c r="L1245">
        <f t="shared" si="204"/>
        <v>12.672000000000001</v>
      </c>
      <c r="M1245">
        <f t="shared" si="199"/>
        <v>25.344000000000001</v>
      </c>
      <c r="N1245" s="8">
        <v>2</v>
      </c>
      <c r="O1245" s="14">
        <f t="shared" si="205"/>
        <v>172.8</v>
      </c>
      <c r="P1245" s="8">
        <v>20</v>
      </c>
      <c r="Q1245" s="8">
        <f t="shared" si="202"/>
        <v>0.1</v>
      </c>
      <c r="R1245" s="8">
        <f t="shared" si="203"/>
        <v>1.3333333333333333</v>
      </c>
      <c r="S1245" s="8">
        <f t="shared" si="206"/>
        <v>1.4333333333333333</v>
      </c>
      <c r="T1245" s="22">
        <f t="shared" si="200"/>
        <v>0.12790146849834202</v>
      </c>
      <c r="U1245" s="19">
        <f t="shared" si="201"/>
        <v>6184.6566941023375</v>
      </c>
      <c r="V1245" s="29" t="s">
        <v>2983</v>
      </c>
    </row>
    <row r="1246" spans="1:22" ht="15" customHeight="1" x14ac:dyDescent="0.25">
      <c r="A1246" t="s">
        <v>518</v>
      </c>
      <c r="B1246" t="s">
        <v>519</v>
      </c>
      <c r="C1246" t="s">
        <v>544</v>
      </c>
      <c r="D1246" t="s">
        <v>545</v>
      </c>
      <c r="E1246" t="s">
        <v>24</v>
      </c>
      <c r="F1246" s="5">
        <v>5</v>
      </c>
      <c r="G1246" t="s">
        <v>543</v>
      </c>
      <c r="H1246" s="3">
        <v>5</v>
      </c>
      <c r="I1246" s="3">
        <v>20</v>
      </c>
      <c r="J1246" s="3">
        <v>10</v>
      </c>
      <c r="K1246" s="3">
        <v>1</v>
      </c>
      <c r="L1246">
        <f t="shared" si="204"/>
        <v>1E-3</v>
      </c>
      <c r="M1246">
        <f t="shared" si="199"/>
        <v>3.4000000000000002E-2</v>
      </c>
      <c r="N1246" s="8">
        <v>34</v>
      </c>
      <c r="O1246" s="14">
        <f t="shared" si="205"/>
        <v>170</v>
      </c>
      <c r="P1246" s="8">
        <v>25</v>
      </c>
      <c r="Q1246" s="8">
        <f>P1246/N1246</f>
        <v>0.73529411764705888</v>
      </c>
      <c r="R1246" s="8">
        <f>P1246+Q1246</f>
        <v>25.735294117647058</v>
      </c>
      <c r="S1246" s="8">
        <f t="shared" si="206"/>
        <v>26.470588235294116</v>
      </c>
      <c r="T1246" s="22">
        <f t="shared" si="200"/>
        <v>0.1258289909995263</v>
      </c>
      <c r="U1246" s="19">
        <f t="shared" si="201"/>
        <v>6184.7825230933367</v>
      </c>
      <c r="V1246" s="29" t="s">
        <v>2983</v>
      </c>
    </row>
    <row r="1247" spans="1:22" ht="15" customHeight="1" x14ac:dyDescent="0.25">
      <c r="A1247" t="s">
        <v>518</v>
      </c>
      <c r="B1247" t="s">
        <v>1091</v>
      </c>
      <c r="C1247" t="s">
        <v>1137</v>
      </c>
      <c r="D1247" t="s">
        <v>1138</v>
      </c>
      <c r="E1247" t="s">
        <v>833</v>
      </c>
      <c r="F1247" s="5">
        <v>84</v>
      </c>
      <c r="G1247" t="s">
        <v>1139</v>
      </c>
      <c r="H1247" s="3">
        <v>780</v>
      </c>
      <c r="I1247" s="3">
        <v>1000</v>
      </c>
      <c r="J1247" s="3">
        <v>700</v>
      </c>
      <c r="K1247" s="3">
        <v>100</v>
      </c>
      <c r="L1247">
        <f t="shared" si="204"/>
        <v>546</v>
      </c>
      <c r="M1247">
        <f t="shared" si="199"/>
        <v>1092</v>
      </c>
      <c r="N1247" s="8">
        <v>2</v>
      </c>
      <c r="O1247" s="14">
        <f t="shared" si="205"/>
        <v>168</v>
      </c>
      <c r="P1247" s="8">
        <v>20</v>
      </c>
      <c r="Q1247" s="8">
        <f t="shared" ref="Q1247:Q1310" si="207">N1247/P1247</f>
        <v>0.1</v>
      </c>
      <c r="R1247" s="8">
        <f t="shared" ref="R1247:R1310" si="208">(N1247/30)*P1247</f>
        <v>1.3333333333333333</v>
      </c>
      <c r="S1247" s="8">
        <f t="shared" si="206"/>
        <v>1.4333333333333333</v>
      </c>
      <c r="T1247" s="22">
        <f t="shared" si="200"/>
        <v>0.12434864992894364</v>
      </c>
      <c r="U1247" s="19">
        <f t="shared" si="201"/>
        <v>6184.9068717432656</v>
      </c>
      <c r="V1247" s="29" t="s">
        <v>2983</v>
      </c>
    </row>
    <row r="1248" spans="1:22" ht="15" customHeight="1" x14ac:dyDescent="0.25">
      <c r="A1248" t="s">
        <v>518</v>
      </c>
      <c r="B1248" t="s">
        <v>1090</v>
      </c>
      <c r="C1248" t="s">
        <v>2350</v>
      </c>
      <c r="D1248" t="s">
        <v>724</v>
      </c>
      <c r="E1248" t="s">
        <v>234</v>
      </c>
      <c r="F1248" s="5">
        <v>33</v>
      </c>
      <c r="G1248" t="s">
        <v>2351</v>
      </c>
      <c r="H1248" s="3">
        <v>100</v>
      </c>
      <c r="I1248" s="3">
        <v>100</v>
      </c>
      <c r="J1248" s="3">
        <v>100</v>
      </c>
      <c r="K1248" s="3">
        <v>3.2</v>
      </c>
      <c r="L1248">
        <f t="shared" si="204"/>
        <v>1</v>
      </c>
      <c r="M1248">
        <f t="shared" si="199"/>
        <v>5</v>
      </c>
      <c r="N1248" s="8">
        <v>5</v>
      </c>
      <c r="O1248" s="14">
        <f t="shared" si="205"/>
        <v>165</v>
      </c>
      <c r="P1248" s="8">
        <v>20</v>
      </c>
      <c r="Q1248" s="8">
        <f t="shared" si="207"/>
        <v>0.25</v>
      </c>
      <c r="R1248" s="8">
        <f t="shared" si="208"/>
        <v>3.333333333333333</v>
      </c>
      <c r="S1248" s="8">
        <f t="shared" si="206"/>
        <v>3.583333333333333</v>
      </c>
      <c r="T1248" s="22">
        <f t="shared" si="200"/>
        <v>0.12212813832306964</v>
      </c>
      <c r="U1248" s="19">
        <f t="shared" si="201"/>
        <v>6185.0289998815888</v>
      </c>
      <c r="V1248" s="29" t="s">
        <v>2983</v>
      </c>
    </row>
    <row r="1249" spans="1:22" ht="15" customHeight="1" x14ac:dyDescent="0.25">
      <c r="A1249" t="s">
        <v>518</v>
      </c>
      <c r="B1249" t="s">
        <v>1091</v>
      </c>
      <c r="C1249" t="s">
        <v>1169</v>
      </c>
      <c r="D1249" t="s">
        <v>1170</v>
      </c>
      <c r="E1249" t="s">
        <v>833</v>
      </c>
      <c r="F1249" s="5">
        <v>79.599999999999994</v>
      </c>
      <c r="G1249" t="s">
        <v>512</v>
      </c>
      <c r="H1249" s="3">
        <v>775</v>
      </c>
      <c r="I1249" s="3">
        <v>880</v>
      </c>
      <c r="J1249" s="3">
        <v>460</v>
      </c>
      <c r="K1249" s="3">
        <v>8.6999999999999993</v>
      </c>
      <c r="L1249">
        <f t="shared" si="204"/>
        <v>313.72000000000003</v>
      </c>
      <c r="M1249">
        <f t="shared" si="199"/>
        <v>627.44000000000005</v>
      </c>
      <c r="N1249" s="8">
        <v>2</v>
      </c>
      <c r="O1249" s="14">
        <f t="shared" si="205"/>
        <v>159.19999999999999</v>
      </c>
      <c r="P1249" s="8">
        <v>20</v>
      </c>
      <c r="Q1249" s="8">
        <f t="shared" si="207"/>
        <v>0.1</v>
      </c>
      <c r="R1249" s="8">
        <f t="shared" si="208"/>
        <v>1.3333333333333333</v>
      </c>
      <c r="S1249" s="8">
        <f t="shared" si="206"/>
        <v>1.4333333333333333</v>
      </c>
      <c r="T1249" s="22">
        <f t="shared" si="200"/>
        <v>0.11783514921837991</v>
      </c>
      <c r="U1249" s="19">
        <f t="shared" si="201"/>
        <v>6185.1468350308069</v>
      </c>
      <c r="V1249" s="29" t="s">
        <v>2983</v>
      </c>
    </row>
    <row r="1250" spans="1:22" ht="15" customHeight="1" x14ac:dyDescent="0.25">
      <c r="A1250" t="s">
        <v>518</v>
      </c>
      <c r="B1250" t="s">
        <v>1090</v>
      </c>
      <c r="C1250" t="s">
        <v>2364</v>
      </c>
      <c r="D1250" t="s">
        <v>2367</v>
      </c>
      <c r="E1250" t="s">
        <v>234</v>
      </c>
      <c r="F1250" s="5">
        <v>30</v>
      </c>
      <c r="G1250" t="s">
        <v>683</v>
      </c>
      <c r="H1250" s="3">
        <v>100</v>
      </c>
      <c r="I1250" s="3">
        <v>100</v>
      </c>
      <c r="J1250" s="3">
        <v>100</v>
      </c>
      <c r="K1250" s="3">
        <v>0.99</v>
      </c>
      <c r="L1250">
        <f t="shared" si="204"/>
        <v>1</v>
      </c>
      <c r="M1250">
        <f t="shared" si="199"/>
        <v>5</v>
      </c>
      <c r="N1250" s="8">
        <v>5</v>
      </c>
      <c r="O1250" s="14">
        <f t="shared" si="205"/>
        <v>150</v>
      </c>
      <c r="P1250" s="8">
        <v>20</v>
      </c>
      <c r="Q1250" s="8">
        <f t="shared" si="207"/>
        <v>0.25</v>
      </c>
      <c r="R1250" s="8">
        <f t="shared" si="208"/>
        <v>3.333333333333333</v>
      </c>
      <c r="S1250" s="8">
        <f t="shared" si="206"/>
        <v>3.583333333333333</v>
      </c>
      <c r="T1250" s="22">
        <f t="shared" si="200"/>
        <v>0.11102558029369967</v>
      </c>
      <c r="U1250" s="19">
        <f t="shared" si="201"/>
        <v>6185.257860611101</v>
      </c>
      <c r="V1250" s="29" t="s">
        <v>2983</v>
      </c>
    </row>
    <row r="1251" spans="1:22" ht="15" customHeight="1" x14ac:dyDescent="0.25">
      <c r="A1251" t="s">
        <v>518</v>
      </c>
      <c r="B1251" t="s">
        <v>1090</v>
      </c>
      <c r="C1251" t="s">
        <v>2369</v>
      </c>
      <c r="D1251" t="s">
        <v>2371</v>
      </c>
      <c r="E1251" t="s">
        <v>234</v>
      </c>
      <c r="F1251" s="5">
        <v>29</v>
      </c>
      <c r="G1251" t="s">
        <v>683</v>
      </c>
      <c r="H1251" s="3">
        <v>100</v>
      </c>
      <c r="I1251" s="3">
        <v>100</v>
      </c>
      <c r="J1251" s="3">
        <v>100</v>
      </c>
      <c r="K1251" s="3">
        <v>48.78</v>
      </c>
      <c r="L1251">
        <f t="shared" si="204"/>
        <v>1</v>
      </c>
      <c r="M1251">
        <f t="shared" si="199"/>
        <v>5</v>
      </c>
      <c r="N1251" s="8">
        <v>5</v>
      </c>
      <c r="O1251" s="14">
        <f t="shared" si="205"/>
        <v>145</v>
      </c>
      <c r="P1251" s="8">
        <v>20</v>
      </c>
      <c r="Q1251" s="8">
        <f t="shared" si="207"/>
        <v>0.25</v>
      </c>
      <c r="R1251" s="8">
        <f t="shared" si="208"/>
        <v>3.333333333333333</v>
      </c>
      <c r="S1251" s="8">
        <f t="shared" si="206"/>
        <v>3.583333333333333</v>
      </c>
      <c r="T1251" s="22">
        <f t="shared" si="200"/>
        <v>0.10732472761724302</v>
      </c>
      <c r="U1251" s="19">
        <f t="shared" si="201"/>
        <v>6185.3651853387182</v>
      </c>
      <c r="V1251" s="29" t="s">
        <v>2983</v>
      </c>
    </row>
    <row r="1252" spans="1:22" ht="15" customHeight="1" x14ac:dyDescent="0.25">
      <c r="A1252" t="s">
        <v>518</v>
      </c>
      <c r="B1252" t="s">
        <v>1090</v>
      </c>
      <c r="C1252" t="s">
        <v>2322</v>
      </c>
      <c r="D1252" t="s">
        <v>2324</v>
      </c>
      <c r="E1252" t="s">
        <v>234</v>
      </c>
      <c r="F1252" s="5">
        <v>29</v>
      </c>
      <c r="G1252" t="s">
        <v>683</v>
      </c>
      <c r="H1252" s="3">
        <v>100</v>
      </c>
      <c r="I1252" s="3">
        <v>100</v>
      </c>
      <c r="J1252" s="3">
        <v>100</v>
      </c>
      <c r="K1252" s="3">
        <v>4.84</v>
      </c>
      <c r="L1252">
        <f t="shared" si="204"/>
        <v>1</v>
      </c>
      <c r="M1252">
        <f t="shared" si="199"/>
        <v>5</v>
      </c>
      <c r="N1252" s="8">
        <v>5</v>
      </c>
      <c r="O1252" s="14">
        <f t="shared" si="205"/>
        <v>145</v>
      </c>
      <c r="P1252" s="8">
        <v>20</v>
      </c>
      <c r="Q1252" s="8">
        <f t="shared" si="207"/>
        <v>0.25</v>
      </c>
      <c r="R1252" s="8">
        <f t="shared" si="208"/>
        <v>3.333333333333333</v>
      </c>
      <c r="S1252" s="8">
        <f t="shared" si="206"/>
        <v>3.583333333333333</v>
      </c>
      <c r="T1252" s="22">
        <f t="shared" si="200"/>
        <v>0.10732472761724302</v>
      </c>
      <c r="U1252" s="19">
        <f t="shared" si="201"/>
        <v>6185.4725100663354</v>
      </c>
      <c r="V1252" s="29" t="s">
        <v>2983</v>
      </c>
    </row>
    <row r="1253" spans="1:22" ht="15" customHeight="1" x14ac:dyDescent="0.25">
      <c r="A1253" t="s">
        <v>518</v>
      </c>
      <c r="B1253" t="s">
        <v>1090</v>
      </c>
      <c r="C1253" t="s">
        <v>2337</v>
      </c>
      <c r="D1253" t="s">
        <v>2342</v>
      </c>
      <c r="E1253" t="s">
        <v>234</v>
      </c>
      <c r="F1253" s="5">
        <v>29</v>
      </c>
      <c r="G1253" t="s">
        <v>683</v>
      </c>
      <c r="H1253" s="3">
        <v>100</v>
      </c>
      <c r="I1253" s="3">
        <v>100</v>
      </c>
      <c r="J1253" s="3">
        <v>100</v>
      </c>
      <c r="K1253" s="3">
        <v>2.3199999999999998</v>
      </c>
      <c r="L1253">
        <f t="shared" si="204"/>
        <v>1</v>
      </c>
      <c r="M1253">
        <f t="shared" si="199"/>
        <v>5</v>
      </c>
      <c r="N1253" s="8">
        <v>5</v>
      </c>
      <c r="O1253" s="14">
        <f t="shared" si="205"/>
        <v>145</v>
      </c>
      <c r="P1253" s="8">
        <v>20</v>
      </c>
      <c r="Q1253" s="8">
        <f t="shared" si="207"/>
        <v>0.25</v>
      </c>
      <c r="R1253" s="8">
        <f t="shared" si="208"/>
        <v>3.333333333333333</v>
      </c>
      <c r="S1253" s="8">
        <f t="shared" si="206"/>
        <v>3.583333333333333</v>
      </c>
      <c r="T1253" s="22">
        <f t="shared" si="200"/>
        <v>0.10732472761724302</v>
      </c>
      <c r="U1253" s="19">
        <f t="shared" si="201"/>
        <v>6185.5798347939526</v>
      </c>
      <c r="V1253" s="29" t="s">
        <v>2983</v>
      </c>
    </row>
    <row r="1254" spans="1:22" ht="15" customHeight="1" x14ac:dyDescent="0.25">
      <c r="A1254" t="s">
        <v>518</v>
      </c>
      <c r="B1254" t="s">
        <v>1090</v>
      </c>
      <c r="C1254" t="s">
        <v>2346</v>
      </c>
      <c r="D1254" t="s">
        <v>2348</v>
      </c>
      <c r="E1254" t="s">
        <v>234</v>
      </c>
      <c r="F1254" s="5">
        <v>29</v>
      </c>
      <c r="G1254" t="s">
        <v>683</v>
      </c>
      <c r="H1254" s="3">
        <v>100</v>
      </c>
      <c r="I1254" s="3">
        <v>100</v>
      </c>
      <c r="J1254" s="3">
        <v>100</v>
      </c>
      <c r="K1254" s="3">
        <v>1.36</v>
      </c>
      <c r="L1254">
        <f t="shared" si="204"/>
        <v>1</v>
      </c>
      <c r="M1254">
        <f t="shared" si="199"/>
        <v>5</v>
      </c>
      <c r="N1254" s="8">
        <v>5</v>
      </c>
      <c r="O1254" s="14">
        <f t="shared" si="205"/>
        <v>145</v>
      </c>
      <c r="P1254" s="8">
        <v>20</v>
      </c>
      <c r="Q1254" s="8">
        <f t="shared" si="207"/>
        <v>0.25</v>
      </c>
      <c r="R1254" s="8">
        <f t="shared" si="208"/>
        <v>3.333333333333333</v>
      </c>
      <c r="S1254" s="8">
        <f t="shared" si="206"/>
        <v>3.583333333333333</v>
      </c>
      <c r="T1254" s="22">
        <f t="shared" si="200"/>
        <v>0.10732472761724302</v>
      </c>
      <c r="U1254" s="19">
        <f t="shared" si="201"/>
        <v>6185.6871595215698</v>
      </c>
      <c r="V1254" s="29" t="s">
        <v>2983</v>
      </c>
    </row>
    <row r="1255" spans="1:22" ht="15" customHeight="1" x14ac:dyDescent="0.25">
      <c r="A1255" t="s">
        <v>518</v>
      </c>
      <c r="B1255" t="s">
        <v>1090</v>
      </c>
      <c r="C1255" t="s">
        <v>771</v>
      </c>
      <c r="D1255" t="s">
        <v>549</v>
      </c>
      <c r="E1255" t="s">
        <v>234</v>
      </c>
      <c r="F1255" s="5">
        <v>27</v>
      </c>
      <c r="G1255" t="s">
        <v>773</v>
      </c>
      <c r="H1255" s="3">
        <v>10</v>
      </c>
      <c r="I1255" s="3">
        <v>15</v>
      </c>
      <c r="J1255" s="3">
        <v>25</v>
      </c>
      <c r="K1255" s="3">
        <v>0.93</v>
      </c>
      <c r="L1255">
        <f t="shared" si="204"/>
        <v>3.7499999999999999E-3</v>
      </c>
      <c r="M1255">
        <f t="shared" si="199"/>
        <v>1.8749999999999999E-2</v>
      </c>
      <c r="N1255" s="8">
        <v>5</v>
      </c>
      <c r="O1255" s="14">
        <f t="shared" si="205"/>
        <v>135</v>
      </c>
      <c r="P1255" s="8">
        <v>20</v>
      </c>
      <c r="Q1255" s="8">
        <f t="shared" si="207"/>
        <v>0.25</v>
      </c>
      <c r="R1255" s="8">
        <f t="shared" si="208"/>
        <v>3.333333333333333</v>
      </c>
      <c r="S1255" s="8">
        <f t="shared" si="206"/>
        <v>3.583333333333333</v>
      </c>
      <c r="T1255" s="22">
        <f t="shared" si="200"/>
        <v>9.9923022264329711E-2</v>
      </c>
      <c r="U1255" s="19">
        <f t="shared" si="201"/>
        <v>6185.787082543834</v>
      </c>
      <c r="V1255" s="29" t="s">
        <v>2983</v>
      </c>
    </row>
    <row r="1256" spans="1:22" ht="15" customHeight="1" x14ac:dyDescent="0.25">
      <c r="A1256" t="s">
        <v>518</v>
      </c>
      <c r="B1256" t="s">
        <v>1091</v>
      </c>
      <c r="C1256" t="s">
        <v>1140</v>
      </c>
      <c r="D1256" t="s">
        <v>1141</v>
      </c>
      <c r="E1256" t="s">
        <v>833</v>
      </c>
      <c r="F1256" s="5">
        <v>66.8</v>
      </c>
      <c r="G1256" t="s">
        <v>1124</v>
      </c>
      <c r="H1256" s="3">
        <v>1830</v>
      </c>
      <c r="I1256" s="3">
        <v>1570</v>
      </c>
      <c r="J1256" s="3">
        <v>530</v>
      </c>
      <c r="K1256" s="3">
        <v>18</v>
      </c>
      <c r="L1256">
        <f t="shared" si="204"/>
        <v>1522.7429999999999</v>
      </c>
      <c r="M1256">
        <f t="shared" si="199"/>
        <v>3045.4859999999999</v>
      </c>
      <c r="N1256" s="8">
        <v>2</v>
      </c>
      <c r="O1256" s="14">
        <f t="shared" si="205"/>
        <v>133.6</v>
      </c>
      <c r="P1256" s="8">
        <v>20</v>
      </c>
      <c r="Q1256" s="8">
        <f t="shared" si="207"/>
        <v>0.1</v>
      </c>
      <c r="R1256" s="8">
        <f t="shared" si="208"/>
        <v>1.3333333333333333</v>
      </c>
      <c r="S1256" s="8">
        <f t="shared" si="206"/>
        <v>1.4333333333333333</v>
      </c>
      <c r="T1256" s="22">
        <f t="shared" si="200"/>
        <v>9.8886783514921833E-2</v>
      </c>
      <c r="U1256" s="19">
        <f t="shared" si="201"/>
        <v>6185.8859693273489</v>
      </c>
      <c r="V1256" s="29" t="s">
        <v>2983</v>
      </c>
    </row>
    <row r="1257" spans="1:22" ht="15" customHeight="1" x14ac:dyDescent="0.25">
      <c r="A1257" t="s">
        <v>518</v>
      </c>
      <c r="B1257" t="s">
        <v>1091</v>
      </c>
      <c r="C1257" t="s">
        <v>1151</v>
      </c>
      <c r="D1257" t="s">
        <v>1152</v>
      </c>
      <c r="E1257" t="s">
        <v>833</v>
      </c>
      <c r="F1257" s="5">
        <v>66.8</v>
      </c>
      <c r="G1257" t="s">
        <v>1150</v>
      </c>
      <c r="H1257" s="3">
        <v>260</v>
      </c>
      <c r="I1257" s="3">
        <v>270</v>
      </c>
      <c r="J1257" s="3">
        <v>90</v>
      </c>
      <c r="K1257" s="3">
        <v>16</v>
      </c>
      <c r="L1257">
        <f t="shared" si="204"/>
        <v>6.3179999999999996</v>
      </c>
      <c r="M1257">
        <f t="shared" si="199"/>
        <v>12.635999999999999</v>
      </c>
      <c r="N1257" s="8">
        <v>2</v>
      </c>
      <c r="O1257" s="14">
        <f t="shared" si="205"/>
        <v>133.6</v>
      </c>
      <c r="P1257" s="8">
        <v>20</v>
      </c>
      <c r="Q1257" s="8">
        <f t="shared" si="207"/>
        <v>0.1</v>
      </c>
      <c r="R1257" s="8">
        <f t="shared" si="208"/>
        <v>1.3333333333333333</v>
      </c>
      <c r="S1257" s="8">
        <f t="shared" si="206"/>
        <v>1.4333333333333333</v>
      </c>
      <c r="T1257" s="22">
        <f t="shared" si="200"/>
        <v>9.8886783514921833E-2</v>
      </c>
      <c r="U1257" s="19">
        <f t="shared" si="201"/>
        <v>6185.9848561108638</v>
      </c>
      <c r="V1257" s="29" t="s">
        <v>2983</v>
      </c>
    </row>
    <row r="1258" spans="1:22" ht="15" customHeight="1" x14ac:dyDescent="0.25">
      <c r="A1258" t="s">
        <v>518</v>
      </c>
      <c r="B1258" t="s">
        <v>1091</v>
      </c>
      <c r="C1258" t="s">
        <v>1119</v>
      </c>
      <c r="D1258" t="s">
        <v>1120</v>
      </c>
      <c r="E1258" t="s">
        <v>833</v>
      </c>
      <c r="F1258" s="5">
        <v>65.2</v>
      </c>
      <c r="G1258" t="s">
        <v>1121</v>
      </c>
      <c r="H1258" s="3">
        <v>350</v>
      </c>
      <c r="I1258" s="3">
        <v>350</v>
      </c>
      <c r="J1258" s="3">
        <v>150</v>
      </c>
      <c r="K1258" s="3">
        <v>80</v>
      </c>
      <c r="L1258">
        <f t="shared" si="204"/>
        <v>18.375</v>
      </c>
      <c r="M1258">
        <f t="shared" si="199"/>
        <v>36.75</v>
      </c>
      <c r="N1258" s="8">
        <v>2</v>
      </c>
      <c r="O1258" s="14">
        <f t="shared" si="205"/>
        <v>130.4</v>
      </c>
      <c r="P1258" s="8">
        <v>20</v>
      </c>
      <c r="Q1258" s="8">
        <f t="shared" si="207"/>
        <v>0.1</v>
      </c>
      <c r="R1258" s="8">
        <f t="shared" si="208"/>
        <v>1.3333333333333333</v>
      </c>
      <c r="S1258" s="8">
        <f t="shared" si="206"/>
        <v>1.4333333333333333</v>
      </c>
      <c r="T1258" s="22">
        <f t="shared" si="200"/>
        <v>9.6518237801989579E-2</v>
      </c>
      <c r="U1258" s="19">
        <f t="shared" si="201"/>
        <v>6186.081374348666</v>
      </c>
      <c r="V1258" s="29" t="s">
        <v>2983</v>
      </c>
    </row>
    <row r="1259" spans="1:22" ht="15" customHeight="1" x14ac:dyDescent="0.25">
      <c r="A1259" t="s">
        <v>518</v>
      </c>
      <c r="B1259" t="s">
        <v>1091</v>
      </c>
      <c r="C1259" t="s">
        <v>1105</v>
      </c>
      <c r="D1259" t="s">
        <v>1106</v>
      </c>
      <c r="E1259" t="s">
        <v>833</v>
      </c>
      <c r="F1259" s="5">
        <v>64</v>
      </c>
      <c r="G1259" t="s">
        <v>1104</v>
      </c>
      <c r="H1259" s="3">
        <v>350</v>
      </c>
      <c r="I1259" s="3">
        <v>350</v>
      </c>
      <c r="J1259" s="3">
        <v>150</v>
      </c>
      <c r="K1259" s="3">
        <v>80</v>
      </c>
      <c r="L1259">
        <f t="shared" si="204"/>
        <v>18.375</v>
      </c>
      <c r="M1259">
        <f t="shared" si="199"/>
        <v>36.75</v>
      </c>
      <c r="N1259" s="8">
        <v>2</v>
      </c>
      <c r="O1259" s="14">
        <f t="shared" si="205"/>
        <v>128</v>
      </c>
      <c r="P1259" s="8">
        <v>20</v>
      </c>
      <c r="Q1259" s="8">
        <f t="shared" si="207"/>
        <v>0.1</v>
      </c>
      <c r="R1259" s="8">
        <f t="shared" si="208"/>
        <v>1.3333333333333333</v>
      </c>
      <c r="S1259" s="8">
        <f t="shared" si="206"/>
        <v>1.4333333333333333</v>
      </c>
      <c r="T1259" s="22">
        <f t="shared" si="200"/>
        <v>9.4741828517290391E-2</v>
      </c>
      <c r="U1259" s="19">
        <f t="shared" si="201"/>
        <v>6186.1761161771838</v>
      </c>
      <c r="V1259" s="29" t="s">
        <v>2983</v>
      </c>
    </row>
    <row r="1260" spans="1:22" ht="15" customHeight="1" x14ac:dyDescent="0.25">
      <c r="A1260" t="s">
        <v>518</v>
      </c>
      <c r="B1260" t="s">
        <v>1090</v>
      </c>
      <c r="C1260" t="s">
        <v>2381</v>
      </c>
      <c r="D1260" t="s">
        <v>738</v>
      </c>
      <c r="E1260" t="s">
        <v>234</v>
      </c>
      <c r="F1260" s="5">
        <v>25</v>
      </c>
      <c r="G1260" t="s">
        <v>2379</v>
      </c>
      <c r="H1260" s="3">
        <v>120</v>
      </c>
      <c r="I1260" s="3">
        <v>80</v>
      </c>
      <c r="J1260" s="3">
        <v>100</v>
      </c>
      <c r="K1260" s="3">
        <v>20</v>
      </c>
      <c r="L1260">
        <f t="shared" si="204"/>
        <v>0.96</v>
      </c>
      <c r="M1260">
        <f t="shared" si="199"/>
        <v>4.8</v>
      </c>
      <c r="N1260" s="8">
        <v>5</v>
      </c>
      <c r="O1260" s="14">
        <f t="shared" si="205"/>
        <v>125</v>
      </c>
      <c r="P1260" s="8">
        <v>20</v>
      </c>
      <c r="Q1260" s="8">
        <f t="shared" si="207"/>
        <v>0.25</v>
      </c>
      <c r="R1260" s="8">
        <f t="shared" si="208"/>
        <v>3.333333333333333</v>
      </c>
      <c r="S1260" s="8">
        <f t="shared" si="206"/>
        <v>3.583333333333333</v>
      </c>
      <c r="T1260" s="22">
        <f t="shared" si="200"/>
        <v>9.2521316911416393E-2</v>
      </c>
      <c r="U1260" s="19">
        <f t="shared" si="201"/>
        <v>6186.2686374940949</v>
      </c>
      <c r="V1260" s="29" t="s">
        <v>2983</v>
      </c>
    </row>
    <row r="1261" spans="1:22" ht="15" customHeight="1" x14ac:dyDescent="0.25">
      <c r="A1261" t="s">
        <v>518</v>
      </c>
      <c r="B1261" t="s">
        <v>1090</v>
      </c>
      <c r="C1261" t="s">
        <v>2364</v>
      </c>
      <c r="D1261" t="s">
        <v>732</v>
      </c>
      <c r="E1261" t="s">
        <v>234</v>
      </c>
      <c r="F1261" s="5">
        <v>25</v>
      </c>
      <c r="G1261" t="s">
        <v>2323</v>
      </c>
      <c r="H1261" s="3">
        <v>110</v>
      </c>
      <c r="I1261" s="3">
        <v>90</v>
      </c>
      <c r="J1261" s="3">
        <v>100</v>
      </c>
      <c r="K1261" s="3">
        <v>1</v>
      </c>
      <c r="L1261">
        <f t="shared" si="204"/>
        <v>0.99</v>
      </c>
      <c r="M1261">
        <f t="shared" si="199"/>
        <v>4.95</v>
      </c>
      <c r="N1261" s="8">
        <v>5</v>
      </c>
      <c r="O1261" s="14">
        <f t="shared" si="205"/>
        <v>125</v>
      </c>
      <c r="P1261" s="8">
        <v>20</v>
      </c>
      <c r="Q1261" s="8">
        <f t="shared" si="207"/>
        <v>0.25</v>
      </c>
      <c r="R1261" s="8">
        <f t="shared" si="208"/>
        <v>3.333333333333333</v>
      </c>
      <c r="S1261" s="8">
        <f t="shared" si="206"/>
        <v>3.583333333333333</v>
      </c>
      <c r="T1261" s="22">
        <f t="shared" si="200"/>
        <v>9.2521316911416393E-2</v>
      </c>
      <c r="U1261" s="19">
        <f t="shared" si="201"/>
        <v>6186.3611588110061</v>
      </c>
      <c r="V1261" s="29" t="s">
        <v>2983</v>
      </c>
    </row>
    <row r="1262" spans="1:22" ht="15" customHeight="1" x14ac:dyDescent="0.25">
      <c r="A1262" t="s">
        <v>518</v>
      </c>
      <c r="B1262" t="s">
        <v>1090</v>
      </c>
      <c r="C1262" t="s">
        <v>2364</v>
      </c>
      <c r="D1262" t="s">
        <v>2368</v>
      </c>
      <c r="E1262" t="s">
        <v>234</v>
      </c>
      <c r="F1262" s="5">
        <v>25</v>
      </c>
      <c r="G1262" t="s">
        <v>683</v>
      </c>
      <c r="H1262" s="3">
        <v>100</v>
      </c>
      <c r="I1262" s="3">
        <v>100</v>
      </c>
      <c r="J1262" s="3">
        <v>100</v>
      </c>
      <c r="K1262" s="3">
        <v>1</v>
      </c>
      <c r="L1262">
        <f t="shared" si="204"/>
        <v>1</v>
      </c>
      <c r="M1262">
        <f t="shared" ref="M1262:M1325" si="209">L1262*N1262</f>
        <v>5</v>
      </c>
      <c r="N1262" s="8">
        <v>5</v>
      </c>
      <c r="O1262" s="14">
        <f t="shared" si="205"/>
        <v>125</v>
      </c>
      <c r="P1262" s="8">
        <v>20</v>
      </c>
      <c r="Q1262" s="8">
        <f t="shared" si="207"/>
        <v>0.25</v>
      </c>
      <c r="R1262" s="8">
        <f t="shared" si="208"/>
        <v>3.333333333333333</v>
      </c>
      <c r="S1262" s="8">
        <f t="shared" si="206"/>
        <v>3.583333333333333</v>
      </c>
      <c r="T1262" s="22">
        <f t="shared" si="200"/>
        <v>9.2521316911416393E-2</v>
      </c>
      <c r="U1262" s="19">
        <f t="shared" si="201"/>
        <v>6186.4536801279173</v>
      </c>
      <c r="V1262" s="29" t="s">
        <v>2983</v>
      </c>
    </row>
    <row r="1263" spans="1:22" ht="15" customHeight="1" x14ac:dyDescent="0.25">
      <c r="A1263" t="s">
        <v>518</v>
      </c>
      <c r="B1263" t="s">
        <v>1090</v>
      </c>
      <c r="C1263" t="s">
        <v>2387</v>
      </c>
      <c r="D1263" t="s">
        <v>2260</v>
      </c>
      <c r="E1263" t="s">
        <v>234</v>
      </c>
      <c r="F1263" s="5">
        <v>22.5</v>
      </c>
      <c r="G1263" t="s">
        <v>683</v>
      </c>
      <c r="H1263" s="3">
        <v>30</v>
      </c>
      <c r="I1263" s="3">
        <v>40</v>
      </c>
      <c r="J1263" s="3">
        <v>37.5</v>
      </c>
      <c r="K1263" s="3">
        <v>14.95</v>
      </c>
      <c r="L1263">
        <f t="shared" si="204"/>
        <v>4.4999999999999998E-2</v>
      </c>
      <c r="M1263">
        <f t="shared" si="209"/>
        <v>0.22499999999999998</v>
      </c>
      <c r="N1263" s="8">
        <v>5</v>
      </c>
      <c r="O1263" s="14">
        <f t="shared" si="205"/>
        <v>112.5</v>
      </c>
      <c r="P1263" s="8">
        <v>20</v>
      </c>
      <c r="Q1263" s="8">
        <f t="shared" si="207"/>
        <v>0.25</v>
      </c>
      <c r="R1263" s="8">
        <f t="shared" si="208"/>
        <v>3.333333333333333</v>
      </c>
      <c r="S1263" s="8">
        <f t="shared" si="206"/>
        <v>3.583333333333333</v>
      </c>
      <c r="T1263" s="22">
        <f t="shared" si="200"/>
        <v>8.3269185220274752E-2</v>
      </c>
      <c r="U1263" s="19">
        <f t="shared" si="201"/>
        <v>6186.5369493131375</v>
      </c>
      <c r="V1263" s="29" t="s">
        <v>2983</v>
      </c>
    </row>
    <row r="1264" spans="1:22" ht="15" customHeight="1" x14ac:dyDescent="0.25">
      <c r="A1264" t="s">
        <v>518</v>
      </c>
      <c r="B1264" t="s">
        <v>1091</v>
      </c>
      <c r="C1264" t="s">
        <v>1176</v>
      </c>
      <c r="D1264" t="s">
        <v>1177</v>
      </c>
      <c r="E1264" t="s">
        <v>833</v>
      </c>
      <c r="F1264" s="5">
        <v>56</v>
      </c>
      <c r="G1264" t="s">
        <v>1139</v>
      </c>
      <c r="H1264" s="3">
        <v>1020</v>
      </c>
      <c r="I1264" s="3">
        <v>1320</v>
      </c>
      <c r="J1264" s="3">
        <v>638</v>
      </c>
      <c r="K1264" s="3">
        <v>8.8000000000000007</v>
      </c>
      <c r="L1264">
        <f t="shared" si="204"/>
        <v>859.00319999999999</v>
      </c>
      <c r="M1264">
        <f t="shared" si="209"/>
        <v>1718.0064</v>
      </c>
      <c r="N1264" s="8">
        <v>2</v>
      </c>
      <c r="O1264" s="14">
        <f t="shared" si="205"/>
        <v>112</v>
      </c>
      <c r="P1264" s="8">
        <v>20</v>
      </c>
      <c r="Q1264" s="8">
        <f t="shared" si="207"/>
        <v>0.1</v>
      </c>
      <c r="R1264" s="8">
        <f t="shared" si="208"/>
        <v>1.3333333333333333</v>
      </c>
      <c r="S1264" s="8">
        <f t="shared" si="206"/>
        <v>1.4333333333333333</v>
      </c>
      <c r="T1264" s="22">
        <f t="shared" si="200"/>
        <v>8.2899099952629091E-2</v>
      </c>
      <c r="U1264" s="19">
        <f t="shared" si="201"/>
        <v>6186.61984841309</v>
      </c>
      <c r="V1264" s="29" t="s">
        <v>2983</v>
      </c>
    </row>
    <row r="1265" spans="1:22" ht="15" customHeight="1" x14ac:dyDescent="0.25">
      <c r="A1265" t="s">
        <v>518</v>
      </c>
      <c r="B1265" t="s">
        <v>1091</v>
      </c>
      <c r="C1265" t="s">
        <v>1155</v>
      </c>
      <c r="D1265" t="s">
        <v>1156</v>
      </c>
      <c r="E1265" t="s">
        <v>833</v>
      </c>
      <c r="F1265" s="5">
        <v>56</v>
      </c>
      <c r="G1265" t="s">
        <v>1157</v>
      </c>
      <c r="H1265" s="3">
        <v>210</v>
      </c>
      <c r="I1265" s="3">
        <v>380</v>
      </c>
      <c r="J1265" s="3">
        <v>100</v>
      </c>
      <c r="K1265" s="3">
        <v>41</v>
      </c>
      <c r="L1265">
        <f t="shared" si="204"/>
        <v>7.98</v>
      </c>
      <c r="M1265">
        <f t="shared" si="209"/>
        <v>15.96</v>
      </c>
      <c r="N1265" s="8">
        <v>2</v>
      </c>
      <c r="O1265" s="14">
        <f t="shared" si="205"/>
        <v>112</v>
      </c>
      <c r="P1265" s="8">
        <v>20</v>
      </c>
      <c r="Q1265" s="8">
        <f t="shared" si="207"/>
        <v>0.1</v>
      </c>
      <c r="R1265" s="8">
        <f t="shared" si="208"/>
        <v>1.3333333333333333</v>
      </c>
      <c r="S1265" s="8">
        <f t="shared" si="206"/>
        <v>1.4333333333333333</v>
      </c>
      <c r="T1265" s="22">
        <f t="shared" si="200"/>
        <v>8.2899099952629091E-2</v>
      </c>
      <c r="U1265" s="19">
        <f t="shared" si="201"/>
        <v>6186.7027475130426</v>
      </c>
      <c r="V1265" s="29" t="s">
        <v>2983</v>
      </c>
    </row>
    <row r="1266" spans="1:22" ht="15" customHeight="1" x14ac:dyDescent="0.25">
      <c r="A1266" t="s">
        <v>518</v>
      </c>
      <c r="B1266" t="s">
        <v>1091</v>
      </c>
      <c r="C1266" t="s">
        <v>2159</v>
      </c>
      <c r="D1266" t="s">
        <v>2160</v>
      </c>
      <c r="E1266" t="s">
        <v>833</v>
      </c>
      <c r="F1266" s="5">
        <v>55</v>
      </c>
      <c r="G1266" t="s">
        <v>847</v>
      </c>
      <c r="H1266" s="3">
        <v>25</v>
      </c>
      <c r="I1266" s="3">
        <v>12</v>
      </c>
      <c r="J1266" s="3">
        <v>6</v>
      </c>
      <c r="K1266" s="3">
        <v>6</v>
      </c>
      <c r="L1266">
        <f t="shared" si="204"/>
        <v>1.8E-3</v>
      </c>
      <c r="M1266">
        <f t="shared" si="209"/>
        <v>3.5999999999999999E-3</v>
      </c>
      <c r="N1266" s="8">
        <v>2</v>
      </c>
      <c r="O1266" s="14">
        <f t="shared" si="205"/>
        <v>110</v>
      </c>
      <c r="P1266" s="8">
        <v>20</v>
      </c>
      <c r="Q1266" s="8">
        <f t="shared" si="207"/>
        <v>0.1</v>
      </c>
      <c r="R1266" s="8">
        <f t="shared" si="208"/>
        <v>1.3333333333333333</v>
      </c>
      <c r="S1266" s="8">
        <f t="shared" si="206"/>
        <v>1.4333333333333333</v>
      </c>
      <c r="T1266" s="22">
        <f t="shared" si="200"/>
        <v>8.141875888204643E-2</v>
      </c>
      <c r="U1266" s="19">
        <f t="shared" si="201"/>
        <v>6186.7841662719247</v>
      </c>
      <c r="V1266" s="29" t="s">
        <v>2983</v>
      </c>
    </row>
    <row r="1267" spans="1:22" ht="15" customHeight="1" x14ac:dyDescent="0.25">
      <c r="A1267" t="s">
        <v>518</v>
      </c>
      <c r="B1267" t="s">
        <v>637</v>
      </c>
      <c r="C1267" t="s">
        <v>2300</v>
      </c>
      <c r="D1267" t="s">
        <v>2304</v>
      </c>
      <c r="E1267" t="s">
        <v>24</v>
      </c>
      <c r="F1267" s="5">
        <v>4.55</v>
      </c>
      <c r="G1267" t="s">
        <v>710</v>
      </c>
      <c r="H1267" s="3">
        <v>4</v>
      </c>
      <c r="I1267" s="3">
        <v>2</v>
      </c>
      <c r="J1267" s="3">
        <v>5</v>
      </c>
      <c r="K1267" s="3">
        <v>0.5</v>
      </c>
      <c r="L1267">
        <f t="shared" si="204"/>
        <v>4.0000000000000003E-5</v>
      </c>
      <c r="M1267">
        <f t="shared" si="209"/>
        <v>9.6000000000000013E-4</v>
      </c>
      <c r="N1267" s="8">
        <v>24</v>
      </c>
      <c r="O1267" s="14">
        <f t="shared" si="205"/>
        <v>109.19999999999999</v>
      </c>
      <c r="P1267" s="8">
        <v>20</v>
      </c>
      <c r="Q1267" s="8">
        <f t="shared" si="207"/>
        <v>1.2</v>
      </c>
      <c r="R1267" s="8">
        <f t="shared" si="208"/>
        <v>16</v>
      </c>
      <c r="S1267" s="8">
        <f t="shared" si="206"/>
        <v>17.2</v>
      </c>
      <c r="T1267" s="22">
        <f t="shared" si="200"/>
        <v>8.0826622453813349E-2</v>
      </c>
      <c r="U1267" s="19">
        <f t="shared" si="201"/>
        <v>6186.8649928943787</v>
      </c>
      <c r="V1267" s="29" t="s">
        <v>2983</v>
      </c>
    </row>
    <row r="1268" spans="1:22" ht="15" customHeight="1" x14ac:dyDescent="0.25">
      <c r="A1268" t="s">
        <v>518</v>
      </c>
      <c r="B1268" t="s">
        <v>1091</v>
      </c>
      <c r="C1268" t="s">
        <v>2164</v>
      </c>
      <c r="D1268" t="s">
        <v>2165</v>
      </c>
      <c r="E1268" t="s">
        <v>833</v>
      </c>
      <c r="F1268" s="5">
        <v>52.9</v>
      </c>
      <c r="G1268" t="s">
        <v>822</v>
      </c>
      <c r="H1268" s="3">
        <v>33</v>
      </c>
      <c r="I1268" s="3">
        <v>18</v>
      </c>
      <c r="J1268" s="3">
        <v>10</v>
      </c>
      <c r="K1268" s="3">
        <v>9</v>
      </c>
      <c r="L1268">
        <f t="shared" si="204"/>
        <v>5.94E-3</v>
      </c>
      <c r="M1268">
        <f t="shared" si="209"/>
        <v>1.188E-2</v>
      </c>
      <c r="N1268" s="8">
        <v>2</v>
      </c>
      <c r="O1268" s="14">
        <f t="shared" si="205"/>
        <v>105.8</v>
      </c>
      <c r="P1268" s="8">
        <v>20</v>
      </c>
      <c r="Q1268" s="8">
        <f t="shared" si="207"/>
        <v>0.1</v>
      </c>
      <c r="R1268" s="8">
        <f t="shared" si="208"/>
        <v>1.3333333333333333</v>
      </c>
      <c r="S1268" s="8">
        <f t="shared" si="206"/>
        <v>1.4333333333333333</v>
      </c>
      <c r="T1268" s="22">
        <f t="shared" si="200"/>
        <v>7.8310042633822838E-2</v>
      </c>
      <c r="U1268" s="19">
        <f t="shared" si="201"/>
        <v>6186.943302937013</v>
      </c>
      <c r="V1268" s="29" t="s">
        <v>2983</v>
      </c>
    </row>
    <row r="1269" spans="1:22" ht="15" customHeight="1" x14ac:dyDescent="0.25">
      <c r="A1269" t="s">
        <v>518</v>
      </c>
      <c r="B1269" t="s">
        <v>1091</v>
      </c>
      <c r="C1269" t="s">
        <v>2166</v>
      </c>
      <c r="D1269" t="s">
        <v>2165</v>
      </c>
      <c r="E1269" t="s">
        <v>833</v>
      </c>
      <c r="F1269" s="5">
        <v>52.9</v>
      </c>
      <c r="G1269" t="s">
        <v>822</v>
      </c>
      <c r="H1269" s="3">
        <v>33</v>
      </c>
      <c r="I1269" s="3">
        <v>18</v>
      </c>
      <c r="J1269" s="3">
        <v>10</v>
      </c>
      <c r="K1269" s="3">
        <v>9</v>
      </c>
      <c r="L1269">
        <f t="shared" si="204"/>
        <v>5.94E-3</v>
      </c>
      <c r="M1269">
        <f t="shared" si="209"/>
        <v>1.188E-2</v>
      </c>
      <c r="N1269" s="8">
        <v>2</v>
      </c>
      <c r="O1269" s="14">
        <f t="shared" si="205"/>
        <v>105.8</v>
      </c>
      <c r="P1269" s="8">
        <v>20</v>
      </c>
      <c r="Q1269" s="8">
        <f t="shared" si="207"/>
        <v>0.1</v>
      </c>
      <c r="R1269" s="8">
        <f t="shared" si="208"/>
        <v>1.3333333333333333</v>
      </c>
      <c r="S1269" s="8">
        <f t="shared" si="206"/>
        <v>1.4333333333333333</v>
      </c>
      <c r="T1269" s="22">
        <f t="shared" ref="T1269:T1332" si="210">O1269/O$1749</f>
        <v>7.8310042633822838E-2</v>
      </c>
      <c r="U1269" s="19">
        <f t="shared" ref="U1269:U1332" si="211">U1268+T1269</f>
        <v>6187.0216129796472</v>
      </c>
      <c r="V1269" s="29" t="s">
        <v>2983</v>
      </c>
    </row>
    <row r="1270" spans="1:22" ht="15" customHeight="1" x14ac:dyDescent="0.25">
      <c r="A1270" t="s">
        <v>518</v>
      </c>
      <c r="B1270" t="s">
        <v>1091</v>
      </c>
      <c r="C1270" t="s">
        <v>2167</v>
      </c>
      <c r="D1270" t="s">
        <v>2165</v>
      </c>
      <c r="E1270" t="s">
        <v>833</v>
      </c>
      <c r="F1270" s="5">
        <v>52.9</v>
      </c>
      <c r="G1270" t="s">
        <v>822</v>
      </c>
      <c r="H1270" s="3">
        <v>33</v>
      </c>
      <c r="I1270" s="3">
        <v>18</v>
      </c>
      <c r="J1270" s="3">
        <v>10</v>
      </c>
      <c r="K1270" s="3">
        <v>9</v>
      </c>
      <c r="L1270">
        <f t="shared" si="204"/>
        <v>5.94E-3</v>
      </c>
      <c r="M1270">
        <f t="shared" si="209"/>
        <v>1.188E-2</v>
      </c>
      <c r="N1270" s="8">
        <v>2</v>
      </c>
      <c r="O1270" s="14">
        <f t="shared" si="205"/>
        <v>105.8</v>
      </c>
      <c r="P1270" s="8">
        <v>20</v>
      </c>
      <c r="Q1270" s="8">
        <f t="shared" si="207"/>
        <v>0.1</v>
      </c>
      <c r="R1270" s="8">
        <f t="shared" si="208"/>
        <v>1.3333333333333333</v>
      </c>
      <c r="S1270" s="8">
        <f t="shared" si="206"/>
        <v>1.4333333333333333</v>
      </c>
      <c r="T1270" s="22">
        <f t="shared" si="210"/>
        <v>7.8310042633822838E-2</v>
      </c>
      <c r="U1270" s="19">
        <f t="shared" si="211"/>
        <v>6187.0999230222815</v>
      </c>
      <c r="V1270" s="29" t="s">
        <v>2983</v>
      </c>
    </row>
    <row r="1271" spans="1:22" ht="15" customHeight="1" x14ac:dyDescent="0.25">
      <c r="A1271" t="s">
        <v>518</v>
      </c>
      <c r="B1271" t="s">
        <v>1090</v>
      </c>
      <c r="C1271" t="s">
        <v>2322</v>
      </c>
      <c r="D1271" t="s">
        <v>526</v>
      </c>
      <c r="E1271" t="s">
        <v>234</v>
      </c>
      <c r="F1271" s="5">
        <v>19.899999999999999</v>
      </c>
      <c r="G1271" t="s">
        <v>2323</v>
      </c>
      <c r="H1271" s="3">
        <v>110</v>
      </c>
      <c r="I1271" s="3">
        <v>90</v>
      </c>
      <c r="J1271" s="3">
        <v>100</v>
      </c>
      <c r="K1271" s="3">
        <v>4.84</v>
      </c>
      <c r="L1271">
        <f t="shared" si="204"/>
        <v>0.99</v>
      </c>
      <c r="M1271">
        <f t="shared" si="209"/>
        <v>4.95</v>
      </c>
      <c r="N1271" s="8">
        <v>5</v>
      </c>
      <c r="O1271" s="14">
        <f t="shared" si="205"/>
        <v>99.5</v>
      </c>
      <c r="P1271" s="8">
        <v>20</v>
      </c>
      <c r="Q1271" s="8">
        <f t="shared" si="207"/>
        <v>0.25</v>
      </c>
      <c r="R1271" s="8">
        <f t="shared" si="208"/>
        <v>3.333333333333333</v>
      </c>
      <c r="S1271" s="8">
        <f t="shared" si="206"/>
        <v>3.583333333333333</v>
      </c>
      <c r="T1271" s="22">
        <f t="shared" si="210"/>
        <v>7.364696826148745E-2</v>
      </c>
      <c r="U1271" s="19">
        <f t="shared" si="211"/>
        <v>6187.173569990543</v>
      </c>
      <c r="V1271" s="29" t="s">
        <v>2983</v>
      </c>
    </row>
    <row r="1272" spans="1:22" ht="15" customHeight="1" x14ac:dyDescent="0.25">
      <c r="A1272" t="s">
        <v>518</v>
      </c>
      <c r="B1272" t="s">
        <v>1090</v>
      </c>
      <c r="C1272" t="s">
        <v>2344</v>
      </c>
      <c r="D1272" t="s">
        <v>2345</v>
      </c>
      <c r="E1272" t="s">
        <v>234</v>
      </c>
      <c r="F1272" s="5">
        <v>19.899999999999999</v>
      </c>
      <c r="G1272" t="s">
        <v>683</v>
      </c>
      <c r="H1272" s="3">
        <v>100</v>
      </c>
      <c r="I1272" s="3">
        <v>100</v>
      </c>
      <c r="J1272" s="3">
        <v>100</v>
      </c>
      <c r="K1272" s="3">
        <v>0.84</v>
      </c>
      <c r="L1272">
        <f t="shared" si="204"/>
        <v>1</v>
      </c>
      <c r="M1272">
        <f t="shared" si="209"/>
        <v>5</v>
      </c>
      <c r="N1272" s="8">
        <v>5</v>
      </c>
      <c r="O1272" s="14">
        <f t="shared" si="205"/>
        <v>99.5</v>
      </c>
      <c r="P1272" s="8">
        <v>20</v>
      </c>
      <c r="Q1272" s="8">
        <f t="shared" si="207"/>
        <v>0.25</v>
      </c>
      <c r="R1272" s="8">
        <f t="shared" si="208"/>
        <v>3.333333333333333</v>
      </c>
      <c r="S1272" s="8">
        <f t="shared" si="206"/>
        <v>3.583333333333333</v>
      </c>
      <c r="T1272" s="22">
        <f t="shared" si="210"/>
        <v>7.364696826148745E-2</v>
      </c>
      <c r="U1272" s="19">
        <f t="shared" si="211"/>
        <v>6187.2472169588045</v>
      </c>
      <c r="V1272" s="29" t="s">
        <v>2983</v>
      </c>
    </row>
    <row r="1273" spans="1:22" ht="15" customHeight="1" x14ac:dyDescent="0.25">
      <c r="A1273" t="s">
        <v>518</v>
      </c>
      <c r="B1273" t="s">
        <v>1090</v>
      </c>
      <c r="C1273" t="s">
        <v>2385</v>
      </c>
      <c r="D1273" t="s">
        <v>2386</v>
      </c>
      <c r="E1273" t="s">
        <v>234</v>
      </c>
      <c r="F1273" s="5">
        <v>19.899999999999999</v>
      </c>
      <c r="G1273" t="s">
        <v>683</v>
      </c>
      <c r="H1273" s="3">
        <v>15</v>
      </c>
      <c r="I1273" s="3">
        <v>15</v>
      </c>
      <c r="J1273" s="3">
        <v>15</v>
      </c>
      <c r="K1273" s="3">
        <v>0.44</v>
      </c>
      <c r="L1273">
        <f t="shared" si="204"/>
        <v>3.375E-3</v>
      </c>
      <c r="M1273">
        <f t="shared" si="209"/>
        <v>1.6875000000000001E-2</v>
      </c>
      <c r="N1273" s="8">
        <v>5</v>
      </c>
      <c r="O1273" s="14">
        <f t="shared" si="205"/>
        <v>99.5</v>
      </c>
      <c r="P1273" s="8">
        <v>20</v>
      </c>
      <c r="Q1273" s="8">
        <f t="shared" si="207"/>
        <v>0.25</v>
      </c>
      <c r="R1273" s="8">
        <f t="shared" si="208"/>
        <v>3.333333333333333</v>
      </c>
      <c r="S1273" s="8">
        <f t="shared" si="206"/>
        <v>3.583333333333333</v>
      </c>
      <c r="T1273" s="22">
        <f t="shared" si="210"/>
        <v>7.364696826148745E-2</v>
      </c>
      <c r="U1273" s="19">
        <f t="shared" si="211"/>
        <v>6187.3208639270661</v>
      </c>
      <c r="V1273" s="29" t="s">
        <v>2983</v>
      </c>
    </row>
    <row r="1274" spans="1:22" ht="15" customHeight="1" x14ac:dyDescent="0.25">
      <c r="A1274" t="s">
        <v>518</v>
      </c>
      <c r="B1274" t="s">
        <v>1090</v>
      </c>
      <c r="C1274" t="s">
        <v>2387</v>
      </c>
      <c r="D1274" t="s">
        <v>2260</v>
      </c>
      <c r="E1274" t="s">
        <v>234</v>
      </c>
      <c r="F1274" s="5">
        <v>19.5</v>
      </c>
      <c r="G1274" t="s">
        <v>683</v>
      </c>
      <c r="H1274" s="3">
        <v>10</v>
      </c>
      <c r="I1274" s="3">
        <v>25</v>
      </c>
      <c r="J1274" s="3">
        <v>5</v>
      </c>
      <c r="K1274" s="3">
        <v>22.25</v>
      </c>
      <c r="L1274">
        <f t="shared" si="204"/>
        <v>1.25E-3</v>
      </c>
      <c r="M1274">
        <f t="shared" si="209"/>
        <v>6.2500000000000003E-3</v>
      </c>
      <c r="N1274" s="8">
        <v>5</v>
      </c>
      <c r="O1274" s="14">
        <f t="shared" si="205"/>
        <v>97.5</v>
      </c>
      <c r="P1274" s="8">
        <v>20</v>
      </c>
      <c r="Q1274" s="8">
        <f t="shared" si="207"/>
        <v>0.25</v>
      </c>
      <c r="R1274" s="8">
        <f t="shared" si="208"/>
        <v>3.333333333333333</v>
      </c>
      <c r="S1274" s="8">
        <f t="shared" si="206"/>
        <v>3.583333333333333</v>
      </c>
      <c r="T1274" s="22">
        <f t="shared" si="210"/>
        <v>7.2166627190904789E-2</v>
      </c>
      <c r="U1274" s="19">
        <f t="shared" si="211"/>
        <v>6187.3930305542572</v>
      </c>
      <c r="V1274" s="29" t="s">
        <v>2983</v>
      </c>
    </row>
    <row r="1275" spans="1:22" ht="15" customHeight="1" x14ac:dyDescent="0.25">
      <c r="A1275" t="s">
        <v>518</v>
      </c>
      <c r="B1275" t="s">
        <v>1091</v>
      </c>
      <c r="C1275" t="s">
        <v>1096</v>
      </c>
      <c r="D1275" t="s">
        <v>1097</v>
      </c>
      <c r="E1275" t="s">
        <v>833</v>
      </c>
      <c r="F1275" s="5">
        <v>48</v>
      </c>
      <c r="G1275" t="s">
        <v>1095</v>
      </c>
      <c r="H1275" s="3">
        <v>300</v>
      </c>
      <c r="I1275" s="3">
        <v>450</v>
      </c>
      <c r="J1275" s="3">
        <v>200</v>
      </c>
      <c r="K1275" s="3">
        <v>60</v>
      </c>
      <c r="L1275">
        <f t="shared" si="204"/>
        <v>27</v>
      </c>
      <c r="M1275">
        <f t="shared" si="209"/>
        <v>54</v>
      </c>
      <c r="N1275" s="8">
        <v>2</v>
      </c>
      <c r="O1275" s="14">
        <f t="shared" si="205"/>
        <v>96</v>
      </c>
      <c r="P1275" s="8">
        <v>20</v>
      </c>
      <c r="Q1275" s="8">
        <f t="shared" si="207"/>
        <v>0.1</v>
      </c>
      <c r="R1275" s="8">
        <f t="shared" si="208"/>
        <v>1.3333333333333333</v>
      </c>
      <c r="S1275" s="8">
        <f t="shared" si="206"/>
        <v>1.4333333333333333</v>
      </c>
      <c r="T1275" s="22">
        <f t="shared" si="210"/>
        <v>7.105637138796779E-2</v>
      </c>
      <c r="U1275" s="19">
        <f t="shared" si="211"/>
        <v>6187.4640869256455</v>
      </c>
      <c r="V1275" s="29" t="s">
        <v>2983</v>
      </c>
    </row>
    <row r="1276" spans="1:22" ht="15" customHeight="1" x14ac:dyDescent="0.25">
      <c r="A1276" t="s">
        <v>518</v>
      </c>
      <c r="B1276" t="s">
        <v>1091</v>
      </c>
      <c r="C1276" t="s">
        <v>1098</v>
      </c>
      <c r="D1276" t="s">
        <v>1099</v>
      </c>
      <c r="E1276" t="s">
        <v>833</v>
      </c>
      <c r="F1276" s="5">
        <v>48</v>
      </c>
      <c r="G1276" t="s">
        <v>1095</v>
      </c>
      <c r="H1276" s="3">
        <v>300</v>
      </c>
      <c r="I1276" s="3">
        <v>450</v>
      </c>
      <c r="J1276" s="3">
        <v>200</v>
      </c>
      <c r="K1276" s="3">
        <v>60</v>
      </c>
      <c r="L1276">
        <f t="shared" si="204"/>
        <v>27</v>
      </c>
      <c r="M1276">
        <f t="shared" si="209"/>
        <v>54</v>
      </c>
      <c r="N1276" s="8">
        <v>2</v>
      </c>
      <c r="O1276" s="14">
        <f t="shared" si="205"/>
        <v>96</v>
      </c>
      <c r="P1276" s="8">
        <v>20</v>
      </c>
      <c r="Q1276" s="8">
        <f t="shared" si="207"/>
        <v>0.1</v>
      </c>
      <c r="R1276" s="8">
        <f t="shared" si="208"/>
        <v>1.3333333333333333</v>
      </c>
      <c r="S1276" s="8">
        <f t="shared" si="206"/>
        <v>1.4333333333333333</v>
      </c>
      <c r="T1276" s="22">
        <f t="shared" si="210"/>
        <v>7.105637138796779E-2</v>
      </c>
      <c r="U1276" s="19">
        <f t="shared" si="211"/>
        <v>6187.5351432970338</v>
      </c>
      <c r="V1276" s="29" t="s">
        <v>2983</v>
      </c>
    </row>
    <row r="1277" spans="1:22" ht="15" customHeight="1" x14ac:dyDescent="0.25">
      <c r="A1277" t="s">
        <v>518</v>
      </c>
      <c r="B1277" t="s">
        <v>1091</v>
      </c>
      <c r="C1277" t="s">
        <v>1144</v>
      </c>
      <c r="D1277" t="s">
        <v>1145</v>
      </c>
      <c r="E1277" t="s">
        <v>833</v>
      </c>
      <c r="F1277" s="5">
        <v>48</v>
      </c>
      <c r="G1277" t="s">
        <v>512</v>
      </c>
      <c r="H1277" s="3">
        <v>260</v>
      </c>
      <c r="I1277" s="3">
        <v>400</v>
      </c>
      <c r="J1277" s="3">
        <v>210</v>
      </c>
      <c r="K1277" s="3">
        <v>16</v>
      </c>
      <c r="L1277">
        <f t="shared" si="204"/>
        <v>21.84</v>
      </c>
      <c r="M1277">
        <f t="shared" si="209"/>
        <v>43.68</v>
      </c>
      <c r="N1277" s="8">
        <v>2</v>
      </c>
      <c r="O1277" s="14">
        <f t="shared" si="205"/>
        <v>96</v>
      </c>
      <c r="P1277" s="8">
        <v>20</v>
      </c>
      <c r="Q1277" s="8">
        <f t="shared" si="207"/>
        <v>0.1</v>
      </c>
      <c r="R1277" s="8">
        <f t="shared" si="208"/>
        <v>1.3333333333333333</v>
      </c>
      <c r="S1277" s="8">
        <f t="shared" si="206"/>
        <v>1.4333333333333333</v>
      </c>
      <c r="T1277" s="22">
        <f t="shared" si="210"/>
        <v>7.105637138796779E-2</v>
      </c>
      <c r="U1277" s="19">
        <f t="shared" si="211"/>
        <v>6187.6061996684221</v>
      </c>
      <c r="V1277" s="29" t="s">
        <v>2983</v>
      </c>
    </row>
    <row r="1278" spans="1:22" ht="15" customHeight="1" x14ac:dyDescent="0.25">
      <c r="A1278" t="s">
        <v>518</v>
      </c>
      <c r="B1278" t="s">
        <v>1090</v>
      </c>
      <c r="C1278" t="s">
        <v>2346</v>
      </c>
      <c r="D1278" t="s">
        <v>721</v>
      </c>
      <c r="E1278" t="s">
        <v>234</v>
      </c>
      <c r="F1278" s="5">
        <v>19</v>
      </c>
      <c r="G1278" t="s">
        <v>2323</v>
      </c>
      <c r="H1278" s="3">
        <v>110</v>
      </c>
      <c r="I1278" s="3">
        <v>90</v>
      </c>
      <c r="J1278" s="3">
        <v>100</v>
      </c>
      <c r="K1278" s="3">
        <v>1.56</v>
      </c>
      <c r="L1278">
        <f t="shared" si="204"/>
        <v>0.99</v>
      </c>
      <c r="M1278">
        <f t="shared" si="209"/>
        <v>4.95</v>
      </c>
      <c r="N1278" s="8">
        <v>5</v>
      </c>
      <c r="O1278" s="14">
        <f t="shared" si="205"/>
        <v>95</v>
      </c>
      <c r="P1278" s="8">
        <v>20</v>
      </c>
      <c r="Q1278" s="8">
        <f t="shared" si="207"/>
        <v>0.25</v>
      </c>
      <c r="R1278" s="8">
        <f t="shared" si="208"/>
        <v>3.333333333333333</v>
      </c>
      <c r="S1278" s="8">
        <f t="shared" si="206"/>
        <v>3.583333333333333</v>
      </c>
      <c r="T1278" s="22">
        <f t="shared" si="210"/>
        <v>7.0316200852676453E-2</v>
      </c>
      <c r="U1278" s="19">
        <f t="shared" si="211"/>
        <v>6187.6765158692751</v>
      </c>
      <c r="V1278" s="29" t="s">
        <v>2983</v>
      </c>
    </row>
    <row r="1279" spans="1:22" ht="15" customHeight="1" x14ac:dyDescent="0.25">
      <c r="A1279" t="s">
        <v>518</v>
      </c>
      <c r="B1279" t="s">
        <v>1090</v>
      </c>
      <c r="C1279" t="s">
        <v>2350</v>
      </c>
      <c r="D1279" t="s">
        <v>726</v>
      </c>
      <c r="E1279" t="s">
        <v>234</v>
      </c>
      <c r="F1279" s="5">
        <v>19</v>
      </c>
      <c r="G1279" t="s">
        <v>683</v>
      </c>
      <c r="H1279" s="3">
        <v>100</v>
      </c>
      <c r="I1279" s="3">
        <v>100</v>
      </c>
      <c r="J1279" s="3">
        <v>100</v>
      </c>
      <c r="K1279" s="3">
        <v>1.4</v>
      </c>
      <c r="L1279">
        <f t="shared" si="204"/>
        <v>1</v>
      </c>
      <c r="M1279">
        <f t="shared" si="209"/>
        <v>5</v>
      </c>
      <c r="N1279" s="8">
        <v>5</v>
      </c>
      <c r="O1279" s="14">
        <f t="shared" si="205"/>
        <v>95</v>
      </c>
      <c r="P1279" s="8">
        <v>20</v>
      </c>
      <c r="Q1279" s="8">
        <f t="shared" si="207"/>
        <v>0.25</v>
      </c>
      <c r="R1279" s="8">
        <f t="shared" si="208"/>
        <v>3.333333333333333</v>
      </c>
      <c r="S1279" s="8">
        <f t="shared" si="206"/>
        <v>3.583333333333333</v>
      </c>
      <c r="T1279" s="22">
        <f t="shared" si="210"/>
        <v>7.0316200852676453E-2</v>
      </c>
      <c r="U1279" s="19">
        <f t="shared" si="211"/>
        <v>6187.7468320701282</v>
      </c>
      <c r="V1279" s="29" t="s">
        <v>2983</v>
      </c>
    </row>
    <row r="1280" spans="1:22" ht="15" customHeight="1" x14ac:dyDescent="0.25">
      <c r="A1280" t="s">
        <v>518</v>
      </c>
      <c r="B1280" t="s">
        <v>1090</v>
      </c>
      <c r="C1280" t="s">
        <v>2360</v>
      </c>
      <c r="D1280" t="s">
        <v>2362</v>
      </c>
      <c r="E1280" t="s">
        <v>234</v>
      </c>
      <c r="F1280" s="5">
        <v>19</v>
      </c>
      <c r="G1280" t="s">
        <v>683</v>
      </c>
      <c r="H1280" s="3">
        <v>100</v>
      </c>
      <c r="I1280" s="3">
        <v>100</v>
      </c>
      <c r="J1280" s="3">
        <v>100</v>
      </c>
      <c r="K1280" s="3">
        <v>1</v>
      </c>
      <c r="L1280">
        <f t="shared" si="204"/>
        <v>1</v>
      </c>
      <c r="M1280">
        <f t="shared" si="209"/>
        <v>5</v>
      </c>
      <c r="N1280" s="8">
        <v>5</v>
      </c>
      <c r="O1280" s="14">
        <f t="shared" si="205"/>
        <v>95</v>
      </c>
      <c r="P1280" s="8">
        <v>20</v>
      </c>
      <c r="Q1280" s="8">
        <f t="shared" si="207"/>
        <v>0.25</v>
      </c>
      <c r="R1280" s="8">
        <f t="shared" si="208"/>
        <v>3.333333333333333</v>
      </c>
      <c r="S1280" s="8">
        <f t="shared" si="206"/>
        <v>3.583333333333333</v>
      </c>
      <c r="T1280" s="22">
        <f t="shared" si="210"/>
        <v>7.0316200852676453E-2</v>
      </c>
      <c r="U1280" s="19">
        <f t="shared" si="211"/>
        <v>6187.8171482709813</v>
      </c>
      <c r="V1280" s="29" t="s">
        <v>2983</v>
      </c>
    </row>
    <row r="1281" spans="1:22" ht="15" customHeight="1" x14ac:dyDescent="0.25">
      <c r="A1281" t="s">
        <v>518</v>
      </c>
      <c r="B1281" t="s">
        <v>1090</v>
      </c>
      <c r="C1281" t="s">
        <v>2360</v>
      </c>
      <c r="D1281" t="s">
        <v>728</v>
      </c>
      <c r="E1281" t="s">
        <v>234</v>
      </c>
      <c r="F1281" s="5">
        <v>19</v>
      </c>
      <c r="G1281" t="s">
        <v>2323</v>
      </c>
      <c r="H1281" s="3">
        <v>110</v>
      </c>
      <c r="I1281" s="3">
        <v>90</v>
      </c>
      <c r="J1281" s="3">
        <v>100</v>
      </c>
      <c r="K1281" s="3">
        <v>0.64</v>
      </c>
      <c r="L1281">
        <f t="shared" si="204"/>
        <v>0.99</v>
      </c>
      <c r="M1281">
        <f t="shared" si="209"/>
        <v>4.95</v>
      </c>
      <c r="N1281" s="8">
        <v>5</v>
      </c>
      <c r="O1281" s="14">
        <f t="shared" si="205"/>
        <v>95</v>
      </c>
      <c r="P1281" s="8">
        <v>20</v>
      </c>
      <c r="Q1281" s="8">
        <f t="shared" si="207"/>
        <v>0.25</v>
      </c>
      <c r="R1281" s="8">
        <f t="shared" si="208"/>
        <v>3.333333333333333</v>
      </c>
      <c r="S1281" s="8">
        <f t="shared" si="206"/>
        <v>3.583333333333333</v>
      </c>
      <c r="T1281" s="22">
        <f t="shared" si="210"/>
        <v>7.0316200852676453E-2</v>
      </c>
      <c r="U1281" s="19">
        <f t="shared" si="211"/>
        <v>6187.8874644718344</v>
      </c>
      <c r="V1281" s="29" t="s">
        <v>2983</v>
      </c>
    </row>
    <row r="1282" spans="1:22" ht="15" customHeight="1" x14ac:dyDescent="0.25">
      <c r="A1282" t="s">
        <v>518</v>
      </c>
      <c r="B1282" t="s">
        <v>1091</v>
      </c>
      <c r="C1282" t="s">
        <v>1133</v>
      </c>
      <c r="D1282" t="s">
        <v>1134</v>
      </c>
      <c r="E1282" t="s">
        <v>833</v>
      </c>
      <c r="F1282" s="5">
        <v>47.4</v>
      </c>
      <c r="G1282" t="s">
        <v>1121</v>
      </c>
      <c r="H1282" s="3">
        <v>1430</v>
      </c>
      <c r="I1282" s="3">
        <v>630</v>
      </c>
      <c r="J1282" s="3">
        <v>630</v>
      </c>
      <c r="K1282" s="3">
        <v>90</v>
      </c>
      <c r="L1282">
        <f t="shared" ref="L1282:L1345" si="212">J1282*I1282*H1282/1000000</f>
        <v>567.56700000000001</v>
      </c>
      <c r="M1282">
        <f t="shared" si="209"/>
        <v>1135.134</v>
      </c>
      <c r="N1282" s="8">
        <v>2</v>
      </c>
      <c r="O1282" s="14">
        <f t="shared" ref="O1282:O1345" si="213">N1282*F1282</f>
        <v>94.8</v>
      </c>
      <c r="P1282" s="8">
        <v>20</v>
      </c>
      <c r="Q1282" s="8">
        <f t="shared" si="207"/>
        <v>0.1</v>
      </c>
      <c r="R1282" s="8">
        <f t="shared" si="208"/>
        <v>1.3333333333333333</v>
      </c>
      <c r="S1282" s="8">
        <f t="shared" ref="S1282:S1345" si="214">Q1282+R1282</f>
        <v>1.4333333333333333</v>
      </c>
      <c r="T1282" s="22">
        <f t="shared" si="210"/>
        <v>7.0168166745618196E-2</v>
      </c>
      <c r="U1282" s="19">
        <f t="shared" si="211"/>
        <v>6187.9576326385804</v>
      </c>
      <c r="V1282" s="29" t="s">
        <v>2983</v>
      </c>
    </row>
    <row r="1283" spans="1:22" ht="15" customHeight="1" x14ac:dyDescent="0.25">
      <c r="A1283" t="s">
        <v>518</v>
      </c>
      <c r="B1283" t="s">
        <v>1091</v>
      </c>
      <c r="C1283" t="s">
        <v>1094</v>
      </c>
      <c r="D1283" t="s">
        <v>1093</v>
      </c>
      <c r="E1283" t="s">
        <v>833</v>
      </c>
      <c r="F1283" s="5">
        <v>44</v>
      </c>
      <c r="G1283" t="s">
        <v>1095</v>
      </c>
      <c r="H1283" s="3">
        <v>300</v>
      </c>
      <c r="I1283" s="3">
        <v>450</v>
      </c>
      <c r="J1283" s="3">
        <v>200</v>
      </c>
      <c r="K1283" s="3">
        <v>60</v>
      </c>
      <c r="L1283">
        <f t="shared" si="212"/>
        <v>27</v>
      </c>
      <c r="M1283">
        <f t="shared" si="209"/>
        <v>54</v>
      </c>
      <c r="N1283" s="8">
        <v>2</v>
      </c>
      <c r="O1283" s="14">
        <f t="shared" si="213"/>
        <v>88</v>
      </c>
      <c r="P1283" s="8">
        <v>20</v>
      </c>
      <c r="Q1283" s="8">
        <f t="shared" si="207"/>
        <v>0.1</v>
      </c>
      <c r="R1283" s="8">
        <f t="shared" si="208"/>
        <v>1.3333333333333333</v>
      </c>
      <c r="S1283" s="8">
        <f t="shared" si="214"/>
        <v>1.4333333333333333</v>
      </c>
      <c r="T1283" s="22">
        <f t="shared" si="210"/>
        <v>6.5135007105637147E-2</v>
      </c>
      <c r="U1283" s="19">
        <f t="shared" si="211"/>
        <v>6188.0227676456861</v>
      </c>
      <c r="V1283" s="29" t="s">
        <v>2983</v>
      </c>
    </row>
    <row r="1284" spans="1:22" ht="15" customHeight="1" x14ac:dyDescent="0.25">
      <c r="A1284" t="s">
        <v>518</v>
      </c>
      <c r="B1284" t="s">
        <v>1091</v>
      </c>
      <c r="C1284" t="s">
        <v>1100</v>
      </c>
      <c r="D1284" t="s">
        <v>1101</v>
      </c>
      <c r="E1284" t="s">
        <v>833</v>
      </c>
      <c r="F1284" s="5">
        <v>44</v>
      </c>
      <c r="G1284" t="s">
        <v>1095</v>
      </c>
      <c r="H1284" s="3">
        <v>300</v>
      </c>
      <c r="I1284" s="3">
        <v>450</v>
      </c>
      <c r="J1284" s="3">
        <v>200</v>
      </c>
      <c r="K1284" s="3">
        <v>60</v>
      </c>
      <c r="L1284">
        <f t="shared" si="212"/>
        <v>27</v>
      </c>
      <c r="M1284">
        <f t="shared" si="209"/>
        <v>54</v>
      </c>
      <c r="N1284" s="8">
        <v>2</v>
      </c>
      <c r="O1284" s="14">
        <f t="shared" si="213"/>
        <v>88</v>
      </c>
      <c r="P1284" s="8">
        <v>20</v>
      </c>
      <c r="Q1284" s="8">
        <f t="shared" si="207"/>
        <v>0.1</v>
      </c>
      <c r="R1284" s="8">
        <f t="shared" si="208"/>
        <v>1.3333333333333333</v>
      </c>
      <c r="S1284" s="8">
        <f t="shared" si="214"/>
        <v>1.4333333333333333</v>
      </c>
      <c r="T1284" s="22">
        <f t="shared" si="210"/>
        <v>6.5135007105637147E-2</v>
      </c>
      <c r="U1284" s="19">
        <f t="shared" si="211"/>
        <v>6188.0879026527919</v>
      </c>
      <c r="V1284" s="29" t="s">
        <v>2983</v>
      </c>
    </row>
    <row r="1285" spans="1:22" ht="15" customHeight="1" x14ac:dyDescent="0.25">
      <c r="A1285" t="s">
        <v>518</v>
      </c>
      <c r="B1285" t="s">
        <v>1090</v>
      </c>
      <c r="C1285" t="s">
        <v>2350</v>
      </c>
      <c r="D1285" t="s">
        <v>723</v>
      </c>
      <c r="E1285" t="s">
        <v>234</v>
      </c>
      <c r="F1285" s="5">
        <v>17.5</v>
      </c>
      <c r="G1285" t="s">
        <v>2351</v>
      </c>
      <c r="H1285" s="3">
        <v>100</v>
      </c>
      <c r="I1285" s="3">
        <v>100</v>
      </c>
      <c r="J1285" s="3">
        <v>100</v>
      </c>
      <c r="K1285" s="3">
        <v>3.92</v>
      </c>
      <c r="L1285">
        <f t="shared" si="212"/>
        <v>1</v>
      </c>
      <c r="M1285">
        <f t="shared" si="209"/>
        <v>5</v>
      </c>
      <c r="N1285" s="8">
        <v>5</v>
      </c>
      <c r="O1285" s="14">
        <f t="shared" si="213"/>
        <v>87.5</v>
      </c>
      <c r="P1285" s="8">
        <v>20</v>
      </c>
      <c r="Q1285" s="8">
        <f t="shared" si="207"/>
        <v>0.25</v>
      </c>
      <c r="R1285" s="8">
        <f t="shared" si="208"/>
        <v>3.333333333333333</v>
      </c>
      <c r="S1285" s="8">
        <f t="shared" si="214"/>
        <v>3.583333333333333</v>
      </c>
      <c r="T1285" s="22">
        <f t="shared" si="210"/>
        <v>6.4764921837991471E-2</v>
      </c>
      <c r="U1285" s="19">
        <f t="shared" si="211"/>
        <v>6188.15266757463</v>
      </c>
      <c r="V1285" s="29" t="s">
        <v>2983</v>
      </c>
    </row>
    <row r="1286" spans="1:22" ht="15" customHeight="1" x14ac:dyDescent="0.25">
      <c r="A1286" t="s">
        <v>518</v>
      </c>
      <c r="B1286" t="s">
        <v>1090</v>
      </c>
      <c r="C1286" t="s">
        <v>2387</v>
      </c>
      <c r="D1286" t="s">
        <v>2260</v>
      </c>
      <c r="E1286" t="s">
        <v>234</v>
      </c>
      <c r="F1286" s="5">
        <v>16.899999999999999</v>
      </c>
      <c r="G1286" t="s">
        <v>683</v>
      </c>
      <c r="H1286" s="3">
        <v>30</v>
      </c>
      <c r="I1286" s="3">
        <v>150</v>
      </c>
      <c r="J1286" s="3">
        <v>37.5</v>
      </c>
      <c r="K1286" s="3">
        <v>10.4</v>
      </c>
      <c r="L1286">
        <f t="shared" si="212"/>
        <v>0.16875000000000001</v>
      </c>
      <c r="M1286">
        <f t="shared" si="209"/>
        <v>0.84375</v>
      </c>
      <c r="N1286" s="8">
        <v>5</v>
      </c>
      <c r="O1286" s="14">
        <f t="shared" si="213"/>
        <v>84.5</v>
      </c>
      <c r="P1286" s="8">
        <v>20</v>
      </c>
      <c r="Q1286" s="8">
        <f t="shared" si="207"/>
        <v>0.25</v>
      </c>
      <c r="R1286" s="8">
        <f t="shared" si="208"/>
        <v>3.333333333333333</v>
      </c>
      <c r="S1286" s="8">
        <f t="shared" si="214"/>
        <v>3.583333333333333</v>
      </c>
      <c r="T1286" s="22">
        <f t="shared" si="210"/>
        <v>6.2544410232117487E-2</v>
      </c>
      <c r="U1286" s="19">
        <f t="shared" si="211"/>
        <v>6188.2152119848624</v>
      </c>
      <c r="V1286" s="29" t="s">
        <v>2983</v>
      </c>
    </row>
    <row r="1287" spans="1:22" ht="15" customHeight="1" x14ac:dyDescent="0.25">
      <c r="A1287" t="s">
        <v>518</v>
      </c>
      <c r="B1287" t="s">
        <v>1091</v>
      </c>
      <c r="C1287" t="s">
        <v>1198</v>
      </c>
      <c r="D1287" t="s">
        <v>1199</v>
      </c>
      <c r="E1287" t="s">
        <v>833</v>
      </c>
      <c r="F1287" s="5">
        <v>40.799999999999997</v>
      </c>
      <c r="G1287" t="s">
        <v>1157</v>
      </c>
      <c r="H1287" s="3">
        <v>31.5</v>
      </c>
      <c r="I1287" s="3">
        <v>25.5</v>
      </c>
      <c r="J1287" s="3">
        <v>13.5</v>
      </c>
      <c r="K1287" s="3">
        <v>6.9050000000000002</v>
      </c>
      <c r="L1287">
        <f t="shared" si="212"/>
        <v>1.0843874999999999E-2</v>
      </c>
      <c r="M1287">
        <f t="shared" si="209"/>
        <v>2.1687749999999999E-2</v>
      </c>
      <c r="N1287" s="8">
        <v>2</v>
      </c>
      <c r="O1287" s="14">
        <f t="shared" si="213"/>
        <v>81.599999999999994</v>
      </c>
      <c r="P1287" s="8">
        <v>20</v>
      </c>
      <c r="Q1287" s="8">
        <f t="shared" si="207"/>
        <v>0.1</v>
      </c>
      <c r="R1287" s="8">
        <f t="shared" si="208"/>
        <v>1.3333333333333333</v>
      </c>
      <c r="S1287" s="8">
        <f t="shared" si="214"/>
        <v>1.4333333333333333</v>
      </c>
      <c r="T1287" s="22">
        <f t="shared" si="210"/>
        <v>6.0397915679772617E-2</v>
      </c>
      <c r="U1287" s="19">
        <f t="shared" si="211"/>
        <v>6188.2756099005419</v>
      </c>
      <c r="V1287" s="29" t="s">
        <v>2983</v>
      </c>
    </row>
    <row r="1288" spans="1:22" ht="15" customHeight="1" x14ac:dyDescent="0.25">
      <c r="A1288" t="s">
        <v>518</v>
      </c>
      <c r="B1288" t="s">
        <v>637</v>
      </c>
      <c r="C1288" t="s">
        <v>2300</v>
      </c>
      <c r="D1288" t="s">
        <v>2309</v>
      </c>
      <c r="E1288" t="s">
        <v>24</v>
      </c>
      <c r="F1288" s="5">
        <v>3.34</v>
      </c>
      <c r="G1288" t="s">
        <v>710</v>
      </c>
      <c r="H1288" s="3">
        <v>4</v>
      </c>
      <c r="I1288" s="3">
        <v>2</v>
      </c>
      <c r="J1288" s="3">
        <v>5</v>
      </c>
      <c r="K1288" s="3">
        <v>0.5</v>
      </c>
      <c r="L1288">
        <f t="shared" si="212"/>
        <v>4.0000000000000003E-5</v>
      </c>
      <c r="M1288">
        <f t="shared" si="209"/>
        <v>9.6000000000000013E-4</v>
      </c>
      <c r="N1288" s="8">
        <v>24</v>
      </c>
      <c r="O1288" s="14">
        <f t="shared" si="213"/>
        <v>80.16</v>
      </c>
      <c r="P1288" s="8">
        <v>20</v>
      </c>
      <c r="Q1288" s="8">
        <f t="shared" si="207"/>
        <v>1.2</v>
      </c>
      <c r="R1288" s="8">
        <f t="shared" si="208"/>
        <v>16</v>
      </c>
      <c r="S1288" s="8">
        <f t="shared" si="214"/>
        <v>17.2</v>
      </c>
      <c r="T1288" s="22">
        <f t="shared" si="210"/>
        <v>5.9332070108953104E-2</v>
      </c>
      <c r="U1288" s="19">
        <f t="shared" si="211"/>
        <v>6188.334941970651</v>
      </c>
      <c r="V1288" s="29" t="s">
        <v>2983</v>
      </c>
    </row>
    <row r="1289" spans="1:22" ht="15" customHeight="1" x14ac:dyDescent="0.25">
      <c r="A1289" t="s">
        <v>518</v>
      </c>
      <c r="B1289" t="s">
        <v>1091</v>
      </c>
      <c r="C1289" t="s">
        <v>1092</v>
      </c>
      <c r="D1289" t="s">
        <v>1093</v>
      </c>
      <c r="E1289" t="s">
        <v>833</v>
      </c>
      <c r="F1289" s="5">
        <v>39.6</v>
      </c>
      <c r="G1289" t="s">
        <v>512</v>
      </c>
      <c r="H1289" s="3">
        <v>300</v>
      </c>
      <c r="I1289" s="3">
        <v>450</v>
      </c>
      <c r="J1289" s="3">
        <v>200</v>
      </c>
      <c r="K1289" s="3">
        <v>60</v>
      </c>
      <c r="L1289">
        <f t="shared" si="212"/>
        <v>27</v>
      </c>
      <c r="M1289">
        <f t="shared" si="209"/>
        <v>54</v>
      </c>
      <c r="N1289" s="8">
        <v>2</v>
      </c>
      <c r="O1289" s="14">
        <f t="shared" si="213"/>
        <v>79.2</v>
      </c>
      <c r="P1289" s="8">
        <v>20</v>
      </c>
      <c r="Q1289" s="8">
        <f t="shared" si="207"/>
        <v>0.1</v>
      </c>
      <c r="R1289" s="8">
        <f t="shared" si="208"/>
        <v>1.3333333333333333</v>
      </c>
      <c r="S1289" s="8">
        <f t="shared" si="214"/>
        <v>1.4333333333333333</v>
      </c>
      <c r="T1289" s="22">
        <f t="shared" si="210"/>
        <v>5.8621506395073429E-2</v>
      </c>
      <c r="U1289" s="19">
        <f t="shared" si="211"/>
        <v>6188.393563477046</v>
      </c>
      <c r="V1289" s="29" t="s">
        <v>2983</v>
      </c>
    </row>
    <row r="1290" spans="1:22" ht="15" customHeight="1" x14ac:dyDescent="0.25">
      <c r="A1290" t="s">
        <v>518</v>
      </c>
      <c r="B1290" t="s">
        <v>1091</v>
      </c>
      <c r="C1290" t="s">
        <v>1174</v>
      </c>
      <c r="D1290" t="s">
        <v>1175</v>
      </c>
      <c r="E1290" t="s">
        <v>833</v>
      </c>
      <c r="F1290" s="5">
        <v>39.6</v>
      </c>
      <c r="G1290" t="s">
        <v>1139</v>
      </c>
      <c r="H1290" s="3">
        <v>150</v>
      </c>
      <c r="I1290" s="3">
        <v>173</v>
      </c>
      <c r="J1290" s="3">
        <v>85</v>
      </c>
      <c r="K1290" s="3">
        <v>10</v>
      </c>
      <c r="L1290">
        <f t="shared" si="212"/>
        <v>2.2057500000000001</v>
      </c>
      <c r="M1290">
        <f t="shared" si="209"/>
        <v>4.4115000000000002</v>
      </c>
      <c r="N1290" s="8">
        <v>2</v>
      </c>
      <c r="O1290" s="14">
        <f t="shared" si="213"/>
        <v>79.2</v>
      </c>
      <c r="P1290" s="8">
        <v>20</v>
      </c>
      <c r="Q1290" s="8">
        <f t="shared" si="207"/>
        <v>0.1</v>
      </c>
      <c r="R1290" s="8">
        <f t="shared" si="208"/>
        <v>1.3333333333333333</v>
      </c>
      <c r="S1290" s="8">
        <f t="shared" si="214"/>
        <v>1.4333333333333333</v>
      </c>
      <c r="T1290" s="22">
        <f t="shared" si="210"/>
        <v>5.8621506395073429E-2</v>
      </c>
      <c r="U1290" s="19">
        <f t="shared" si="211"/>
        <v>6188.4521849834409</v>
      </c>
      <c r="V1290" s="29" t="s">
        <v>2983</v>
      </c>
    </row>
    <row r="1291" spans="1:22" ht="15" customHeight="1" x14ac:dyDescent="0.25">
      <c r="A1291" t="s">
        <v>518</v>
      </c>
      <c r="B1291" t="s">
        <v>1091</v>
      </c>
      <c r="C1291" t="s">
        <v>1220</v>
      </c>
      <c r="D1291" t="s">
        <v>1221</v>
      </c>
      <c r="E1291" t="s">
        <v>833</v>
      </c>
      <c r="F1291" s="5">
        <v>37.67</v>
      </c>
      <c r="G1291" t="s">
        <v>1222</v>
      </c>
      <c r="H1291" s="3">
        <v>25</v>
      </c>
      <c r="I1291" s="3">
        <v>22.5</v>
      </c>
      <c r="J1291" s="3">
        <v>21.5</v>
      </c>
      <c r="K1291" s="3">
        <v>3.8149999999999999</v>
      </c>
      <c r="L1291">
        <f t="shared" si="212"/>
        <v>1.209375E-2</v>
      </c>
      <c r="M1291">
        <f t="shared" si="209"/>
        <v>2.4187500000000001E-2</v>
      </c>
      <c r="N1291" s="8">
        <v>2</v>
      </c>
      <c r="O1291" s="14">
        <f t="shared" si="213"/>
        <v>75.34</v>
      </c>
      <c r="P1291" s="8">
        <v>20</v>
      </c>
      <c r="Q1291" s="8">
        <f t="shared" si="207"/>
        <v>0.1</v>
      </c>
      <c r="R1291" s="8">
        <f t="shared" si="208"/>
        <v>1.3333333333333333</v>
      </c>
      <c r="S1291" s="8">
        <f t="shared" si="214"/>
        <v>1.4333333333333333</v>
      </c>
      <c r="T1291" s="22">
        <f t="shared" si="210"/>
        <v>5.5764448128848891E-2</v>
      </c>
      <c r="U1291" s="19">
        <f t="shared" si="211"/>
        <v>6188.5079494315696</v>
      </c>
      <c r="V1291" s="29" t="s">
        <v>2983</v>
      </c>
    </row>
    <row r="1292" spans="1:22" ht="15" customHeight="1" x14ac:dyDescent="0.25">
      <c r="A1292" t="s">
        <v>518</v>
      </c>
      <c r="B1292" t="s">
        <v>1090</v>
      </c>
      <c r="C1292" t="s">
        <v>2385</v>
      </c>
      <c r="D1292" t="s">
        <v>739</v>
      </c>
      <c r="E1292" t="s">
        <v>234</v>
      </c>
      <c r="F1292" s="5">
        <v>15</v>
      </c>
      <c r="G1292" t="s">
        <v>140</v>
      </c>
      <c r="H1292" s="3">
        <v>15</v>
      </c>
      <c r="I1292" s="3">
        <v>20</v>
      </c>
      <c r="J1292" s="3">
        <v>30</v>
      </c>
      <c r="K1292" s="3">
        <v>0.5</v>
      </c>
      <c r="L1292">
        <f t="shared" si="212"/>
        <v>8.9999999999999993E-3</v>
      </c>
      <c r="M1292">
        <f t="shared" si="209"/>
        <v>4.4999999999999998E-2</v>
      </c>
      <c r="N1292" s="8">
        <v>5</v>
      </c>
      <c r="O1292" s="14">
        <f t="shared" si="213"/>
        <v>75</v>
      </c>
      <c r="P1292" s="8">
        <v>20</v>
      </c>
      <c r="Q1292" s="8">
        <f t="shared" si="207"/>
        <v>0.25</v>
      </c>
      <c r="R1292" s="8">
        <f t="shared" si="208"/>
        <v>3.333333333333333</v>
      </c>
      <c r="S1292" s="8">
        <f t="shared" si="214"/>
        <v>3.583333333333333</v>
      </c>
      <c r="T1292" s="22">
        <f t="shared" si="210"/>
        <v>5.5512790146849837E-2</v>
      </c>
      <c r="U1292" s="19">
        <f t="shared" si="211"/>
        <v>6188.5634622217167</v>
      </c>
      <c r="V1292" s="29" t="s">
        <v>2983</v>
      </c>
    </row>
    <row r="1293" spans="1:22" ht="15" customHeight="1" x14ac:dyDescent="0.25">
      <c r="A1293" t="s">
        <v>518</v>
      </c>
      <c r="B1293" t="s">
        <v>1090</v>
      </c>
      <c r="C1293" t="s">
        <v>2387</v>
      </c>
      <c r="D1293" t="s">
        <v>2260</v>
      </c>
      <c r="E1293" t="s">
        <v>234</v>
      </c>
      <c r="F1293" s="5">
        <v>14.9</v>
      </c>
      <c r="G1293" t="s">
        <v>683</v>
      </c>
      <c r="H1293" s="3">
        <v>17.5</v>
      </c>
      <c r="I1293" s="3">
        <v>35</v>
      </c>
      <c r="J1293" s="3">
        <v>25</v>
      </c>
      <c r="K1293" s="3">
        <v>11.7</v>
      </c>
      <c r="L1293">
        <f t="shared" si="212"/>
        <v>1.53125E-2</v>
      </c>
      <c r="M1293">
        <f t="shared" si="209"/>
        <v>7.6562500000000006E-2</v>
      </c>
      <c r="N1293" s="8">
        <v>5</v>
      </c>
      <c r="O1293" s="14">
        <f t="shared" si="213"/>
        <v>74.5</v>
      </c>
      <c r="P1293" s="8">
        <v>20</v>
      </c>
      <c r="Q1293" s="8">
        <f t="shared" si="207"/>
        <v>0.25</v>
      </c>
      <c r="R1293" s="8">
        <f t="shared" si="208"/>
        <v>3.333333333333333</v>
      </c>
      <c r="S1293" s="8">
        <f t="shared" si="214"/>
        <v>3.583333333333333</v>
      </c>
      <c r="T1293" s="22">
        <f t="shared" si="210"/>
        <v>5.5142704879204169E-2</v>
      </c>
      <c r="U1293" s="19">
        <f t="shared" si="211"/>
        <v>6188.6186049265962</v>
      </c>
      <c r="V1293" s="29" t="s">
        <v>2983</v>
      </c>
    </row>
    <row r="1294" spans="1:22" ht="15" customHeight="1" x14ac:dyDescent="0.25">
      <c r="A1294" t="s">
        <v>518</v>
      </c>
      <c r="B1294" t="s">
        <v>1091</v>
      </c>
      <c r="C1294" t="s">
        <v>1158</v>
      </c>
      <c r="D1294" t="s">
        <v>1159</v>
      </c>
      <c r="E1294" t="s">
        <v>833</v>
      </c>
      <c r="F1294" s="5">
        <v>36</v>
      </c>
      <c r="G1294" t="s">
        <v>1157</v>
      </c>
      <c r="H1294" s="3">
        <v>200</v>
      </c>
      <c r="I1294" s="3">
        <v>360</v>
      </c>
      <c r="J1294" s="3">
        <v>380</v>
      </c>
      <c r="K1294" s="3">
        <v>32</v>
      </c>
      <c r="L1294">
        <f t="shared" si="212"/>
        <v>27.36</v>
      </c>
      <c r="M1294">
        <f t="shared" si="209"/>
        <v>54.72</v>
      </c>
      <c r="N1294" s="8">
        <v>2</v>
      </c>
      <c r="O1294" s="14">
        <f t="shared" si="213"/>
        <v>72</v>
      </c>
      <c r="P1294" s="8">
        <v>20</v>
      </c>
      <c r="Q1294" s="8">
        <f t="shared" si="207"/>
        <v>0.1</v>
      </c>
      <c r="R1294" s="8">
        <f t="shared" si="208"/>
        <v>1.3333333333333333</v>
      </c>
      <c r="S1294" s="8">
        <f t="shared" si="214"/>
        <v>1.4333333333333333</v>
      </c>
      <c r="T1294" s="22">
        <f t="shared" si="210"/>
        <v>5.3292278540975839E-2</v>
      </c>
      <c r="U1294" s="19">
        <f t="shared" si="211"/>
        <v>6188.6718972051367</v>
      </c>
      <c r="V1294" s="29" t="s">
        <v>2983</v>
      </c>
    </row>
    <row r="1295" spans="1:22" ht="15" customHeight="1" x14ac:dyDescent="0.25">
      <c r="A1295" t="s">
        <v>518</v>
      </c>
      <c r="B1295" t="s">
        <v>1091</v>
      </c>
      <c r="C1295" t="s">
        <v>1215</v>
      </c>
      <c r="D1295" t="s">
        <v>1216</v>
      </c>
      <c r="E1295" t="s">
        <v>833</v>
      </c>
      <c r="F1295" s="5">
        <v>35.6</v>
      </c>
      <c r="G1295" t="s">
        <v>1214</v>
      </c>
      <c r="H1295">
        <v>22</v>
      </c>
      <c r="I1295">
        <v>10</v>
      </c>
      <c r="J1295">
        <v>20</v>
      </c>
      <c r="K1295" s="3">
        <v>60</v>
      </c>
      <c r="L1295">
        <f t="shared" si="212"/>
        <v>4.4000000000000003E-3</v>
      </c>
      <c r="M1295">
        <f t="shared" si="209"/>
        <v>8.8000000000000005E-3</v>
      </c>
      <c r="N1295" s="8">
        <v>2</v>
      </c>
      <c r="O1295" s="14">
        <f t="shared" si="213"/>
        <v>71.2</v>
      </c>
      <c r="P1295" s="8">
        <v>20</v>
      </c>
      <c r="Q1295" s="8">
        <f t="shared" si="207"/>
        <v>0.1</v>
      </c>
      <c r="R1295" s="8">
        <f t="shared" si="208"/>
        <v>1.3333333333333333</v>
      </c>
      <c r="S1295" s="8">
        <f t="shared" si="214"/>
        <v>1.4333333333333333</v>
      </c>
      <c r="T1295" s="22">
        <f t="shared" si="210"/>
        <v>5.2700142112742779E-2</v>
      </c>
      <c r="U1295" s="19">
        <f t="shared" si="211"/>
        <v>6188.7245973472491</v>
      </c>
      <c r="V1295" s="29" t="s">
        <v>2983</v>
      </c>
    </row>
    <row r="1296" spans="1:22" ht="15" customHeight="1" x14ac:dyDescent="0.25">
      <c r="A1296" t="s">
        <v>518</v>
      </c>
      <c r="B1296" t="s">
        <v>1091</v>
      </c>
      <c r="C1296" t="s">
        <v>1209</v>
      </c>
      <c r="D1296" t="s">
        <v>1210</v>
      </c>
      <c r="E1296" t="s">
        <v>833</v>
      </c>
      <c r="F1296" s="5">
        <v>35.6</v>
      </c>
      <c r="G1296" t="s">
        <v>1211</v>
      </c>
      <c r="H1296" s="3">
        <v>130</v>
      </c>
      <c r="I1296" s="3">
        <v>270</v>
      </c>
      <c r="J1296" s="3">
        <v>90</v>
      </c>
      <c r="K1296" s="3">
        <v>15</v>
      </c>
      <c r="L1296">
        <f t="shared" si="212"/>
        <v>3.1589999999999998</v>
      </c>
      <c r="M1296">
        <f t="shared" si="209"/>
        <v>6.3179999999999996</v>
      </c>
      <c r="N1296" s="8">
        <v>2</v>
      </c>
      <c r="O1296" s="14">
        <f t="shared" si="213"/>
        <v>71.2</v>
      </c>
      <c r="P1296" s="8">
        <v>20</v>
      </c>
      <c r="Q1296" s="8">
        <f t="shared" si="207"/>
        <v>0.1</v>
      </c>
      <c r="R1296" s="8">
        <f t="shared" si="208"/>
        <v>1.3333333333333333</v>
      </c>
      <c r="S1296" s="8">
        <f t="shared" si="214"/>
        <v>1.4333333333333333</v>
      </c>
      <c r="T1296" s="22">
        <f t="shared" si="210"/>
        <v>5.2700142112742779E-2</v>
      </c>
      <c r="U1296" s="19">
        <f t="shared" si="211"/>
        <v>6188.7772974893614</v>
      </c>
      <c r="V1296" s="29" t="s">
        <v>2983</v>
      </c>
    </row>
    <row r="1297" spans="1:22" ht="15" customHeight="1" x14ac:dyDescent="0.25">
      <c r="A1297" t="s">
        <v>518</v>
      </c>
      <c r="B1297" t="s">
        <v>1091</v>
      </c>
      <c r="C1297" t="s">
        <v>1212</v>
      </c>
      <c r="D1297" t="s">
        <v>1213</v>
      </c>
      <c r="E1297" t="s">
        <v>833</v>
      </c>
      <c r="F1297" s="5">
        <v>35.200000000000003</v>
      </c>
      <c r="G1297" t="s">
        <v>1214</v>
      </c>
      <c r="H1297">
        <v>12</v>
      </c>
      <c r="I1297">
        <v>91</v>
      </c>
      <c r="J1297">
        <v>20</v>
      </c>
      <c r="K1297" s="3">
        <v>74.5</v>
      </c>
      <c r="L1297">
        <f t="shared" si="212"/>
        <v>2.1839999999999998E-2</v>
      </c>
      <c r="M1297">
        <f t="shared" si="209"/>
        <v>4.3679999999999997E-2</v>
      </c>
      <c r="N1297" s="8">
        <v>2</v>
      </c>
      <c r="O1297" s="14">
        <f t="shared" si="213"/>
        <v>70.400000000000006</v>
      </c>
      <c r="P1297" s="8">
        <v>20</v>
      </c>
      <c r="Q1297" s="8">
        <f t="shared" si="207"/>
        <v>0.1</v>
      </c>
      <c r="R1297" s="8">
        <f t="shared" si="208"/>
        <v>1.3333333333333333</v>
      </c>
      <c r="S1297" s="8">
        <f t="shared" si="214"/>
        <v>1.4333333333333333</v>
      </c>
      <c r="T1297" s="22">
        <f t="shared" si="210"/>
        <v>5.2108005684509719E-2</v>
      </c>
      <c r="U1297" s="19">
        <f t="shared" si="211"/>
        <v>6188.8294054950456</v>
      </c>
      <c r="V1297" s="29" t="s">
        <v>2983</v>
      </c>
    </row>
    <row r="1298" spans="1:22" ht="15" customHeight="1" x14ac:dyDescent="0.25">
      <c r="A1298" t="s">
        <v>518</v>
      </c>
      <c r="B1298" t="s">
        <v>1091</v>
      </c>
      <c r="C1298" t="s">
        <v>1160</v>
      </c>
      <c r="D1298" t="s">
        <v>1161</v>
      </c>
      <c r="E1298" t="s">
        <v>833</v>
      </c>
      <c r="F1298" s="5">
        <v>34</v>
      </c>
      <c r="G1298" t="s">
        <v>512</v>
      </c>
      <c r="H1298" s="3">
        <v>380</v>
      </c>
      <c r="I1298" s="3">
        <v>320</v>
      </c>
      <c r="J1298" s="3">
        <v>260</v>
      </c>
      <c r="K1298" s="3">
        <v>12.5</v>
      </c>
      <c r="L1298">
        <f t="shared" si="212"/>
        <v>31.616</v>
      </c>
      <c r="M1298">
        <f t="shared" si="209"/>
        <v>63.231999999999999</v>
      </c>
      <c r="N1298" s="8">
        <v>2</v>
      </c>
      <c r="O1298" s="14">
        <f t="shared" si="213"/>
        <v>68</v>
      </c>
      <c r="P1298" s="8">
        <v>20</v>
      </c>
      <c r="Q1298" s="8">
        <f t="shared" si="207"/>
        <v>0.1</v>
      </c>
      <c r="R1298" s="8">
        <f t="shared" si="208"/>
        <v>1.3333333333333333</v>
      </c>
      <c r="S1298" s="8">
        <f t="shared" si="214"/>
        <v>1.4333333333333333</v>
      </c>
      <c r="T1298" s="22">
        <f t="shared" si="210"/>
        <v>5.0331596399810517E-2</v>
      </c>
      <c r="U1298" s="19">
        <f t="shared" si="211"/>
        <v>6188.8797370914453</v>
      </c>
      <c r="V1298" s="29" t="s">
        <v>2983</v>
      </c>
    </row>
    <row r="1299" spans="1:22" ht="15" customHeight="1" x14ac:dyDescent="0.25">
      <c r="A1299" t="s">
        <v>518</v>
      </c>
      <c r="B1299" t="s">
        <v>1091</v>
      </c>
      <c r="C1299" t="s">
        <v>2185</v>
      </c>
      <c r="D1299" t="s">
        <v>871</v>
      </c>
      <c r="E1299" t="s">
        <v>821</v>
      </c>
      <c r="F1299" s="5">
        <v>33.950000000000003</v>
      </c>
      <c r="G1299" t="s">
        <v>872</v>
      </c>
      <c r="H1299" s="3">
        <v>3.2</v>
      </c>
      <c r="I1299" s="3">
        <v>3.2</v>
      </c>
      <c r="J1299" s="3">
        <v>10000</v>
      </c>
      <c r="K1299" s="3">
        <v>10.6</v>
      </c>
      <c r="L1299">
        <f t="shared" si="212"/>
        <v>0.1024</v>
      </c>
      <c r="M1299">
        <f t="shared" si="209"/>
        <v>0.20480000000000001</v>
      </c>
      <c r="N1299" s="8">
        <v>2</v>
      </c>
      <c r="O1299" s="14">
        <f t="shared" si="213"/>
        <v>67.900000000000006</v>
      </c>
      <c r="P1299" s="8">
        <v>20</v>
      </c>
      <c r="Q1299" s="8">
        <f t="shared" si="207"/>
        <v>0.1</v>
      </c>
      <c r="R1299" s="8">
        <f t="shared" si="208"/>
        <v>1.3333333333333333</v>
      </c>
      <c r="S1299" s="8">
        <f t="shared" si="214"/>
        <v>1.4333333333333333</v>
      </c>
      <c r="T1299" s="22">
        <f t="shared" si="210"/>
        <v>5.0257579346281389E-2</v>
      </c>
      <c r="U1299" s="19">
        <f t="shared" si="211"/>
        <v>6188.9299946707915</v>
      </c>
      <c r="V1299" s="29" t="s">
        <v>2983</v>
      </c>
    </row>
    <row r="1300" spans="1:22" ht="15" customHeight="1" x14ac:dyDescent="0.25">
      <c r="A1300" t="s">
        <v>518</v>
      </c>
      <c r="B1300" t="s">
        <v>1091</v>
      </c>
      <c r="C1300" t="s">
        <v>2186</v>
      </c>
      <c r="D1300" t="s">
        <v>873</v>
      </c>
      <c r="E1300" t="s">
        <v>821</v>
      </c>
      <c r="F1300" s="5">
        <v>33.950000000000003</v>
      </c>
      <c r="G1300" t="s">
        <v>872</v>
      </c>
      <c r="H1300" s="3">
        <v>3.2</v>
      </c>
      <c r="I1300" s="3">
        <v>3.2</v>
      </c>
      <c r="J1300" s="3">
        <v>10000</v>
      </c>
      <c r="K1300" s="3">
        <v>10.6</v>
      </c>
      <c r="L1300">
        <f t="shared" si="212"/>
        <v>0.1024</v>
      </c>
      <c r="M1300">
        <f t="shared" si="209"/>
        <v>0.20480000000000001</v>
      </c>
      <c r="N1300" s="8">
        <v>2</v>
      </c>
      <c r="O1300" s="14">
        <f t="shared" si="213"/>
        <v>67.900000000000006</v>
      </c>
      <c r="P1300" s="8">
        <v>20</v>
      </c>
      <c r="Q1300" s="8">
        <f t="shared" si="207"/>
        <v>0.1</v>
      </c>
      <c r="R1300" s="8">
        <f t="shared" si="208"/>
        <v>1.3333333333333333</v>
      </c>
      <c r="S1300" s="8">
        <f t="shared" si="214"/>
        <v>1.4333333333333333</v>
      </c>
      <c r="T1300" s="22">
        <f t="shared" si="210"/>
        <v>5.0257579346281389E-2</v>
      </c>
      <c r="U1300" s="19">
        <f t="shared" si="211"/>
        <v>6188.9802522501377</v>
      </c>
      <c r="V1300" s="29" t="s">
        <v>2983</v>
      </c>
    </row>
    <row r="1301" spans="1:22" ht="15" customHeight="1" x14ac:dyDescent="0.25">
      <c r="A1301" t="s">
        <v>518</v>
      </c>
      <c r="B1301" t="s">
        <v>1091</v>
      </c>
      <c r="C1301" t="s">
        <v>2187</v>
      </c>
      <c r="D1301" t="s">
        <v>874</v>
      </c>
      <c r="E1301" t="s">
        <v>821</v>
      </c>
      <c r="F1301" s="5">
        <v>33.950000000000003</v>
      </c>
      <c r="G1301" t="s">
        <v>872</v>
      </c>
      <c r="H1301" s="3">
        <v>3.2</v>
      </c>
      <c r="I1301" s="3">
        <v>3.2</v>
      </c>
      <c r="J1301" s="3">
        <v>10000</v>
      </c>
      <c r="K1301" s="3">
        <v>10.6</v>
      </c>
      <c r="L1301">
        <f t="shared" si="212"/>
        <v>0.1024</v>
      </c>
      <c r="M1301">
        <f t="shared" si="209"/>
        <v>0.20480000000000001</v>
      </c>
      <c r="N1301" s="8">
        <v>2</v>
      </c>
      <c r="O1301" s="14">
        <f t="shared" si="213"/>
        <v>67.900000000000006</v>
      </c>
      <c r="P1301" s="8">
        <v>20</v>
      </c>
      <c r="Q1301" s="8">
        <f t="shared" si="207"/>
        <v>0.1</v>
      </c>
      <c r="R1301" s="8">
        <f t="shared" si="208"/>
        <v>1.3333333333333333</v>
      </c>
      <c r="S1301" s="8">
        <f t="shared" si="214"/>
        <v>1.4333333333333333</v>
      </c>
      <c r="T1301" s="22">
        <f t="shared" si="210"/>
        <v>5.0257579346281389E-2</v>
      </c>
      <c r="U1301" s="19">
        <f t="shared" si="211"/>
        <v>6189.0305098294839</v>
      </c>
      <c r="V1301" s="29" t="s">
        <v>2983</v>
      </c>
    </row>
    <row r="1302" spans="1:22" ht="15" customHeight="1" x14ac:dyDescent="0.25">
      <c r="A1302" t="s">
        <v>518</v>
      </c>
      <c r="B1302" t="s">
        <v>1091</v>
      </c>
      <c r="C1302" t="s">
        <v>2188</v>
      </c>
      <c r="D1302" t="s">
        <v>875</v>
      </c>
      <c r="E1302" t="s">
        <v>821</v>
      </c>
      <c r="F1302" s="5">
        <v>33.950000000000003</v>
      </c>
      <c r="G1302" t="s">
        <v>872</v>
      </c>
      <c r="H1302" s="3">
        <v>3.2</v>
      </c>
      <c r="I1302" s="3">
        <v>3.2</v>
      </c>
      <c r="J1302" s="3">
        <v>10000</v>
      </c>
      <c r="K1302" s="3">
        <v>10.6</v>
      </c>
      <c r="L1302">
        <f t="shared" si="212"/>
        <v>0.1024</v>
      </c>
      <c r="M1302">
        <f t="shared" si="209"/>
        <v>0.20480000000000001</v>
      </c>
      <c r="N1302" s="8">
        <v>2</v>
      </c>
      <c r="O1302" s="14">
        <f t="shared" si="213"/>
        <v>67.900000000000006</v>
      </c>
      <c r="P1302" s="8">
        <v>20</v>
      </c>
      <c r="Q1302" s="8">
        <f t="shared" si="207"/>
        <v>0.1</v>
      </c>
      <c r="R1302" s="8">
        <f t="shared" si="208"/>
        <v>1.3333333333333333</v>
      </c>
      <c r="S1302" s="8">
        <f t="shared" si="214"/>
        <v>1.4333333333333333</v>
      </c>
      <c r="T1302" s="22">
        <f t="shared" si="210"/>
        <v>5.0257579346281389E-2</v>
      </c>
      <c r="U1302" s="19">
        <f t="shared" si="211"/>
        <v>6189.0807674088301</v>
      </c>
      <c r="V1302" s="29" t="s">
        <v>2983</v>
      </c>
    </row>
    <row r="1303" spans="1:22" ht="15" customHeight="1" x14ac:dyDescent="0.25">
      <c r="A1303" t="s">
        <v>518</v>
      </c>
      <c r="B1303" t="s">
        <v>1091</v>
      </c>
      <c r="C1303" t="s">
        <v>2189</v>
      </c>
      <c r="D1303" t="s">
        <v>2190</v>
      </c>
      <c r="E1303" t="s">
        <v>821</v>
      </c>
      <c r="F1303" s="5">
        <v>33.9</v>
      </c>
      <c r="G1303" t="s">
        <v>568</v>
      </c>
      <c r="H1303" s="3">
        <v>5.0999999999999996</v>
      </c>
      <c r="I1303" s="3">
        <v>2.9</v>
      </c>
      <c r="J1303" s="3">
        <v>8000</v>
      </c>
      <c r="K1303" s="3">
        <v>11.2</v>
      </c>
      <c r="L1303">
        <f t="shared" si="212"/>
        <v>0.11831999999999998</v>
      </c>
      <c r="M1303">
        <f t="shared" si="209"/>
        <v>0.23663999999999996</v>
      </c>
      <c r="N1303" s="8">
        <v>2</v>
      </c>
      <c r="O1303" s="14">
        <f t="shared" si="213"/>
        <v>67.8</v>
      </c>
      <c r="P1303" s="8">
        <v>20</v>
      </c>
      <c r="Q1303" s="8">
        <f t="shared" si="207"/>
        <v>0.1</v>
      </c>
      <c r="R1303" s="8">
        <f t="shared" si="208"/>
        <v>1.3333333333333333</v>
      </c>
      <c r="S1303" s="8">
        <f t="shared" si="214"/>
        <v>1.4333333333333333</v>
      </c>
      <c r="T1303" s="22">
        <f t="shared" si="210"/>
        <v>5.0183562292752247E-2</v>
      </c>
      <c r="U1303" s="19">
        <f t="shared" si="211"/>
        <v>6189.1309509711227</v>
      </c>
      <c r="V1303" s="29" t="s">
        <v>2983</v>
      </c>
    </row>
    <row r="1304" spans="1:22" ht="15" customHeight="1" x14ac:dyDescent="0.25">
      <c r="A1304" t="s">
        <v>518</v>
      </c>
      <c r="B1304" t="s">
        <v>1091</v>
      </c>
      <c r="C1304" t="s">
        <v>2191</v>
      </c>
      <c r="D1304" t="s">
        <v>2190</v>
      </c>
      <c r="E1304" t="s">
        <v>821</v>
      </c>
      <c r="F1304" s="5">
        <v>33.9</v>
      </c>
      <c r="G1304" t="s">
        <v>568</v>
      </c>
      <c r="H1304" s="3">
        <v>5.0999999999999996</v>
      </c>
      <c r="I1304" s="3">
        <v>2.9</v>
      </c>
      <c r="J1304" s="3">
        <v>8000</v>
      </c>
      <c r="K1304" s="3">
        <v>11.2</v>
      </c>
      <c r="L1304">
        <f t="shared" si="212"/>
        <v>0.11831999999999998</v>
      </c>
      <c r="M1304">
        <f t="shared" si="209"/>
        <v>0.23663999999999996</v>
      </c>
      <c r="N1304" s="8">
        <v>2</v>
      </c>
      <c r="O1304" s="14">
        <f t="shared" si="213"/>
        <v>67.8</v>
      </c>
      <c r="P1304" s="8">
        <v>20</v>
      </c>
      <c r="Q1304" s="8">
        <f t="shared" si="207"/>
        <v>0.1</v>
      </c>
      <c r="R1304" s="8">
        <f t="shared" si="208"/>
        <v>1.3333333333333333</v>
      </c>
      <c r="S1304" s="8">
        <f t="shared" si="214"/>
        <v>1.4333333333333333</v>
      </c>
      <c r="T1304" s="22">
        <f t="shared" si="210"/>
        <v>5.0183562292752247E-2</v>
      </c>
      <c r="U1304" s="19">
        <f t="shared" si="211"/>
        <v>6189.1811345334154</v>
      </c>
      <c r="V1304" s="29" t="s">
        <v>2983</v>
      </c>
    </row>
    <row r="1305" spans="1:22" ht="15" customHeight="1" x14ac:dyDescent="0.25">
      <c r="A1305" t="s">
        <v>518</v>
      </c>
      <c r="B1305" t="s">
        <v>1091</v>
      </c>
      <c r="C1305" t="s">
        <v>1196</v>
      </c>
      <c r="D1305" t="s">
        <v>1197</v>
      </c>
      <c r="E1305" t="s">
        <v>833</v>
      </c>
      <c r="F1305" s="5">
        <v>32.799999999999997</v>
      </c>
      <c r="G1305" t="s">
        <v>512</v>
      </c>
      <c r="H1305" s="3">
        <v>44.5</v>
      </c>
      <c r="I1305" s="3">
        <v>26.5</v>
      </c>
      <c r="J1305" s="3">
        <v>13.5</v>
      </c>
      <c r="K1305" s="3">
        <v>10.425000000000001</v>
      </c>
      <c r="L1305">
        <f t="shared" si="212"/>
        <v>1.5919875E-2</v>
      </c>
      <c r="M1305">
        <f t="shared" si="209"/>
        <v>3.183975E-2</v>
      </c>
      <c r="N1305" s="8">
        <v>2</v>
      </c>
      <c r="O1305" s="14">
        <f t="shared" si="213"/>
        <v>65.599999999999994</v>
      </c>
      <c r="P1305" s="8">
        <v>20</v>
      </c>
      <c r="Q1305" s="8">
        <f t="shared" si="207"/>
        <v>0.1</v>
      </c>
      <c r="R1305" s="8">
        <f t="shared" si="208"/>
        <v>1.3333333333333333</v>
      </c>
      <c r="S1305" s="8">
        <f t="shared" si="214"/>
        <v>1.4333333333333333</v>
      </c>
      <c r="T1305" s="22">
        <f t="shared" si="210"/>
        <v>4.8555187115111316E-2</v>
      </c>
      <c r="U1305" s="19">
        <f t="shared" si="211"/>
        <v>6189.2296897205306</v>
      </c>
      <c r="V1305" s="29" t="s">
        <v>2983</v>
      </c>
    </row>
    <row r="1306" spans="1:22" ht="15" customHeight="1" x14ac:dyDescent="0.25">
      <c r="A1306" t="s">
        <v>518</v>
      </c>
      <c r="B1306" t="s">
        <v>1090</v>
      </c>
      <c r="C1306" t="s">
        <v>2387</v>
      </c>
      <c r="D1306" t="s">
        <v>2260</v>
      </c>
      <c r="E1306" t="s">
        <v>234</v>
      </c>
      <c r="F1306" s="5">
        <v>12.5</v>
      </c>
      <c r="G1306" t="s">
        <v>683</v>
      </c>
      <c r="H1306" s="3">
        <v>25</v>
      </c>
      <c r="I1306" s="3">
        <v>30</v>
      </c>
      <c r="J1306" s="3">
        <v>25</v>
      </c>
      <c r="K1306" s="3">
        <v>7.8</v>
      </c>
      <c r="L1306">
        <f t="shared" si="212"/>
        <v>1.8749999999999999E-2</v>
      </c>
      <c r="M1306">
        <f t="shared" si="209"/>
        <v>9.375E-2</v>
      </c>
      <c r="N1306" s="8">
        <v>5</v>
      </c>
      <c r="O1306" s="14">
        <f t="shared" si="213"/>
        <v>62.5</v>
      </c>
      <c r="P1306" s="8">
        <v>20</v>
      </c>
      <c r="Q1306" s="8">
        <f t="shared" si="207"/>
        <v>0.25</v>
      </c>
      <c r="R1306" s="8">
        <f t="shared" si="208"/>
        <v>3.333333333333333</v>
      </c>
      <c r="S1306" s="8">
        <f t="shared" si="214"/>
        <v>3.583333333333333</v>
      </c>
      <c r="T1306" s="22">
        <f t="shared" si="210"/>
        <v>4.6260658455708197E-2</v>
      </c>
      <c r="U1306" s="19">
        <f t="shared" si="211"/>
        <v>6189.2759503789866</v>
      </c>
      <c r="V1306" s="29" t="s">
        <v>2983</v>
      </c>
    </row>
    <row r="1307" spans="1:22" ht="15" customHeight="1" x14ac:dyDescent="0.25">
      <c r="A1307" t="s">
        <v>518</v>
      </c>
      <c r="B1307" t="s">
        <v>1091</v>
      </c>
      <c r="C1307" t="s">
        <v>2161</v>
      </c>
      <c r="D1307" t="s">
        <v>848</v>
      </c>
      <c r="E1307" t="s">
        <v>833</v>
      </c>
      <c r="F1307" s="5">
        <v>25.9</v>
      </c>
      <c r="G1307" t="s">
        <v>849</v>
      </c>
      <c r="H1307" s="3">
        <v>21.3</v>
      </c>
      <c r="I1307" s="3">
        <v>9.3000000000000007</v>
      </c>
      <c r="J1307" s="3">
        <v>3</v>
      </c>
      <c r="K1307" s="3">
        <v>7.5</v>
      </c>
      <c r="L1307">
        <f t="shared" si="212"/>
        <v>5.9427000000000004E-4</v>
      </c>
      <c r="M1307">
        <f t="shared" si="209"/>
        <v>1.1885400000000001E-3</v>
      </c>
      <c r="N1307" s="8">
        <v>2</v>
      </c>
      <c r="O1307" s="14">
        <f t="shared" si="213"/>
        <v>51.8</v>
      </c>
      <c r="P1307" s="8">
        <v>20</v>
      </c>
      <c r="Q1307" s="8">
        <f t="shared" si="207"/>
        <v>0.1</v>
      </c>
      <c r="R1307" s="8">
        <f t="shared" si="208"/>
        <v>1.3333333333333333</v>
      </c>
      <c r="S1307" s="8">
        <f t="shared" si="214"/>
        <v>1.4333333333333333</v>
      </c>
      <c r="T1307" s="22">
        <f t="shared" si="210"/>
        <v>3.8340833728090953E-2</v>
      </c>
      <c r="U1307" s="19">
        <f t="shared" si="211"/>
        <v>6189.314291212715</v>
      </c>
      <c r="V1307" s="29" t="s">
        <v>2983</v>
      </c>
    </row>
    <row r="1308" spans="1:22" ht="15" customHeight="1" x14ac:dyDescent="0.25">
      <c r="A1308" t="s">
        <v>518</v>
      </c>
      <c r="B1308" t="s">
        <v>1091</v>
      </c>
      <c r="C1308" t="s">
        <v>2162</v>
      </c>
      <c r="D1308" t="s">
        <v>850</v>
      </c>
      <c r="E1308" t="s">
        <v>833</v>
      </c>
      <c r="F1308" s="5">
        <v>25.9</v>
      </c>
      <c r="G1308" t="s">
        <v>849</v>
      </c>
      <c r="H1308" s="3">
        <v>21.3</v>
      </c>
      <c r="I1308" s="3">
        <v>9.3000000000000007</v>
      </c>
      <c r="J1308" s="3">
        <v>3</v>
      </c>
      <c r="K1308" s="3">
        <v>7.5</v>
      </c>
      <c r="L1308">
        <f t="shared" si="212"/>
        <v>5.9427000000000004E-4</v>
      </c>
      <c r="M1308">
        <f t="shared" si="209"/>
        <v>1.1885400000000001E-3</v>
      </c>
      <c r="N1308" s="8">
        <v>2</v>
      </c>
      <c r="O1308" s="14">
        <f t="shared" si="213"/>
        <v>51.8</v>
      </c>
      <c r="P1308" s="8">
        <v>20</v>
      </c>
      <c r="Q1308" s="8">
        <f t="shared" si="207"/>
        <v>0.1</v>
      </c>
      <c r="R1308" s="8">
        <f t="shared" si="208"/>
        <v>1.3333333333333333</v>
      </c>
      <c r="S1308" s="8">
        <f t="shared" si="214"/>
        <v>1.4333333333333333</v>
      </c>
      <c r="T1308" s="22">
        <f t="shared" si="210"/>
        <v>3.8340833728090953E-2</v>
      </c>
      <c r="U1308" s="19">
        <f t="shared" si="211"/>
        <v>6189.3526320464434</v>
      </c>
      <c r="V1308" s="29" t="s">
        <v>2983</v>
      </c>
    </row>
    <row r="1309" spans="1:22" ht="15" customHeight="1" x14ac:dyDescent="0.25">
      <c r="A1309" t="s">
        <v>518</v>
      </c>
      <c r="B1309" t="s">
        <v>1091</v>
      </c>
      <c r="C1309" t="s">
        <v>2163</v>
      </c>
      <c r="D1309" t="s">
        <v>851</v>
      </c>
      <c r="E1309" t="s">
        <v>833</v>
      </c>
      <c r="F1309" s="5">
        <v>25.9</v>
      </c>
      <c r="G1309" t="s">
        <v>852</v>
      </c>
      <c r="H1309" s="3">
        <v>21.3</v>
      </c>
      <c r="I1309" s="3">
        <v>9.3000000000000007</v>
      </c>
      <c r="J1309" s="3">
        <v>3</v>
      </c>
      <c r="K1309" s="3">
        <v>7.5</v>
      </c>
      <c r="L1309">
        <f t="shared" si="212"/>
        <v>5.9427000000000004E-4</v>
      </c>
      <c r="M1309">
        <f t="shared" si="209"/>
        <v>1.1885400000000001E-3</v>
      </c>
      <c r="N1309" s="8">
        <v>2</v>
      </c>
      <c r="O1309" s="14">
        <f t="shared" si="213"/>
        <v>51.8</v>
      </c>
      <c r="P1309" s="8">
        <v>20</v>
      </c>
      <c r="Q1309" s="8">
        <f t="shared" si="207"/>
        <v>0.1</v>
      </c>
      <c r="R1309" s="8">
        <f t="shared" si="208"/>
        <v>1.3333333333333333</v>
      </c>
      <c r="S1309" s="8">
        <f t="shared" si="214"/>
        <v>1.4333333333333333</v>
      </c>
      <c r="T1309" s="22">
        <f t="shared" si="210"/>
        <v>3.8340833728090953E-2</v>
      </c>
      <c r="U1309" s="19">
        <f t="shared" si="211"/>
        <v>6189.3909728801718</v>
      </c>
      <c r="V1309" s="29" t="s">
        <v>2983</v>
      </c>
    </row>
    <row r="1310" spans="1:22" ht="15" customHeight="1" x14ac:dyDescent="0.25">
      <c r="A1310" t="s">
        <v>518</v>
      </c>
      <c r="B1310" t="s">
        <v>637</v>
      </c>
      <c r="C1310" t="s">
        <v>2300</v>
      </c>
      <c r="D1310" t="s">
        <v>2301</v>
      </c>
      <c r="E1310" t="s">
        <v>24</v>
      </c>
      <c r="F1310" s="5">
        <v>1.27</v>
      </c>
      <c r="G1310" t="s">
        <v>710</v>
      </c>
      <c r="H1310" s="3">
        <v>4</v>
      </c>
      <c r="I1310" s="3">
        <v>2</v>
      </c>
      <c r="J1310" s="3">
        <v>5</v>
      </c>
      <c r="K1310" s="3">
        <v>0.5</v>
      </c>
      <c r="L1310">
        <f t="shared" si="212"/>
        <v>4.0000000000000003E-5</v>
      </c>
      <c r="M1310">
        <f t="shared" si="209"/>
        <v>1.6000000000000001E-3</v>
      </c>
      <c r="N1310" s="8">
        <v>40</v>
      </c>
      <c r="O1310" s="14">
        <f t="shared" si="213"/>
        <v>50.8</v>
      </c>
      <c r="P1310" s="8">
        <v>20</v>
      </c>
      <c r="Q1310" s="8">
        <f t="shared" si="207"/>
        <v>2</v>
      </c>
      <c r="R1310" s="8">
        <f t="shared" si="208"/>
        <v>26.666666666666664</v>
      </c>
      <c r="S1310" s="8">
        <f t="shared" si="214"/>
        <v>28.666666666666664</v>
      </c>
      <c r="T1310" s="22">
        <f t="shared" si="210"/>
        <v>3.7600663192799623E-2</v>
      </c>
      <c r="U1310" s="19">
        <f t="shared" si="211"/>
        <v>6189.428573543365</v>
      </c>
      <c r="V1310" s="29" t="s">
        <v>2983</v>
      </c>
    </row>
    <row r="1311" spans="1:22" ht="15" customHeight="1" x14ac:dyDescent="0.25">
      <c r="A1311" t="s">
        <v>518</v>
      </c>
      <c r="B1311" t="s">
        <v>1090</v>
      </c>
      <c r="C1311" t="s">
        <v>2344</v>
      </c>
      <c r="D1311" t="s">
        <v>716</v>
      </c>
      <c r="E1311" t="s">
        <v>234</v>
      </c>
      <c r="F1311" s="5">
        <v>9.9</v>
      </c>
      <c r="G1311" t="s">
        <v>2323</v>
      </c>
      <c r="H1311" s="3">
        <v>110</v>
      </c>
      <c r="I1311" s="3">
        <v>90</v>
      </c>
      <c r="J1311" s="3">
        <v>100</v>
      </c>
      <c r="K1311" s="3">
        <v>1.6</v>
      </c>
      <c r="L1311">
        <f t="shared" si="212"/>
        <v>0.99</v>
      </c>
      <c r="M1311">
        <f t="shared" si="209"/>
        <v>4.95</v>
      </c>
      <c r="N1311" s="8">
        <v>5</v>
      </c>
      <c r="O1311" s="14">
        <f t="shared" si="213"/>
        <v>49.5</v>
      </c>
      <c r="P1311" s="8">
        <v>20</v>
      </c>
      <c r="Q1311" s="8">
        <f t="shared" ref="Q1311:Q1374" si="215">N1311/P1311</f>
        <v>0.25</v>
      </c>
      <c r="R1311" s="8">
        <f t="shared" ref="R1311:R1374" si="216">(N1311/30)*P1311</f>
        <v>3.333333333333333</v>
      </c>
      <c r="S1311" s="8">
        <f t="shared" si="214"/>
        <v>3.583333333333333</v>
      </c>
      <c r="T1311" s="22">
        <f t="shared" si="210"/>
        <v>3.6638441496920894E-2</v>
      </c>
      <c r="U1311" s="19">
        <f t="shared" si="211"/>
        <v>6189.4652119848615</v>
      </c>
      <c r="V1311" s="29" t="s">
        <v>2983</v>
      </c>
    </row>
    <row r="1312" spans="1:22" ht="15" customHeight="1" x14ac:dyDescent="0.25">
      <c r="A1312" t="s">
        <v>518</v>
      </c>
      <c r="B1312" t="s">
        <v>637</v>
      </c>
      <c r="C1312" t="s">
        <v>2300</v>
      </c>
      <c r="D1312" t="s">
        <v>2307</v>
      </c>
      <c r="E1312" t="s">
        <v>24</v>
      </c>
      <c r="F1312" s="5">
        <v>2.0099999999999998</v>
      </c>
      <c r="G1312" t="s">
        <v>710</v>
      </c>
      <c r="H1312" s="3">
        <v>4</v>
      </c>
      <c r="I1312" s="3">
        <v>2</v>
      </c>
      <c r="J1312" s="3">
        <v>5</v>
      </c>
      <c r="K1312" s="3">
        <v>0.5</v>
      </c>
      <c r="L1312">
        <f t="shared" si="212"/>
        <v>4.0000000000000003E-5</v>
      </c>
      <c r="M1312">
        <f t="shared" si="209"/>
        <v>9.6000000000000013E-4</v>
      </c>
      <c r="N1312" s="8">
        <v>24</v>
      </c>
      <c r="O1312" s="14">
        <f t="shared" si="213"/>
        <v>48.239999999999995</v>
      </c>
      <c r="P1312" s="8">
        <v>20</v>
      </c>
      <c r="Q1312" s="8">
        <f t="shared" si="215"/>
        <v>1.2</v>
      </c>
      <c r="R1312" s="8">
        <f t="shared" si="216"/>
        <v>16</v>
      </c>
      <c r="S1312" s="8">
        <f t="shared" si="214"/>
        <v>17.2</v>
      </c>
      <c r="T1312" s="22">
        <f t="shared" si="210"/>
        <v>3.5705826622453814E-2</v>
      </c>
      <c r="U1312" s="19">
        <f t="shared" si="211"/>
        <v>6189.5009178114842</v>
      </c>
      <c r="V1312" s="29" t="s">
        <v>2983</v>
      </c>
    </row>
    <row r="1313" spans="1:22" ht="15" customHeight="1" x14ac:dyDescent="0.25">
      <c r="A1313" t="s">
        <v>518</v>
      </c>
      <c r="B1313" t="s">
        <v>1090</v>
      </c>
      <c r="C1313" t="s">
        <v>2337</v>
      </c>
      <c r="D1313" t="s">
        <v>2339</v>
      </c>
      <c r="E1313" t="s">
        <v>234</v>
      </c>
      <c r="F1313" s="5">
        <v>9</v>
      </c>
      <c r="G1313" t="s">
        <v>2323</v>
      </c>
      <c r="H1313" s="3">
        <v>110</v>
      </c>
      <c r="I1313" s="3">
        <v>90</v>
      </c>
      <c r="J1313" s="3">
        <v>100</v>
      </c>
      <c r="K1313" s="3">
        <v>1.95</v>
      </c>
      <c r="L1313">
        <f t="shared" si="212"/>
        <v>0.99</v>
      </c>
      <c r="M1313">
        <f t="shared" si="209"/>
        <v>4.95</v>
      </c>
      <c r="N1313" s="8">
        <v>5</v>
      </c>
      <c r="O1313" s="14">
        <f t="shared" si="213"/>
        <v>45</v>
      </c>
      <c r="P1313" s="8">
        <v>20</v>
      </c>
      <c r="Q1313" s="8">
        <f t="shared" si="215"/>
        <v>0.25</v>
      </c>
      <c r="R1313" s="8">
        <f t="shared" si="216"/>
        <v>3.333333333333333</v>
      </c>
      <c r="S1313" s="8">
        <f t="shared" si="214"/>
        <v>3.583333333333333</v>
      </c>
      <c r="T1313" s="22">
        <f t="shared" si="210"/>
        <v>3.3307674088109904E-2</v>
      </c>
      <c r="U1313" s="19">
        <f t="shared" si="211"/>
        <v>6189.5342254855723</v>
      </c>
      <c r="V1313" s="29" t="s">
        <v>2983</v>
      </c>
    </row>
    <row r="1314" spans="1:22" ht="15" customHeight="1" x14ac:dyDescent="0.25">
      <c r="A1314" t="s">
        <v>518</v>
      </c>
      <c r="B1314" t="s">
        <v>1090</v>
      </c>
      <c r="C1314" t="s">
        <v>2337</v>
      </c>
      <c r="D1314" t="s">
        <v>2341</v>
      </c>
      <c r="E1314" t="s">
        <v>234</v>
      </c>
      <c r="F1314" s="5">
        <v>9</v>
      </c>
      <c r="G1314" t="s">
        <v>683</v>
      </c>
      <c r="H1314" s="3">
        <v>100</v>
      </c>
      <c r="I1314" s="3">
        <v>100</v>
      </c>
      <c r="J1314" s="3">
        <v>100</v>
      </c>
      <c r="K1314" s="3">
        <v>1.6</v>
      </c>
      <c r="L1314">
        <f t="shared" si="212"/>
        <v>1</v>
      </c>
      <c r="M1314">
        <f t="shared" si="209"/>
        <v>5</v>
      </c>
      <c r="N1314" s="8">
        <v>5</v>
      </c>
      <c r="O1314" s="14">
        <f t="shared" si="213"/>
        <v>45</v>
      </c>
      <c r="P1314" s="8">
        <v>20</v>
      </c>
      <c r="Q1314" s="8">
        <f t="shared" si="215"/>
        <v>0.25</v>
      </c>
      <c r="R1314" s="8">
        <f t="shared" si="216"/>
        <v>3.333333333333333</v>
      </c>
      <c r="S1314" s="8">
        <f t="shared" si="214"/>
        <v>3.583333333333333</v>
      </c>
      <c r="T1314" s="22">
        <f t="shared" si="210"/>
        <v>3.3307674088109904E-2</v>
      </c>
      <c r="U1314" s="19">
        <f t="shared" si="211"/>
        <v>6189.5675331596603</v>
      </c>
      <c r="V1314" s="29" t="s">
        <v>2983</v>
      </c>
    </row>
    <row r="1315" spans="1:22" ht="15" customHeight="1" x14ac:dyDescent="0.25">
      <c r="A1315" t="s">
        <v>518</v>
      </c>
      <c r="B1315" t="s">
        <v>1090</v>
      </c>
      <c r="C1315" t="s">
        <v>2346</v>
      </c>
      <c r="D1315" t="s">
        <v>719</v>
      </c>
      <c r="E1315" t="s">
        <v>234</v>
      </c>
      <c r="F1315" s="5">
        <v>9</v>
      </c>
      <c r="G1315" t="s">
        <v>2323</v>
      </c>
      <c r="H1315" s="3">
        <v>110</v>
      </c>
      <c r="I1315" s="3">
        <v>90</v>
      </c>
      <c r="J1315" s="3">
        <v>100</v>
      </c>
      <c r="K1315" s="3">
        <v>1.55</v>
      </c>
      <c r="L1315">
        <f t="shared" si="212"/>
        <v>0.99</v>
      </c>
      <c r="M1315">
        <f t="shared" si="209"/>
        <v>4.95</v>
      </c>
      <c r="N1315" s="8">
        <v>5</v>
      </c>
      <c r="O1315" s="14">
        <f t="shared" si="213"/>
        <v>45</v>
      </c>
      <c r="P1315" s="8">
        <v>20</v>
      </c>
      <c r="Q1315" s="8">
        <f t="shared" si="215"/>
        <v>0.25</v>
      </c>
      <c r="R1315" s="8">
        <f t="shared" si="216"/>
        <v>3.333333333333333</v>
      </c>
      <c r="S1315" s="8">
        <f t="shared" si="214"/>
        <v>3.583333333333333</v>
      </c>
      <c r="T1315" s="22">
        <f t="shared" si="210"/>
        <v>3.3307674088109904E-2</v>
      </c>
      <c r="U1315" s="19">
        <f t="shared" si="211"/>
        <v>6189.6008408337484</v>
      </c>
      <c r="V1315" s="29" t="s">
        <v>2983</v>
      </c>
    </row>
    <row r="1316" spans="1:22" ht="15" customHeight="1" x14ac:dyDescent="0.25">
      <c r="A1316" t="s">
        <v>518</v>
      </c>
      <c r="B1316" t="s">
        <v>1090</v>
      </c>
      <c r="C1316" t="s">
        <v>2360</v>
      </c>
      <c r="D1316" t="s">
        <v>729</v>
      </c>
      <c r="E1316" t="s">
        <v>234</v>
      </c>
      <c r="F1316" s="5">
        <v>9</v>
      </c>
      <c r="G1316" t="s">
        <v>2323</v>
      </c>
      <c r="H1316" s="3">
        <v>110</v>
      </c>
      <c r="I1316" s="3">
        <v>90</v>
      </c>
      <c r="J1316" s="3">
        <v>100</v>
      </c>
      <c r="K1316" s="3">
        <v>1</v>
      </c>
      <c r="L1316">
        <f t="shared" si="212"/>
        <v>0.99</v>
      </c>
      <c r="M1316">
        <f t="shared" si="209"/>
        <v>4.95</v>
      </c>
      <c r="N1316" s="8">
        <v>5</v>
      </c>
      <c r="O1316" s="14">
        <f t="shared" si="213"/>
        <v>45</v>
      </c>
      <c r="P1316" s="8">
        <v>20</v>
      </c>
      <c r="Q1316" s="8">
        <f t="shared" si="215"/>
        <v>0.25</v>
      </c>
      <c r="R1316" s="8">
        <f t="shared" si="216"/>
        <v>3.333333333333333</v>
      </c>
      <c r="S1316" s="8">
        <f t="shared" si="214"/>
        <v>3.583333333333333</v>
      </c>
      <c r="T1316" s="22">
        <f t="shared" si="210"/>
        <v>3.3307674088109904E-2</v>
      </c>
      <c r="U1316" s="19">
        <f t="shared" si="211"/>
        <v>6189.6341485078365</v>
      </c>
      <c r="V1316" s="29" t="s">
        <v>2983</v>
      </c>
    </row>
    <row r="1317" spans="1:22" ht="15" customHeight="1" x14ac:dyDescent="0.25">
      <c r="A1317" t="s">
        <v>518</v>
      </c>
      <c r="B1317" t="s">
        <v>1090</v>
      </c>
      <c r="C1317" t="s">
        <v>2344</v>
      </c>
      <c r="D1317" t="s">
        <v>2345</v>
      </c>
      <c r="E1317" t="s">
        <v>234</v>
      </c>
      <c r="F1317" s="5">
        <v>9</v>
      </c>
      <c r="G1317" t="s">
        <v>683</v>
      </c>
      <c r="H1317" s="3">
        <v>100</v>
      </c>
      <c r="I1317" s="3">
        <v>100</v>
      </c>
      <c r="J1317" s="3">
        <v>100</v>
      </c>
      <c r="K1317" s="3">
        <v>0.88</v>
      </c>
      <c r="L1317">
        <f t="shared" si="212"/>
        <v>1</v>
      </c>
      <c r="M1317">
        <f t="shared" si="209"/>
        <v>5</v>
      </c>
      <c r="N1317" s="8">
        <v>5</v>
      </c>
      <c r="O1317" s="14">
        <f t="shared" si="213"/>
        <v>45</v>
      </c>
      <c r="P1317" s="8">
        <v>20</v>
      </c>
      <c r="Q1317" s="8">
        <f t="shared" si="215"/>
        <v>0.25</v>
      </c>
      <c r="R1317" s="8">
        <f t="shared" si="216"/>
        <v>3.333333333333333</v>
      </c>
      <c r="S1317" s="8">
        <f t="shared" si="214"/>
        <v>3.583333333333333</v>
      </c>
      <c r="T1317" s="22">
        <f t="shared" si="210"/>
        <v>3.3307674088109904E-2</v>
      </c>
      <c r="U1317" s="19">
        <f t="shared" si="211"/>
        <v>6189.6674561819245</v>
      </c>
      <c r="V1317" s="29" t="s">
        <v>2983</v>
      </c>
    </row>
    <row r="1318" spans="1:22" ht="15" customHeight="1" x14ac:dyDescent="0.25">
      <c r="A1318" t="s">
        <v>518</v>
      </c>
      <c r="B1318" t="s">
        <v>1090</v>
      </c>
      <c r="C1318" t="s">
        <v>2360</v>
      </c>
      <c r="D1318" t="s">
        <v>730</v>
      </c>
      <c r="E1318" t="s">
        <v>234</v>
      </c>
      <c r="F1318" s="5">
        <v>9</v>
      </c>
      <c r="G1318" t="s">
        <v>2323</v>
      </c>
      <c r="H1318" s="3">
        <v>110</v>
      </c>
      <c r="I1318" s="3">
        <v>90</v>
      </c>
      <c r="J1318" s="3">
        <v>100</v>
      </c>
      <c r="K1318" s="3">
        <v>0.5</v>
      </c>
      <c r="L1318">
        <f t="shared" si="212"/>
        <v>0.99</v>
      </c>
      <c r="M1318">
        <f t="shared" si="209"/>
        <v>4.95</v>
      </c>
      <c r="N1318" s="8">
        <v>5</v>
      </c>
      <c r="O1318" s="14">
        <f t="shared" si="213"/>
        <v>45</v>
      </c>
      <c r="P1318" s="8">
        <v>20</v>
      </c>
      <c r="Q1318" s="8">
        <f t="shared" si="215"/>
        <v>0.25</v>
      </c>
      <c r="R1318" s="8">
        <f t="shared" si="216"/>
        <v>3.333333333333333</v>
      </c>
      <c r="S1318" s="8">
        <f t="shared" si="214"/>
        <v>3.583333333333333</v>
      </c>
      <c r="T1318" s="22">
        <f t="shared" si="210"/>
        <v>3.3307674088109904E-2</v>
      </c>
      <c r="U1318" s="19">
        <f t="shared" si="211"/>
        <v>6189.7007638560126</v>
      </c>
      <c r="V1318" s="29" t="s">
        <v>2983</v>
      </c>
    </row>
    <row r="1319" spans="1:22" ht="15" customHeight="1" x14ac:dyDescent="0.25">
      <c r="A1319" t="s">
        <v>518</v>
      </c>
      <c r="B1319" t="s">
        <v>1091</v>
      </c>
      <c r="C1319" t="s">
        <v>2126</v>
      </c>
      <c r="D1319" t="s">
        <v>825</v>
      </c>
      <c r="E1319" t="s">
        <v>821</v>
      </c>
      <c r="F1319" s="5">
        <v>21.5</v>
      </c>
      <c r="G1319" t="s">
        <v>826</v>
      </c>
      <c r="H1319" s="3">
        <v>42.9</v>
      </c>
      <c r="I1319" s="3">
        <v>25.9</v>
      </c>
      <c r="J1319" s="3">
        <v>19.5</v>
      </c>
      <c r="K1319" s="3">
        <v>7.2</v>
      </c>
      <c r="L1319">
        <f t="shared" si="212"/>
        <v>2.1666644999999998E-2</v>
      </c>
      <c r="M1319">
        <f t="shared" si="209"/>
        <v>4.3333289999999997E-2</v>
      </c>
      <c r="N1319" s="8">
        <v>2</v>
      </c>
      <c r="O1319" s="14">
        <f t="shared" si="213"/>
        <v>43</v>
      </c>
      <c r="P1319" s="8">
        <v>20</v>
      </c>
      <c r="Q1319" s="8">
        <f t="shared" si="215"/>
        <v>0.1</v>
      </c>
      <c r="R1319" s="8">
        <f t="shared" si="216"/>
        <v>1.3333333333333333</v>
      </c>
      <c r="S1319" s="8">
        <f t="shared" si="214"/>
        <v>1.4333333333333333</v>
      </c>
      <c r="T1319" s="22">
        <f t="shared" si="210"/>
        <v>3.1827333017527236E-2</v>
      </c>
      <c r="U1319" s="19">
        <f t="shared" si="211"/>
        <v>6189.7325911890302</v>
      </c>
      <c r="V1319" s="29" t="s">
        <v>2983</v>
      </c>
    </row>
    <row r="1320" spans="1:22" ht="15" customHeight="1" x14ac:dyDescent="0.25">
      <c r="A1320" t="s">
        <v>518</v>
      </c>
      <c r="B1320" t="s">
        <v>1091</v>
      </c>
      <c r="C1320" t="s">
        <v>2169</v>
      </c>
      <c r="D1320" t="s">
        <v>855</v>
      </c>
      <c r="E1320" t="s">
        <v>833</v>
      </c>
      <c r="F1320" s="5">
        <v>20.9</v>
      </c>
      <c r="G1320" t="s">
        <v>856</v>
      </c>
      <c r="H1320" s="3">
        <v>20</v>
      </c>
      <c r="I1320" s="3">
        <v>10</v>
      </c>
      <c r="J1320" s="3">
        <v>2.5</v>
      </c>
      <c r="K1320" s="3">
        <v>6</v>
      </c>
      <c r="L1320">
        <f t="shared" si="212"/>
        <v>5.0000000000000001E-4</v>
      </c>
      <c r="M1320">
        <f t="shared" si="209"/>
        <v>1E-3</v>
      </c>
      <c r="N1320" s="8">
        <v>2</v>
      </c>
      <c r="O1320" s="14">
        <f t="shared" si="213"/>
        <v>41.8</v>
      </c>
      <c r="P1320" s="8">
        <v>20</v>
      </c>
      <c r="Q1320" s="8">
        <f t="shared" si="215"/>
        <v>0.1</v>
      </c>
      <c r="R1320" s="8">
        <f t="shared" si="216"/>
        <v>1.3333333333333333</v>
      </c>
      <c r="S1320" s="8">
        <f t="shared" si="214"/>
        <v>1.4333333333333333</v>
      </c>
      <c r="T1320" s="22">
        <f t="shared" si="210"/>
        <v>3.0939128375177639E-2</v>
      </c>
      <c r="U1320" s="19">
        <f t="shared" si="211"/>
        <v>6189.7635303174056</v>
      </c>
      <c r="V1320" s="29" t="s">
        <v>2983</v>
      </c>
    </row>
    <row r="1321" spans="1:22" ht="15" customHeight="1" x14ac:dyDescent="0.25">
      <c r="A1321" t="s">
        <v>518</v>
      </c>
      <c r="B1321" t="s">
        <v>1091</v>
      </c>
      <c r="C1321" t="s">
        <v>2170</v>
      </c>
      <c r="D1321" t="s">
        <v>857</v>
      </c>
      <c r="E1321" t="s">
        <v>833</v>
      </c>
      <c r="F1321" s="5">
        <v>20.9</v>
      </c>
      <c r="G1321" t="s">
        <v>856</v>
      </c>
      <c r="H1321" s="3">
        <v>20</v>
      </c>
      <c r="I1321" s="3">
        <v>10</v>
      </c>
      <c r="J1321" s="3">
        <v>2.5</v>
      </c>
      <c r="K1321" s="3">
        <v>6</v>
      </c>
      <c r="L1321">
        <f t="shared" si="212"/>
        <v>5.0000000000000001E-4</v>
      </c>
      <c r="M1321">
        <f t="shared" si="209"/>
        <v>1E-3</v>
      </c>
      <c r="N1321" s="8">
        <v>2</v>
      </c>
      <c r="O1321" s="14">
        <f t="shared" si="213"/>
        <v>41.8</v>
      </c>
      <c r="P1321" s="8">
        <v>20</v>
      </c>
      <c r="Q1321" s="8">
        <f t="shared" si="215"/>
        <v>0.1</v>
      </c>
      <c r="R1321" s="8">
        <f t="shared" si="216"/>
        <v>1.3333333333333333</v>
      </c>
      <c r="S1321" s="8">
        <f t="shared" si="214"/>
        <v>1.4333333333333333</v>
      </c>
      <c r="T1321" s="22">
        <f t="shared" si="210"/>
        <v>3.0939128375177639E-2</v>
      </c>
      <c r="U1321" s="19">
        <f t="shared" si="211"/>
        <v>6189.794469445781</v>
      </c>
      <c r="V1321" s="29" t="s">
        <v>2983</v>
      </c>
    </row>
    <row r="1322" spans="1:22" ht="15" customHeight="1" x14ac:dyDescent="0.25">
      <c r="A1322" t="s">
        <v>518</v>
      </c>
      <c r="B1322" t="s">
        <v>1091</v>
      </c>
      <c r="C1322" t="s">
        <v>2210</v>
      </c>
      <c r="D1322" t="s">
        <v>2211</v>
      </c>
      <c r="E1322" t="s">
        <v>833</v>
      </c>
      <c r="F1322" s="5">
        <v>20.9</v>
      </c>
      <c r="G1322" t="s">
        <v>606</v>
      </c>
      <c r="H1322" s="3">
        <v>2.2000000000000002</v>
      </c>
      <c r="I1322" s="3">
        <v>20</v>
      </c>
      <c r="J1322" s="3">
        <v>12</v>
      </c>
      <c r="K1322" s="3">
        <v>4</v>
      </c>
      <c r="L1322">
        <f t="shared" si="212"/>
        <v>5.2800000000000004E-4</v>
      </c>
      <c r="M1322">
        <f t="shared" si="209"/>
        <v>1.0560000000000001E-3</v>
      </c>
      <c r="N1322" s="8">
        <v>2</v>
      </c>
      <c r="O1322" s="14">
        <f t="shared" si="213"/>
        <v>41.8</v>
      </c>
      <c r="P1322" s="8">
        <v>20</v>
      </c>
      <c r="Q1322" s="8">
        <f t="shared" si="215"/>
        <v>0.1</v>
      </c>
      <c r="R1322" s="8">
        <f t="shared" si="216"/>
        <v>1.3333333333333333</v>
      </c>
      <c r="S1322" s="8">
        <f t="shared" si="214"/>
        <v>1.4333333333333333</v>
      </c>
      <c r="T1322" s="22">
        <f t="shared" si="210"/>
        <v>3.0939128375177639E-2</v>
      </c>
      <c r="U1322" s="19">
        <f t="shared" si="211"/>
        <v>6189.8254085741564</v>
      </c>
      <c r="V1322" s="29" t="s">
        <v>2983</v>
      </c>
    </row>
    <row r="1323" spans="1:22" ht="15" customHeight="1" x14ac:dyDescent="0.25">
      <c r="A1323" t="s">
        <v>518</v>
      </c>
      <c r="B1323" t="s">
        <v>1091</v>
      </c>
      <c r="C1323" t="s">
        <v>1203</v>
      </c>
      <c r="D1323" t="s">
        <v>1204</v>
      </c>
      <c r="E1323" t="s">
        <v>833</v>
      </c>
      <c r="F1323" s="5">
        <v>20.8</v>
      </c>
      <c r="G1323" t="s">
        <v>919</v>
      </c>
      <c r="H1323" s="3">
        <v>140.5</v>
      </c>
      <c r="I1323" s="3">
        <v>8.5</v>
      </c>
      <c r="J1323" s="3">
        <v>8.5</v>
      </c>
      <c r="K1323" s="3">
        <v>12.005000000000001</v>
      </c>
      <c r="L1323">
        <f t="shared" si="212"/>
        <v>1.0151125E-2</v>
      </c>
      <c r="M1323">
        <f t="shared" si="209"/>
        <v>2.0302250000000001E-2</v>
      </c>
      <c r="N1323" s="8">
        <v>2</v>
      </c>
      <c r="O1323" s="14">
        <f t="shared" si="213"/>
        <v>41.6</v>
      </c>
      <c r="P1323" s="8">
        <v>20</v>
      </c>
      <c r="Q1323" s="8">
        <f t="shared" si="215"/>
        <v>0.1</v>
      </c>
      <c r="R1323" s="8">
        <f t="shared" si="216"/>
        <v>1.3333333333333333</v>
      </c>
      <c r="S1323" s="8">
        <f t="shared" si="214"/>
        <v>1.4333333333333333</v>
      </c>
      <c r="T1323" s="22">
        <f t="shared" si="210"/>
        <v>3.0791094268119375E-2</v>
      </c>
      <c r="U1323" s="19">
        <f t="shared" si="211"/>
        <v>6189.8561996684248</v>
      </c>
      <c r="V1323" s="29" t="s">
        <v>2983</v>
      </c>
    </row>
    <row r="1324" spans="1:22" ht="15" customHeight="1" x14ac:dyDescent="0.25">
      <c r="A1324" t="s">
        <v>518</v>
      </c>
      <c r="B1324" t="s">
        <v>1091</v>
      </c>
      <c r="C1324" t="s">
        <v>1200</v>
      </c>
      <c r="D1324" t="s">
        <v>1201</v>
      </c>
      <c r="E1324" t="s">
        <v>833</v>
      </c>
      <c r="F1324" s="5">
        <v>20.36</v>
      </c>
      <c r="G1324" t="s">
        <v>1202</v>
      </c>
      <c r="H1324" s="3">
        <v>40.5</v>
      </c>
      <c r="I1324" s="3">
        <v>21.5</v>
      </c>
      <c r="J1324" s="3">
        <v>4.5</v>
      </c>
      <c r="K1324" s="3">
        <v>8.5050000000000008</v>
      </c>
      <c r="L1324">
        <f t="shared" si="212"/>
        <v>3.918375E-3</v>
      </c>
      <c r="M1324">
        <f t="shared" si="209"/>
        <v>7.83675E-3</v>
      </c>
      <c r="N1324" s="8">
        <v>2</v>
      </c>
      <c r="O1324" s="14">
        <f t="shared" si="213"/>
        <v>40.72</v>
      </c>
      <c r="P1324" s="8">
        <v>20</v>
      </c>
      <c r="Q1324" s="8">
        <f t="shared" si="215"/>
        <v>0.1</v>
      </c>
      <c r="R1324" s="8">
        <f t="shared" si="216"/>
        <v>1.3333333333333333</v>
      </c>
      <c r="S1324" s="8">
        <f t="shared" si="214"/>
        <v>1.4333333333333333</v>
      </c>
      <c r="T1324" s="22">
        <f t="shared" si="210"/>
        <v>3.0139744197063004E-2</v>
      </c>
      <c r="U1324" s="19">
        <f t="shared" si="211"/>
        <v>6189.886339412622</v>
      </c>
      <c r="V1324" s="29" t="s">
        <v>2983</v>
      </c>
    </row>
    <row r="1325" spans="1:22" ht="15" customHeight="1" x14ac:dyDescent="0.25">
      <c r="A1325" t="s">
        <v>518</v>
      </c>
      <c r="B1325" t="s">
        <v>637</v>
      </c>
      <c r="C1325" t="s">
        <v>2300</v>
      </c>
      <c r="D1325" t="s">
        <v>2302</v>
      </c>
      <c r="E1325" t="s">
        <v>24</v>
      </c>
      <c r="F1325" s="5">
        <v>1.66</v>
      </c>
      <c r="G1325" t="s">
        <v>710</v>
      </c>
      <c r="H1325" s="3">
        <v>4</v>
      </c>
      <c r="I1325" s="3">
        <v>2</v>
      </c>
      <c r="J1325" s="3">
        <v>5</v>
      </c>
      <c r="K1325" s="3">
        <v>0.5</v>
      </c>
      <c r="L1325">
        <f t="shared" si="212"/>
        <v>4.0000000000000003E-5</v>
      </c>
      <c r="M1325">
        <f t="shared" si="209"/>
        <v>9.6000000000000013E-4</v>
      </c>
      <c r="N1325" s="8">
        <v>24</v>
      </c>
      <c r="O1325" s="14">
        <f t="shared" si="213"/>
        <v>39.839999999999996</v>
      </c>
      <c r="P1325" s="8">
        <v>20</v>
      </c>
      <c r="Q1325" s="8">
        <f t="shared" si="215"/>
        <v>1.2</v>
      </c>
      <c r="R1325" s="8">
        <f t="shared" si="216"/>
        <v>16</v>
      </c>
      <c r="S1325" s="8">
        <f t="shared" si="214"/>
        <v>17.2</v>
      </c>
      <c r="T1325" s="22">
        <f t="shared" si="210"/>
        <v>2.948839412600663E-2</v>
      </c>
      <c r="U1325" s="19">
        <f t="shared" si="211"/>
        <v>6189.915827806748</v>
      </c>
      <c r="V1325" s="29" t="s">
        <v>2983</v>
      </c>
    </row>
    <row r="1326" spans="1:22" ht="15" customHeight="1" x14ac:dyDescent="0.25">
      <c r="A1326" t="s">
        <v>518</v>
      </c>
      <c r="B1326" t="s">
        <v>1091</v>
      </c>
      <c r="C1326" t="s">
        <v>2168</v>
      </c>
      <c r="D1326" t="s">
        <v>853</v>
      </c>
      <c r="E1326" t="s">
        <v>833</v>
      </c>
      <c r="F1326" s="5">
        <v>19.899999999999999</v>
      </c>
      <c r="G1326" t="s">
        <v>854</v>
      </c>
      <c r="H1326" s="3">
        <v>20</v>
      </c>
      <c r="I1326" s="3">
        <v>10</v>
      </c>
      <c r="J1326" s="3">
        <v>5</v>
      </c>
      <c r="K1326" s="3">
        <v>6</v>
      </c>
      <c r="L1326">
        <f t="shared" si="212"/>
        <v>1E-3</v>
      </c>
      <c r="M1326">
        <f t="shared" ref="M1326:M1389" si="217">L1326*N1326</f>
        <v>2E-3</v>
      </c>
      <c r="N1326" s="8">
        <v>2</v>
      </c>
      <c r="O1326" s="14">
        <f t="shared" si="213"/>
        <v>39.799999999999997</v>
      </c>
      <c r="P1326" s="8">
        <v>20</v>
      </c>
      <c r="Q1326" s="8">
        <f t="shared" si="215"/>
        <v>0.1</v>
      </c>
      <c r="R1326" s="8">
        <f t="shared" si="216"/>
        <v>1.3333333333333333</v>
      </c>
      <c r="S1326" s="8">
        <f t="shared" si="214"/>
        <v>1.4333333333333333</v>
      </c>
      <c r="T1326" s="22">
        <f t="shared" si="210"/>
        <v>2.9458787304594978E-2</v>
      </c>
      <c r="U1326" s="19">
        <f t="shared" si="211"/>
        <v>6189.945286594053</v>
      </c>
      <c r="V1326" s="29" t="s">
        <v>2983</v>
      </c>
    </row>
    <row r="1327" spans="1:22" ht="15" customHeight="1" x14ac:dyDescent="0.25">
      <c r="A1327" t="s">
        <v>518</v>
      </c>
      <c r="B1327" t="s">
        <v>637</v>
      </c>
      <c r="C1327" t="s">
        <v>2300</v>
      </c>
      <c r="D1327" t="s">
        <v>2308</v>
      </c>
      <c r="E1327" t="s">
        <v>24</v>
      </c>
      <c r="F1327" s="5">
        <v>1.6</v>
      </c>
      <c r="G1327" t="s">
        <v>710</v>
      </c>
      <c r="H1327" s="3">
        <v>4</v>
      </c>
      <c r="I1327" s="3">
        <v>2</v>
      </c>
      <c r="J1327" s="3">
        <v>5</v>
      </c>
      <c r="K1327" s="3">
        <v>0.5</v>
      </c>
      <c r="L1327">
        <f t="shared" si="212"/>
        <v>4.0000000000000003E-5</v>
      </c>
      <c r="M1327">
        <f t="shared" si="217"/>
        <v>9.6000000000000013E-4</v>
      </c>
      <c r="N1327" s="8">
        <v>24</v>
      </c>
      <c r="O1327" s="14">
        <f t="shared" si="213"/>
        <v>38.400000000000006</v>
      </c>
      <c r="P1327" s="8">
        <v>20</v>
      </c>
      <c r="Q1327" s="8">
        <f t="shared" si="215"/>
        <v>1.2</v>
      </c>
      <c r="R1327" s="8">
        <f t="shared" si="216"/>
        <v>16</v>
      </c>
      <c r="S1327" s="8">
        <f t="shared" si="214"/>
        <v>17.2</v>
      </c>
      <c r="T1327" s="22">
        <f t="shared" si="210"/>
        <v>2.8422548555187121E-2</v>
      </c>
      <c r="U1327" s="19">
        <f t="shared" si="211"/>
        <v>6189.9737091426077</v>
      </c>
      <c r="V1327" s="29" t="s">
        <v>2983</v>
      </c>
    </row>
    <row r="1328" spans="1:22" ht="15" customHeight="1" x14ac:dyDescent="0.25">
      <c r="A1328" t="s">
        <v>518</v>
      </c>
      <c r="B1328" t="s">
        <v>1090</v>
      </c>
      <c r="C1328" t="s">
        <v>2387</v>
      </c>
      <c r="D1328" t="s">
        <v>2260</v>
      </c>
      <c r="E1328" t="s">
        <v>234</v>
      </c>
      <c r="F1328" s="5">
        <v>9.5</v>
      </c>
      <c r="G1328" t="s">
        <v>683</v>
      </c>
      <c r="H1328" s="3">
        <v>25</v>
      </c>
      <c r="I1328" s="3">
        <v>50</v>
      </c>
      <c r="J1328" s="3">
        <v>25</v>
      </c>
      <c r="K1328" s="3">
        <v>5.55</v>
      </c>
      <c r="L1328">
        <f t="shared" si="212"/>
        <v>3.125E-2</v>
      </c>
      <c r="M1328">
        <f t="shared" si="217"/>
        <v>0.125</v>
      </c>
      <c r="N1328" s="8">
        <v>4</v>
      </c>
      <c r="O1328" s="14">
        <f t="shared" si="213"/>
        <v>38</v>
      </c>
      <c r="P1328" s="8">
        <v>20</v>
      </c>
      <c r="Q1328" s="8">
        <f t="shared" si="215"/>
        <v>0.2</v>
      </c>
      <c r="R1328" s="8">
        <f t="shared" si="216"/>
        <v>2.6666666666666665</v>
      </c>
      <c r="S1328" s="8">
        <f t="shared" si="214"/>
        <v>2.8666666666666667</v>
      </c>
      <c r="T1328" s="22">
        <f t="shared" si="210"/>
        <v>2.8126480341070584E-2</v>
      </c>
      <c r="U1328" s="19">
        <f t="shared" si="211"/>
        <v>6190.0018356229484</v>
      </c>
      <c r="V1328" s="29" t="s">
        <v>2983</v>
      </c>
    </row>
    <row r="1329" spans="1:22" ht="15" customHeight="1" x14ac:dyDescent="0.25">
      <c r="A1329" t="s">
        <v>518</v>
      </c>
      <c r="B1329" t="s">
        <v>1091</v>
      </c>
      <c r="C1329" t="s">
        <v>2127</v>
      </c>
      <c r="D1329" t="s">
        <v>827</v>
      </c>
      <c r="E1329" t="s">
        <v>821</v>
      </c>
      <c r="F1329" s="5">
        <v>18</v>
      </c>
      <c r="G1329" t="s">
        <v>826</v>
      </c>
      <c r="H1329" s="3">
        <v>33.799999999999997</v>
      </c>
      <c r="I1329" s="3">
        <v>31.15</v>
      </c>
      <c r="J1329" s="3">
        <v>17.5</v>
      </c>
      <c r="K1329" s="3">
        <v>16</v>
      </c>
      <c r="L1329">
        <f t="shared" si="212"/>
        <v>1.8425225E-2</v>
      </c>
      <c r="M1329">
        <f t="shared" si="217"/>
        <v>3.685045E-2</v>
      </c>
      <c r="N1329" s="8">
        <v>2</v>
      </c>
      <c r="O1329" s="14">
        <f t="shared" si="213"/>
        <v>36</v>
      </c>
      <c r="P1329" s="8">
        <v>20</v>
      </c>
      <c r="Q1329" s="8">
        <f t="shared" si="215"/>
        <v>0.1</v>
      </c>
      <c r="R1329" s="8">
        <f t="shared" si="216"/>
        <v>1.3333333333333333</v>
      </c>
      <c r="S1329" s="8">
        <f t="shared" si="214"/>
        <v>1.4333333333333333</v>
      </c>
      <c r="T1329" s="22">
        <f t="shared" si="210"/>
        <v>2.6646139270487919E-2</v>
      </c>
      <c r="U1329" s="19">
        <f t="shared" si="211"/>
        <v>6190.0284817622187</v>
      </c>
      <c r="V1329" s="29" t="s">
        <v>2983</v>
      </c>
    </row>
    <row r="1330" spans="1:22" ht="15" customHeight="1" x14ac:dyDescent="0.25">
      <c r="A1330" t="s">
        <v>518</v>
      </c>
      <c r="B1330" t="s">
        <v>1091</v>
      </c>
      <c r="C1330" t="s">
        <v>2128</v>
      </c>
      <c r="D1330" t="s">
        <v>828</v>
      </c>
      <c r="E1330" t="s">
        <v>821</v>
      </c>
      <c r="F1330" s="5">
        <v>18</v>
      </c>
      <c r="G1330" t="s">
        <v>826</v>
      </c>
      <c r="H1330" s="3">
        <v>33.799999999999997</v>
      </c>
      <c r="I1330" s="3">
        <v>31.15</v>
      </c>
      <c r="J1330" s="3">
        <v>17.5</v>
      </c>
      <c r="K1330" s="3">
        <v>16</v>
      </c>
      <c r="L1330">
        <f t="shared" si="212"/>
        <v>1.8425225E-2</v>
      </c>
      <c r="M1330">
        <f t="shared" si="217"/>
        <v>3.685045E-2</v>
      </c>
      <c r="N1330" s="8">
        <v>2</v>
      </c>
      <c r="O1330" s="14">
        <f t="shared" si="213"/>
        <v>36</v>
      </c>
      <c r="P1330" s="8">
        <v>20</v>
      </c>
      <c r="Q1330" s="8">
        <f t="shared" si="215"/>
        <v>0.1</v>
      </c>
      <c r="R1330" s="8">
        <f t="shared" si="216"/>
        <v>1.3333333333333333</v>
      </c>
      <c r="S1330" s="8">
        <f t="shared" si="214"/>
        <v>1.4333333333333333</v>
      </c>
      <c r="T1330" s="22">
        <f t="shared" si="210"/>
        <v>2.6646139270487919E-2</v>
      </c>
      <c r="U1330" s="19">
        <f t="shared" si="211"/>
        <v>6190.055127901489</v>
      </c>
      <c r="V1330" s="29" t="s">
        <v>2983</v>
      </c>
    </row>
    <row r="1331" spans="1:22" ht="15" customHeight="1" x14ac:dyDescent="0.25">
      <c r="A1331" t="s">
        <v>518</v>
      </c>
      <c r="B1331" t="s">
        <v>1090</v>
      </c>
      <c r="C1331" t="s">
        <v>2364</v>
      </c>
      <c r="D1331" t="s">
        <v>731</v>
      </c>
      <c r="E1331" t="s">
        <v>234</v>
      </c>
      <c r="F1331" s="5">
        <v>7.2</v>
      </c>
      <c r="G1331" t="s">
        <v>2323</v>
      </c>
      <c r="H1331" s="3">
        <v>110</v>
      </c>
      <c r="I1331" s="3">
        <v>90</v>
      </c>
      <c r="J1331" s="3">
        <v>100</v>
      </c>
      <c r="K1331" s="3">
        <v>0.88</v>
      </c>
      <c r="L1331">
        <f t="shared" si="212"/>
        <v>0.99</v>
      </c>
      <c r="M1331">
        <f t="shared" si="217"/>
        <v>4.95</v>
      </c>
      <c r="N1331" s="8">
        <v>5</v>
      </c>
      <c r="O1331" s="14">
        <f t="shared" si="213"/>
        <v>36</v>
      </c>
      <c r="P1331" s="8">
        <v>20</v>
      </c>
      <c r="Q1331" s="8">
        <f t="shared" si="215"/>
        <v>0.25</v>
      </c>
      <c r="R1331" s="8">
        <f t="shared" si="216"/>
        <v>3.333333333333333</v>
      </c>
      <c r="S1331" s="8">
        <f t="shared" si="214"/>
        <v>3.583333333333333</v>
      </c>
      <c r="T1331" s="22">
        <f t="shared" si="210"/>
        <v>2.6646139270487919E-2</v>
      </c>
      <c r="U1331" s="19">
        <f t="shared" si="211"/>
        <v>6190.0817740407592</v>
      </c>
      <c r="V1331" s="29" t="s">
        <v>2983</v>
      </c>
    </row>
    <row r="1332" spans="1:22" ht="15" customHeight="1" x14ac:dyDescent="0.25">
      <c r="A1332" t="s">
        <v>518</v>
      </c>
      <c r="B1332" t="s">
        <v>1091</v>
      </c>
      <c r="C1332" t="s">
        <v>2171</v>
      </c>
      <c r="D1332" t="s">
        <v>858</v>
      </c>
      <c r="E1332" t="s">
        <v>833</v>
      </c>
      <c r="F1332" s="5">
        <v>15.9</v>
      </c>
      <c r="G1332" t="s">
        <v>859</v>
      </c>
      <c r="H1332" s="3">
        <v>40.200000000000003</v>
      </c>
      <c r="I1332" s="3">
        <v>10</v>
      </c>
      <c r="J1332" s="3">
        <v>6</v>
      </c>
      <c r="K1332" s="3">
        <v>12</v>
      </c>
      <c r="L1332">
        <f t="shared" si="212"/>
        <v>2.4120000000000001E-3</v>
      </c>
      <c r="M1332">
        <f t="shared" si="217"/>
        <v>4.8240000000000002E-3</v>
      </c>
      <c r="N1332" s="8">
        <v>2</v>
      </c>
      <c r="O1332" s="14">
        <f t="shared" si="213"/>
        <v>31.8</v>
      </c>
      <c r="P1332" s="8">
        <v>20</v>
      </c>
      <c r="Q1332" s="8">
        <f t="shared" si="215"/>
        <v>0.1</v>
      </c>
      <c r="R1332" s="8">
        <f t="shared" si="216"/>
        <v>1.3333333333333333</v>
      </c>
      <c r="S1332" s="8">
        <f t="shared" si="214"/>
        <v>1.4333333333333333</v>
      </c>
      <c r="T1332" s="22">
        <f t="shared" si="210"/>
        <v>2.3537423022264331E-2</v>
      </c>
      <c r="U1332" s="19">
        <f t="shared" si="211"/>
        <v>6190.1053114637816</v>
      </c>
      <c r="V1332" s="29" t="s">
        <v>2983</v>
      </c>
    </row>
    <row r="1333" spans="1:22" ht="15" customHeight="1" x14ac:dyDescent="0.25">
      <c r="A1333" t="s">
        <v>518</v>
      </c>
      <c r="B1333" t="s">
        <v>1091</v>
      </c>
      <c r="C1333" t="s">
        <v>2172</v>
      </c>
      <c r="D1333" t="s">
        <v>860</v>
      </c>
      <c r="E1333" t="s">
        <v>833</v>
      </c>
      <c r="F1333" s="5">
        <v>15.9</v>
      </c>
      <c r="G1333" t="s">
        <v>859</v>
      </c>
      <c r="H1333" s="3">
        <v>40.200000000000003</v>
      </c>
      <c r="I1333" s="3">
        <v>10</v>
      </c>
      <c r="J1333" s="3">
        <v>6</v>
      </c>
      <c r="K1333" s="3">
        <v>12</v>
      </c>
      <c r="L1333">
        <f t="shared" si="212"/>
        <v>2.4120000000000001E-3</v>
      </c>
      <c r="M1333">
        <f t="shared" si="217"/>
        <v>4.8240000000000002E-3</v>
      </c>
      <c r="N1333" s="8">
        <v>2</v>
      </c>
      <c r="O1333" s="14">
        <f t="shared" si="213"/>
        <v>31.8</v>
      </c>
      <c r="P1333" s="8">
        <v>20</v>
      </c>
      <c r="Q1333" s="8">
        <f t="shared" si="215"/>
        <v>0.1</v>
      </c>
      <c r="R1333" s="8">
        <f t="shared" si="216"/>
        <v>1.3333333333333333</v>
      </c>
      <c r="S1333" s="8">
        <f t="shared" si="214"/>
        <v>1.4333333333333333</v>
      </c>
      <c r="T1333" s="22">
        <f t="shared" ref="T1333:T1396" si="218">O1333/O$1749</f>
        <v>2.3537423022264331E-2</v>
      </c>
      <c r="U1333" s="19">
        <f t="shared" ref="U1333:U1360" si="219">U1332+T1333</f>
        <v>6190.128848886804</v>
      </c>
      <c r="V1333" s="29" t="s">
        <v>2983</v>
      </c>
    </row>
    <row r="1334" spans="1:22" ht="15" customHeight="1" x14ac:dyDescent="0.25">
      <c r="A1334" t="s">
        <v>518</v>
      </c>
      <c r="B1334" t="s">
        <v>1091</v>
      </c>
      <c r="C1334" t="s">
        <v>2173</v>
      </c>
      <c r="D1334" t="s">
        <v>861</v>
      </c>
      <c r="E1334" t="s">
        <v>833</v>
      </c>
      <c r="F1334" s="5">
        <v>15.9</v>
      </c>
      <c r="G1334" t="s">
        <v>859</v>
      </c>
      <c r="H1334" s="3">
        <v>40.200000000000003</v>
      </c>
      <c r="I1334" s="3">
        <v>10</v>
      </c>
      <c r="J1334" s="3">
        <v>6</v>
      </c>
      <c r="K1334" s="3">
        <v>12</v>
      </c>
      <c r="L1334">
        <f t="shared" si="212"/>
        <v>2.4120000000000001E-3</v>
      </c>
      <c r="M1334">
        <f t="shared" si="217"/>
        <v>4.8240000000000002E-3</v>
      </c>
      <c r="N1334" s="8">
        <v>2</v>
      </c>
      <c r="O1334" s="14">
        <f t="shared" si="213"/>
        <v>31.8</v>
      </c>
      <c r="P1334" s="8">
        <v>20</v>
      </c>
      <c r="Q1334" s="8">
        <f t="shared" si="215"/>
        <v>0.1</v>
      </c>
      <c r="R1334" s="8">
        <f t="shared" si="216"/>
        <v>1.3333333333333333</v>
      </c>
      <c r="S1334" s="8">
        <f t="shared" si="214"/>
        <v>1.4333333333333333</v>
      </c>
      <c r="T1334" s="22">
        <f t="shared" si="218"/>
        <v>2.3537423022264331E-2</v>
      </c>
      <c r="U1334" s="19">
        <f t="shared" si="219"/>
        <v>6190.1523863098264</v>
      </c>
      <c r="V1334" s="29" t="s">
        <v>2983</v>
      </c>
    </row>
    <row r="1335" spans="1:22" ht="15" customHeight="1" x14ac:dyDescent="0.25">
      <c r="A1335" t="s">
        <v>518</v>
      </c>
      <c r="B1335" t="s">
        <v>1091</v>
      </c>
      <c r="C1335" t="s">
        <v>2174</v>
      </c>
      <c r="D1335" t="s">
        <v>862</v>
      </c>
      <c r="E1335" t="s">
        <v>833</v>
      </c>
      <c r="F1335" s="5">
        <v>15.9</v>
      </c>
      <c r="G1335" t="s">
        <v>859</v>
      </c>
      <c r="H1335" s="3">
        <v>40.200000000000003</v>
      </c>
      <c r="I1335" s="3">
        <v>10</v>
      </c>
      <c r="J1335" s="3">
        <v>6</v>
      </c>
      <c r="K1335" s="3">
        <v>12</v>
      </c>
      <c r="L1335">
        <f t="shared" si="212"/>
        <v>2.4120000000000001E-3</v>
      </c>
      <c r="M1335">
        <f t="shared" si="217"/>
        <v>4.8240000000000002E-3</v>
      </c>
      <c r="N1335" s="8">
        <v>2</v>
      </c>
      <c r="O1335" s="14">
        <f t="shared" si="213"/>
        <v>31.8</v>
      </c>
      <c r="P1335" s="8">
        <v>20</v>
      </c>
      <c r="Q1335" s="8">
        <f t="shared" si="215"/>
        <v>0.1</v>
      </c>
      <c r="R1335" s="8">
        <f t="shared" si="216"/>
        <v>1.3333333333333333</v>
      </c>
      <c r="S1335" s="8">
        <f t="shared" si="214"/>
        <v>1.4333333333333333</v>
      </c>
      <c r="T1335" s="22">
        <f t="shared" si="218"/>
        <v>2.3537423022264331E-2</v>
      </c>
      <c r="U1335" s="19">
        <f t="shared" si="219"/>
        <v>6190.1759237328488</v>
      </c>
      <c r="V1335" s="29" t="s">
        <v>2983</v>
      </c>
    </row>
    <row r="1336" spans="1:22" ht="15" customHeight="1" x14ac:dyDescent="0.25">
      <c r="A1336" t="s">
        <v>518</v>
      </c>
      <c r="B1336" t="s">
        <v>1091</v>
      </c>
      <c r="C1336" t="s">
        <v>2121</v>
      </c>
      <c r="D1336" t="s">
        <v>820</v>
      </c>
      <c r="E1336" t="s">
        <v>821</v>
      </c>
      <c r="F1336" s="5">
        <v>15.9</v>
      </c>
      <c r="G1336" t="s">
        <v>822</v>
      </c>
      <c r="H1336" s="3">
        <v>38.200000000000003</v>
      </c>
      <c r="I1336" s="3">
        <v>36</v>
      </c>
      <c r="J1336" s="3">
        <v>23</v>
      </c>
      <c r="K1336" s="3">
        <v>8.5</v>
      </c>
      <c r="L1336">
        <f t="shared" si="212"/>
        <v>3.1629600000000001E-2</v>
      </c>
      <c r="M1336">
        <f t="shared" si="217"/>
        <v>6.3259200000000002E-2</v>
      </c>
      <c r="N1336" s="8">
        <v>2</v>
      </c>
      <c r="O1336" s="14">
        <f t="shared" si="213"/>
        <v>31.8</v>
      </c>
      <c r="P1336" s="8">
        <v>20</v>
      </c>
      <c r="Q1336" s="8">
        <f t="shared" si="215"/>
        <v>0.1</v>
      </c>
      <c r="R1336" s="8">
        <f t="shared" si="216"/>
        <v>1.3333333333333333</v>
      </c>
      <c r="S1336" s="8">
        <f t="shared" si="214"/>
        <v>1.4333333333333333</v>
      </c>
      <c r="T1336" s="22">
        <f t="shared" si="218"/>
        <v>2.3537423022264331E-2</v>
      </c>
      <c r="U1336" s="19">
        <f t="shared" si="219"/>
        <v>6190.1994611558712</v>
      </c>
      <c r="V1336" s="29" t="s">
        <v>2983</v>
      </c>
    </row>
    <row r="1337" spans="1:22" ht="15" customHeight="1" x14ac:dyDescent="0.25">
      <c r="A1337" t="s">
        <v>518</v>
      </c>
      <c r="B1337" t="s">
        <v>1091</v>
      </c>
      <c r="C1337" t="s">
        <v>1229</v>
      </c>
      <c r="D1337" t="s">
        <v>1230</v>
      </c>
      <c r="E1337" t="s">
        <v>833</v>
      </c>
      <c r="F1337" s="5">
        <v>15.6</v>
      </c>
      <c r="G1337" t="s">
        <v>1231</v>
      </c>
      <c r="H1337" s="3">
        <v>29.5</v>
      </c>
      <c r="I1337" s="3">
        <v>25.5</v>
      </c>
      <c r="J1337" s="3">
        <v>7.5</v>
      </c>
      <c r="K1337" s="3">
        <v>8.7050000000000001</v>
      </c>
      <c r="L1337">
        <f t="shared" si="212"/>
        <v>5.6418750000000002E-3</v>
      </c>
      <c r="M1337">
        <f t="shared" si="217"/>
        <v>1.128375E-2</v>
      </c>
      <c r="N1337" s="8">
        <v>2</v>
      </c>
      <c r="O1337" s="14">
        <f t="shared" si="213"/>
        <v>31.2</v>
      </c>
      <c r="P1337" s="8">
        <v>20</v>
      </c>
      <c r="Q1337" s="8">
        <f t="shared" si="215"/>
        <v>0.1</v>
      </c>
      <c r="R1337" s="8">
        <f t="shared" si="216"/>
        <v>1.3333333333333333</v>
      </c>
      <c r="S1337" s="8">
        <f t="shared" si="214"/>
        <v>1.4333333333333333</v>
      </c>
      <c r="T1337" s="22">
        <f t="shared" si="218"/>
        <v>2.3093320701089531E-2</v>
      </c>
      <c r="U1337" s="19">
        <f t="shared" si="219"/>
        <v>6190.2225544765724</v>
      </c>
      <c r="V1337" s="29" t="s">
        <v>2983</v>
      </c>
    </row>
    <row r="1338" spans="1:22" ht="15" customHeight="1" x14ac:dyDescent="0.25">
      <c r="A1338" t="s">
        <v>518</v>
      </c>
      <c r="B1338" t="s">
        <v>637</v>
      </c>
      <c r="C1338" t="s">
        <v>2300</v>
      </c>
      <c r="D1338" t="s">
        <v>2306</v>
      </c>
      <c r="E1338" t="s">
        <v>24</v>
      </c>
      <c r="F1338" s="5">
        <v>1.21</v>
      </c>
      <c r="G1338" t="s">
        <v>710</v>
      </c>
      <c r="H1338" s="3">
        <v>4</v>
      </c>
      <c r="I1338" s="3">
        <v>2</v>
      </c>
      <c r="J1338" s="3">
        <v>5</v>
      </c>
      <c r="K1338" s="3">
        <v>0.5</v>
      </c>
      <c r="L1338">
        <f t="shared" si="212"/>
        <v>4.0000000000000003E-5</v>
      </c>
      <c r="M1338">
        <f t="shared" si="217"/>
        <v>9.6000000000000013E-4</v>
      </c>
      <c r="N1338" s="8">
        <v>24</v>
      </c>
      <c r="O1338" s="14">
        <f t="shared" si="213"/>
        <v>29.04</v>
      </c>
      <c r="P1338" s="8">
        <v>20</v>
      </c>
      <c r="Q1338" s="8">
        <f t="shared" si="215"/>
        <v>1.2</v>
      </c>
      <c r="R1338" s="8">
        <f t="shared" si="216"/>
        <v>16</v>
      </c>
      <c r="S1338" s="8">
        <f t="shared" si="214"/>
        <v>17.2</v>
      </c>
      <c r="T1338" s="22">
        <f t="shared" si="218"/>
        <v>2.1494552344860255E-2</v>
      </c>
      <c r="U1338" s="19">
        <f t="shared" si="219"/>
        <v>6190.2440490289173</v>
      </c>
      <c r="V1338" s="29" t="s">
        <v>2983</v>
      </c>
    </row>
    <row r="1339" spans="1:22" ht="15" customHeight="1" x14ac:dyDescent="0.25">
      <c r="A1339" t="s">
        <v>518</v>
      </c>
      <c r="B1339" t="s">
        <v>1091</v>
      </c>
      <c r="C1339" t="s">
        <v>2140</v>
      </c>
      <c r="D1339" t="s">
        <v>834</v>
      </c>
      <c r="E1339" t="s">
        <v>833</v>
      </c>
      <c r="F1339" s="5">
        <v>14</v>
      </c>
      <c r="G1339" t="s">
        <v>835</v>
      </c>
      <c r="H1339" s="3">
        <v>29</v>
      </c>
      <c r="I1339" s="3">
        <v>29</v>
      </c>
      <c r="J1339" s="3">
        <v>5</v>
      </c>
      <c r="K1339" s="3">
        <v>1</v>
      </c>
      <c r="L1339">
        <f t="shared" si="212"/>
        <v>4.2050000000000004E-3</v>
      </c>
      <c r="M1339">
        <f t="shared" si="217"/>
        <v>8.4100000000000008E-3</v>
      </c>
      <c r="N1339" s="8">
        <v>2</v>
      </c>
      <c r="O1339" s="14">
        <f t="shared" si="213"/>
        <v>28</v>
      </c>
      <c r="P1339" s="8">
        <v>20</v>
      </c>
      <c r="Q1339" s="8">
        <f t="shared" si="215"/>
        <v>0.1</v>
      </c>
      <c r="R1339" s="8">
        <f t="shared" si="216"/>
        <v>1.3333333333333333</v>
      </c>
      <c r="S1339" s="8">
        <f t="shared" si="214"/>
        <v>1.4333333333333333</v>
      </c>
      <c r="T1339" s="22">
        <f t="shared" si="218"/>
        <v>2.0724774988157273E-2</v>
      </c>
      <c r="U1339" s="19">
        <f t="shared" si="219"/>
        <v>6190.2647738039059</v>
      </c>
      <c r="V1339" s="29" t="s">
        <v>2983</v>
      </c>
    </row>
    <row r="1340" spans="1:22" ht="15" customHeight="1" x14ac:dyDescent="0.25">
      <c r="A1340" t="s">
        <v>518</v>
      </c>
      <c r="B1340" t="s">
        <v>1091</v>
      </c>
      <c r="C1340" t="s">
        <v>2130</v>
      </c>
      <c r="D1340" t="s">
        <v>831</v>
      </c>
      <c r="E1340" t="s">
        <v>821</v>
      </c>
      <c r="F1340" s="5">
        <v>14</v>
      </c>
      <c r="G1340" t="s">
        <v>832</v>
      </c>
      <c r="H1340" s="3">
        <v>40.1</v>
      </c>
      <c r="I1340" s="3">
        <v>34.299999999999997</v>
      </c>
      <c r="J1340" s="3">
        <v>25</v>
      </c>
      <c r="K1340" s="3">
        <v>9</v>
      </c>
      <c r="L1340">
        <f t="shared" si="212"/>
        <v>3.438575E-2</v>
      </c>
      <c r="M1340">
        <f t="shared" si="217"/>
        <v>6.8771499999999999E-2</v>
      </c>
      <c r="N1340" s="8">
        <v>2</v>
      </c>
      <c r="O1340" s="14">
        <f t="shared" si="213"/>
        <v>28</v>
      </c>
      <c r="P1340" s="8">
        <v>20</v>
      </c>
      <c r="Q1340" s="8">
        <f t="shared" si="215"/>
        <v>0.1</v>
      </c>
      <c r="R1340" s="8">
        <f t="shared" si="216"/>
        <v>1.3333333333333333</v>
      </c>
      <c r="S1340" s="8">
        <f t="shared" si="214"/>
        <v>1.4333333333333333</v>
      </c>
      <c r="T1340" s="22">
        <f t="shared" si="218"/>
        <v>2.0724774988157273E-2</v>
      </c>
      <c r="U1340" s="19">
        <f t="shared" si="219"/>
        <v>6190.2854985788945</v>
      </c>
      <c r="V1340" s="29" t="s">
        <v>2983</v>
      </c>
    </row>
    <row r="1341" spans="1:22" ht="15" customHeight="1" x14ac:dyDescent="0.25">
      <c r="A1341" t="s">
        <v>518</v>
      </c>
      <c r="B1341" t="s">
        <v>1091</v>
      </c>
      <c r="C1341" t="s">
        <v>2131</v>
      </c>
      <c r="D1341" t="s">
        <v>2132</v>
      </c>
      <c r="E1341" t="s">
        <v>833</v>
      </c>
      <c r="F1341" s="5">
        <v>12.9</v>
      </c>
      <c r="G1341" t="s">
        <v>822</v>
      </c>
      <c r="H1341" s="3">
        <v>50</v>
      </c>
      <c r="I1341" s="3">
        <v>42</v>
      </c>
      <c r="J1341" s="3">
        <v>5</v>
      </c>
      <c r="K1341" s="3">
        <v>5</v>
      </c>
      <c r="L1341">
        <f t="shared" si="212"/>
        <v>1.0500000000000001E-2</v>
      </c>
      <c r="M1341">
        <f t="shared" si="217"/>
        <v>2.1000000000000001E-2</v>
      </c>
      <c r="N1341" s="8">
        <v>2</v>
      </c>
      <c r="O1341" s="14">
        <f t="shared" si="213"/>
        <v>25.8</v>
      </c>
      <c r="P1341" s="8">
        <v>20</v>
      </c>
      <c r="Q1341" s="8">
        <f t="shared" si="215"/>
        <v>0.1</v>
      </c>
      <c r="R1341" s="8">
        <f t="shared" si="216"/>
        <v>1.3333333333333333</v>
      </c>
      <c r="S1341" s="8">
        <f t="shared" si="214"/>
        <v>1.4333333333333333</v>
      </c>
      <c r="T1341" s="22">
        <f t="shared" si="218"/>
        <v>1.9096399810516345E-2</v>
      </c>
      <c r="U1341" s="19">
        <f t="shared" si="219"/>
        <v>6190.3045949787047</v>
      </c>
      <c r="V1341" s="29" t="s">
        <v>2983</v>
      </c>
    </row>
    <row r="1342" spans="1:22" ht="15" customHeight="1" x14ac:dyDescent="0.25">
      <c r="A1342" t="s">
        <v>518</v>
      </c>
      <c r="B1342" t="s">
        <v>1091</v>
      </c>
      <c r="C1342" t="s">
        <v>2200</v>
      </c>
      <c r="D1342" t="s">
        <v>2201</v>
      </c>
      <c r="E1342" t="s">
        <v>833</v>
      </c>
      <c r="F1342" s="5">
        <v>12.09</v>
      </c>
      <c r="G1342" t="s">
        <v>606</v>
      </c>
      <c r="H1342" s="3">
        <v>2.6</v>
      </c>
      <c r="I1342" s="3">
        <v>26</v>
      </c>
      <c r="J1342" s="3">
        <v>14</v>
      </c>
      <c r="K1342" s="3">
        <v>4.5</v>
      </c>
      <c r="L1342">
        <f t="shared" si="212"/>
        <v>9.4640000000000002E-4</v>
      </c>
      <c r="M1342">
        <f t="shared" si="217"/>
        <v>1.8928E-3</v>
      </c>
      <c r="N1342" s="8">
        <v>2</v>
      </c>
      <c r="O1342" s="14">
        <f t="shared" si="213"/>
        <v>24.18</v>
      </c>
      <c r="P1342" s="8">
        <v>20</v>
      </c>
      <c r="Q1342" s="8">
        <f t="shared" si="215"/>
        <v>0.1</v>
      </c>
      <c r="R1342" s="8">
        <f t="shared" si="216"/>
        <v>1.3333333333333333</v>
      </c>
      <c r="S1342" s="8">
        <f t="shared" si="214"/>
        <v>1.4333333333333333</v>
      </c>
      <c r="T1342" s="22">
        <f t="shared" si="218"/>
        <v>1.7897323543344387E-2</v>
      </c>
      <c r="U1342" s="19">
        <f t="shared" si="219"/>
        <v>6190.3224923022481</v>
      </c>
      <c r="V1342" s="29" t="s">
        <v>2983</v>
      </c>
    </row>
    <row r="1343" spans="1:22" ht="15" customHeight="1" x14ac:dyDescent="0.25">
      <c r="A1343" t="s">
        <v>518</v>
      </c>
      <c r="B1343" t="s">
        <v>1091</v>
      </c>
      <c r="C1343" t="s">
        <v>2129</v>
      </c>
      <c r="D1343" t="s">
        <v>829</v>
      </c>
      <c r="E1343" t="s">
        <v>821</v>
      </c>
      <c r="F1343" s="5">
        <v>11.5</v>
      </c>
      <c r="G1343" t="s">
        <v>830</v>
      </c>
      <c r="H1343" s="3">
        <v>34.6</v>
      </c>
      <c r="I1343" s="3">
        <v>32.200000000000003</v>
      </c>
      <c r="J1343" s="3">
        <v>20.5</v>
      </c>
      <c r="K1343" s="3">
        <v>18</v>
      </c>
      <c r="L1343">
        <f t="shared" si="212"/>
        <v>2.2839460000000002E-2</v>
      </c>
      <c r="M1343">
        <f t="shared" si="217"/>
        <v>4.5678920000000005E-2</v>
      </c>
      <c r="N1343" s="8">
        <v>2</v>
      </c>
      <c r="O1343" s="14">
        <f t="shared" si="213"/>
        <v>23</v>
      </c>
      <c r="P1343" s="8">
        <v>20</v>
      </c>
      <c r="Q1343" s="8">
        <f t="shared" si="215"/>
        <v>0.1</v>
      </c>
      <c r="R1343" s="8">
        <f t="shared" si="216"/>
        <v>1.3333333333333333</v>
      </c>
      <c r="S1343" s="8">
        <f t="shared" si="214"/>
        <v>1.4333333333333333</v>
      </c>
      <c r="T1343" s="22">
        <f t="shared" si="218"/>
        <v>1.7023922311700617E-2</v>
      </c>
      <c r="U1343" s="19">
        <f t="shared" si="219"/>
        <v>6190.3395162245597</v>
      </c>
      <c r="V1343" s="29" t="s">
        <v>2983</v>
      </c>
    </row>
    <row r="1344" spans="1:22" ht="15" customHeight="1" x14ac:dyDescent="0.25">
      <c r="A1344" t="s">
        <v>518</v>
      </c>
      <c r="B1344" t="s">
        <v>1091</v>
      </c>
      <c r="C1344" t="s">
        <v>2204</v>
      </c>
      <c r="D1344" t="s">
        <v>2205</v>
      </c>
      <c r="E1344" t="s">
        <v>833</v>
      </c>
      <c r="F1344" s="5">
        <v>11.49</v>
      </c>
      <c r="G1344" t="s">
        <v>606</v>
      </c>
      <c r="H1344" s="3">
        <v>3</v>
      </c>
      <c r="I1344" s="3">
        <v>20</v>
      </c>
      <c r="J1344" s="3">
        <v>14</v>
      </c>
      <c r="K1344" s="3">
        <v>3.5</v>
      </c>
      <c r="L1344">
        <f t="shared" si="212"/>
        <v>8.4000000000000003E-4</v>
      </c>
      <c r="M1344">
        <f t="shared" si="217"/>
        <v>1.6800000000000001E-3</v>
      </c>
      <c r="N1344" s="8">
        <v>2</v>
      </c>
      <c r="O1344" s="14">
        <f t="shared" si="213"/>
        <v>22.98</v>
      </c>
      <c r="P1344" s="8">
        <v>20</v>
      </c>
      <c r="Q1344" s="8">
        <f t="shared" si="215"/>
        <v>0.1</v>
      </c>
      <c r="R1344" s="8">
        <f t="shared" si="216"/>
        <v>1.3333333333333333</v>
      </c>
      <c r="S1344" s="8">
        <f t="shared" si="214"/>
        <v>1.4333333333333333</v>
      </c>
      <c r="T1344" s="22">
        <f t="shared" si="218"/>
        <v>1.7009118900994789E-2</v>
      </c>
      <c r="U1344" s="19">
        <f t="shared" si="219"/>
        <v>6190.3565253434608</v>
      </c>
      <c r="V1344" s="29" t="s">
        <v>2983</v>
      </c>
    </row>
    <row r="1345" spans="1:22" ht="15" customHeight="1" x14ac:dyDescent="0.25">
      <c r="A1345" t="s">
        <v>518</v>
      </c>
      <c r="B1345" t="s">
        <v>637</v>
      </c>
      <c r="C1345" t="s">
        <v>2300</v>
      </c>
      <c r="D1345" t="s">
        <v>2303</v>
      </c>
      <c r="E1345" t="s">
        <v>24</v>
      </c>
      <c r="F1345" s="5">
        <v>0.95</v>
      </c>
      <c r="G1345" t="s">
        <v>710</v>
      </c>
      <c r="H1345" s="3">
        <v>4</v>
      </c>
      <c r="I1345" s="3">
        <v>2</v>
      </c>
      <c r="J1345" s="3">
        <v>5</v>
      </c>
      <c r="K1345" s="3">
        <v>0.5</v>
      </c>
      <c r="L1345">
        <f t="shared" si="212"/>
        <v>4.0000000000000003E-5</v>
      </c>
      <c r="M1345">
        <f t="shared" si="217"/>
        <v>9.6000000000000013E-4</v>
      </c>
      <c r="N1345" s="8">
        <v>24</v>
      </c>
      <c r="O1345" s="14">
        <f t="shared" si="213"/>
        <v>22.799999999999997</v>
      </c>
      <c r="P1345" s="8">
        <v>20</v>
      </c>
      <c r="Q1345" s="8">
        <f t="shared" si="215"/>
        <v>1.2</v>
      </c>
      <c r="R1345" s="8">
        <f t="shared" si="216"/>
        <v>16</v>
      </c>
      <c r="S1345" s="8">
        <f t="shared" si="214"/>
        <v>17.2</v>
      </c>
      <c r="T1345" s="22">
        <f t="shared" si="218"/>
        <v>1.6875888204642347E-2</v>
      </c>
      <c r="U1345" s="19">
        <f t="shared" si="219"/>
        <v>6190.3734012316654</v>
      </c>
      <c r="V1345" s="29" t="s">
        <v>2983</v>
      </c>
    </row>
    <row r="1346" spans="1:22" ht="15" customHeight="1" x14ac:dyDescent="0.25">
      <c r="A1346" t="s">
        <v>518</v>
      </c>
      <c r="B1346" t="s">
        <v>1091</v>
      </c>
      <c r="C1346" t="s">
        <v>2141</v>
      </c>
      <c r="D1346" t="s">
        <v>2142</v>
      </c>
      <c r="E1346" t="s">
        <v>833</v>
      </c>
      <c r="F1346" s="5">
        <v>10.9</v>
      </c>
      <c r="G1346" t="s">
        <v>822</v>
      </c>
      <c r="H1346" s="3">
        <v>49.5</v>
      </c>
      <c r="I1346" s="3">
        <v>55.8</v>
      </c>
      <c r="J1346" s="3">
        <v>2</v>
      </c>
      <c r="K1346" s="3">
        <v>4.5</v>
      </c>
      <c r="L1346">
        <f t="shared" ref="L1346:L1409" si="220">J1346*I1346*H1346/1000000</f>
        <v>5.5241999999999999E-3</v>
      </c>
      <c r="M1346">
        <f t="shared" si="217"/>
        <v>1.10484E-2</v>
      </c>
      <c r="N1346" s="8">
        <v>2</v>
      </c>
      <c r="O1346" s="14">
        <f t="shared" ref="O1346:O1409" si="221">N1346*F1346</f>
        <v>21.8</v>
      </c>
      <c r="P1346" s="8">
        <v>20</v>
      </c>
      <c r="Q1346" s="8">
        <f t="shared" si="215"/>
        <v>0.1</v>
      </c>
      <c r="R1346" s="8">
        <f t="shared" si="216"/>
        <v>1.3333333333333333</v>
      </c>
      <c r="S1346" s="8">
        <f t="shared" ref="S1346:S1409" si="222">Q1346+R1346</f>
        <v>1.4333333333333333</v>
      </c>
      <c r="T1346" s="22">
        <f t="shared" si="218"/>
        <v>1.613571766935102E-2</v>
      </c>
      <c r="U1346" s="19">
        <f t="shared" si="219"/>
        <v>6190.3895369493348</v>
      </c>
      <c r="V1346" s="29" t="s">
        <v>2983</v>
      </c>
    </row>
    <row r="1347" spans="1:22" ht="15" customHeight="1" x14ac:dyDescent="0.25">
      <c r="A1347" t="s">
        <v>518</v>
      </c>
      <c r="B1347" t="s">
        <v>1091</v>
      </c>
      <c r="C1347" t="s">
        <v>2143</v>
      </c>
      <c r="D1347" t="s">
        <v>2142</v>
      </c>
      <c r="E1347" t="s">
        <v>833</v>
      </c>
      <c r="F1347" s="5">
        <v>10.9</v>
      </c>
      <c r="G1347" t="s">
        <v>822</v>
      </c>
      <c r="H1347" s="3">
        <v>49.5</v>
      </c>
      <c r="I1347" s="3">
        <v>55.8</v>
      </c>
      <c r="J1347" s="3">
        <v>2</v>
      </c>
      <c r="K1347" s="3">
        <v>4.5</v>
      </c>
      <c r="L1347">
        <f t="shared" si="220"/>
        <v>5.5241999999999999E-3</v>
      </c>
      <c r="M1347">
        <f t="shared" si="217"/>
        <v>1.10484E-2</v>
      </c>
      <c r="N1347" s="8">
        <v>2</v>
      </c>
      <c r="O1347" s="14">
        <f t="shared" si="221"/>
        <v>21.8</v>
      </c>
      <c r="P1347" s="8">
        <v>20</v>
      </c>
      <c r="Q1347" s="8">
        <f t="shared" si="215"/>
        <v>0.1</v>
      </c>
      <c r="R1347" s="8">
        <f t="shared" si="216"/>
        <v>1.3333333333333333</v>
      </c>
      <c r="S1347" s="8">
        <f t="shared" si="222"/>
        <v>1.4333333333333333</v>
      </c>
      <c r="T1347" s="22">
        <f t="shared" si="218"/>
        <v>1.613571766935102E-2</v>
      </c>
      <c r="U1347" s="19">
        <f t="shared" si="219"/>
        <v>6190.4056726670042</v>
      </c>
      <c r="V1347" s="29" t="s">
        <v>2983</v>
      </c>
    </row>
    <row r="1348" spans="1:22" ht="15" customHeight="1" x14ac:dyDescent="0.25">
      <c r="A1348" t="s">
        <v>518</v>
      </c>
      <c r="B1348" t="s">
        <v>1091</v>
      </c>
      <c r="C1348" t="s">
        <v>2144</v>
      </c>
      <c r="D1348" t="s">
        <v>2142</v>
      </c>
      <c r="E1348" t="s">
        <v>833</v>
      </c>
      <c r="F1348" s="5">
        <v>10.9</v>
      </c>
      <c r="G1348" t="s">
        <v>822</v>
      </c>
      <c r="H1348" s="3">
        <v>49.5</v>
      </c>
      <c r="I1348" s="3">
        <v>55.8</v>
      </c>
      <c r="J1348" s="3">
        <v>2</v>
      </c>
      <c r="K1348" s="3">
        <v>4.5</v>
      </c>
      <c r="L1348">
        <f t="shared" si="220"/>
        <v>5.5241999999999999E-3</v>
      </c>
      <c r="M1348">
        <f t="shared" si="217"/>
        <v>1.10484E-2</v>
      </c>
      <c r="N1348" s="8">
        <v>2</v>
      </c>
      <c r="O1348" s="14">
        <f t="shared" si="221"/>
        <v>21.8</v>
      </c>
      <c r="P1348" s="8">
        <v>20</v>
      </c>
      <c r="Q1348" s="8">
        <f t="shared" si="215"/>
        <v>0.1</v>
      </c>
      <c r="R1348" s="8">
        <f t="shared" si="216"/>
        <v>1.3333333333333333</v>
      </c>
      <c r="S1348" s="8">
        <f t="shared" si="222"/>
        <v>1.4333333333333333</v>
      </c>
      <c r="T1348" s="22">
        <f t="shared" si="218"/>
        <v>1.613571766935102E-2</v>
      </c>
      <c r="U1348" s="19">
        <f t="shared" si="219"/>
        <v>6190.4218083846736</v>
      </c>
      <c r="V1348" s="29" t="s">
        <v>2983</v>
      </c>
    </row>
    <row r="1349" spans="1:22" ht="15" customHeight="1" x14ac:dyDescent="0.25">
      <c r="A1349" t="s">
        <v>518</v>
      </c>
      <c r="B1349" t="s">
        <v>1091</v>
      </c>
      <c r="C1349" t="s">
        <v>2125</v>
      </c>
      <c r="D1349" t="s">
        <v>823</v>
      </c>
      <c r="E1349" t="s">
        <v>821</v>
      </c>
      <c r="F1349" s="5">
        <v>10</v>
      </c>
      <c r="G1349" t="s">
        <v>606</v>
      </c>
      <c r="H1349" s="3">
        <v>48.9</v>
      </c>
      <c r="I1349" s="3">
        <v>39.6</v>
      </c>
      <c r="J1349" s="3">
        <v>16.5</v>
      </c>
      <c r="K1349" s="3">
        <v>12.3</v>
      </c>
      <c r="L1349">
        <f t="shared" si="220"/>
        <v>3.1951259999999995E-2</v>
      </c>
      <c r="M1349">
        <f t="shared" si="217"/>
        <v>6.390251999999999E-2</v>
      </c>
      <c r="N1349" s="8">
        <v>2</v>
      </c>
      <c r="O1349" s="14">
        <f t="shared" si="221"/>
        <v>20</v>
      </c>
      <c r="P1349" s="8">
        <v>20</v>
      </c>
      <c r="Q1349" s="8">
        <f t="shared" si="215"/>
        <v>0.1</v>
      </c>
      <c r="R1349" s="8">
        <f t="shared" si="216"/>
        <v>1.3333333333333333</v>
      </c>
      <c r="S1349" s="8">
        <f t="shared" si="222"/>
        <v>1.4333333333333333</v>
      </c>
      <c r="T1349" s="22">
        <f t="shared" si="218"/>
        <v>1.4803410705826622E-2</v>
      </c>
      <c r="U1349" s="19">
        <f t="shared" si="219"/>
        <v>6190.4366117953796</v>
      </c>
      <c r="V1349" s="29" t="s">
        <v>2983</v>
      </c>
    </row>
    <row r="1350" spans="1:22" ht="15" customHeight="1" x14ac:dyDescent="0.25">
      <c r="A1350" t="s">
        <v>518</v>
      </c>
      <c r="B1350" t="s">
        <v>1091</v>
      </c>
      <c r="C1350" t="s">
        <v>2125</v>
      </c>
      <c r="D1350" t="s">
        <v>824</v>
      </c>
      <c r="E1350" t="s">
        <v>821</v>
      </c>
      <c r="F1350" s="5">
        <v>10</v>
      </c>
      <c r="G1350" t="s">
        <v>606</v>
      </c>
      <c r="H1350" s="3">
        <v>48.9</v>
      </c>
      <c r="I1350" s="3">
        <v>39.6</v>
      </c>
      <c r="J1350" s="3">
        <v>16.5</v>
      </c>
      <c r="K1350" s="3">
        <v>12.3</v>
      </c>
      <c r="L1350">
        <f t="shared" si="220"/>
        <v>3.1951259999999995E-2</v>
      </c>
      <c r="M1350">
        <f t="shared" si="217"/>
        <v>6.390251999999999E-2</v>
      </c>
      <c r="N1350" s="8">
        <v>2</v>
      </c>
      <c r="O1350" s="14">
        <f t="shared" si="221"/>
        <v>20</v>
      </c>
      <c r="P1350" s="8">
        <v>20</v>
      </c>
      <c r="Q1350" s="8">
        <f t="shared" si="215"/>
        <v>0.1</v>
      </c>
      <c r="R1350" s="8">
        <f t="shared" si="216"/>
        <v>1.3333333333333333</v>
      </c>
      <c r="S1350" s="8">
        <f t="shared" si="222"/>
        <v>1.4333333333333333</v>
      </c>
      <c r="T1350" s="22">
        <f t="shared" si="218"/>
        <v>1.4803410705826622E-2</v>
      </c>
      <c r="U1350" s="19">
        <f t="shared" si="219"/>
        <v>6190.4514152060856</v>
      </c>
      <c r="V1350" s="29" t="s">
        <v>2983</v>
      </c>
    </row>
    <row r="1351" spans="1:22" ht="15" customHeight="1" x14ac:dyDescent="0.25">
      <c r="A1351" t="s">
        <v>518</v>
      </c>
      <c r="B1351" t="s">
        <v>1090</v>
      </c>
      <c r="C1351" t="s">
        <v>2387</v>
      </c>
      <c r="D1351" t="s">
        <v>2260</v>
      </c>
      <c r="E1351" t="s">
        <v>234</v>
      </c>
      <c r="F1351" s="5">
        <v>3.9</v>
      </c>
      <c r="G1351" t="s">
        <v>683</v>
      </c>
      <c r="H1351" s="3">
        <v>12.5</v>
      </c>
      <c r="I1351" s="3">
        <v>80</v>
      </c>
      <c r="J1351" s="3">
        <v>20</v>
      </c>
      <c r="K1351" s="3">
        <v>25</v>
      </c>
      <c r="L1351">
        <f t="shared" si="220"/>
        <v>0.02</v>
      </c>
      <c r="M1351">
        <f t="shared" si="217"/>
        <v>0.1</v>
      </c>
      <c r="N1351" s="8">
        <v>5</v>
      </c>
      <c r="O1351" s="14">
        <f t="shared" si="221"/>
        <v>19.5</v>
      </c>
      <c r="P1351" s="8">
        <v>20</v>
      </c>
      <c r="Q1351" s="8">
        <f t="shared" si="215"/>
        <v>0.25</v>
      </c>
      <c r="R1351" s="8">
        <f t="shared" si="216"/>
        <v>3.333333333333333</v>
      </c>
      <c r="S1351" s="8">
        <f t="shared" si="222"/>
        <v>3.583333333333333</v>
      </c>
      <c r="T1351" s="22">
        <f t="shared" si="218"/>
        <v>1.4433325438180957E-2</v>
      </c>
      <c r="U1351" s="19">
        <f t="shared" si="219"/>
        <v>6190.465848531524</v>
      </c>
      <c r="V1351" s="29" t="s">
        <v>2983</v>
      </c>
    </row>
    <row r="1352" spans="1:22" ht="15" customHeight="1" x14ac:dyDescent="0.25">
      <c r="A1352" t="s">
        <v>518</v>
      </c>
      <c r="B1352" t="s">
        <v>1091</v>
      </c>
      <c r="C1352" t="s">
        <v>2133</v>
      </c>
      <c r="D1352" t="s">
        <v>2134</v>
      </c>
      <c r="E1352" t="s">
        <v>833</v>
      </c>
      <c r="F1352" s="5">
        <v>7.9</v>
      </c>
      <c r="G1352" t="s">
        <v>822</v>
      </c>
      <c r="H1352" s="3">
        <v>25.1</v>
      </c>
      <c r="I1352" s="3">
        <v>30.3</v>
      </c>
      <c r="J1352" s="3">
        <v>6</v>
      </c>
      <c r="K1352" s="3">
        <v>6.2</v>
      </c>
      <c r="L1352">
        <f t="shared" si="220"/>
        <v>4.56318E-3</v>
      </c>
      <c r="M1352">
        <f t="shared" si="217"/>
        <v>9.12636E-3</v>
      </c>
      <c r="N1352" s="8">
        <v>2</v>
      </c>
      <c r="O1352" s="14">
        <f t="shared" si="221"/>
        <v>15.8</v>
      </c>
      <c r="P1352" s="8">
        <v>20</v>
      </c>
      <c r="Q1352" s="8">
        <f t="shared" si="215"/>
        <v>0.1</v>
      </c>
      <c r="R1352" s="8">
        <f t="shared" si="216"/>
        <v>1.3333333333333333</v>
      </c>
      <c r="S1352" s="8">
        <f t="shared" si="222"/>
        <v>1.4333333333333333</v>
      </c>
      <c r="T1352" s="22">
        <f t="shared" si="218"/>
        <v>1.1694694457603032E-2</v>
      </c>
      <c r="U1352" s="19">
        <f t="shared" si="219"/>
        <v>6190.4775432259812</v>
      </c>
      <c r="V1352" s="29" t="s">
        <v>2983</v>
      </c>
    </row>
    <row r="1353" spans="1:22" ht="15" customHeight="1" x14ac:dyDescent="0.25">
      <c r="A1353" t="s">
        <v>518</v>
      </c>
      <c r="B1353" t="s">
        <v>1091</v>
      </c>
      <c r="C1353" t="s">
        <v>2135</v>
      </c>
      <c r="D1353" t="s">
        <v>2134</v>
      </c>
      <c r="E1353" t="s">
        <v>833</v>
      </c>
      <c r="F1353" s="5">
        <v>7.9</v>
      </c>
      <c r="G1353" t="s">
        <v>822</v>
      </c>
      <c r="H1353" s="3">
        <v>25.1</v>
      </c>
      <c r="I1353" s="3">
        <v>30.3</v>
      </c>
      <c r="J1353" s="3">
        <v>6</v>
      </c>
      <c r="K1353" s="3">
        <v>6.2</v>
      </c>
      <c r="L1353">
        <f t="shared" si="220"/>
        <v>4.56318E-3</v>
      </c>
      <c r="M1353">
        <f t="shared" si="217"/>
        <v>9.12636E-3</v>
      </c>
      <c r="N1353" s="8">
        <v>2</v>
      </c>
      <c r="O1353" s="14">
        <f t="shared" si="221"/>
        <v>15.8</v>
      </c>
      <c r="P1353" s="8">
        <v>20</v>
      </c>
      <c r="Q1353" s="8">
        <f t="shared" si="215"/>
        <v>0.1</v>
      </c>
      <c r="R1353" s="8">
        <f t="shared" si="216"/>
        <v>1.3333333333333333</v>
      </c>
      <c r="S1353" s="8">
        <f t="shared" si="222"/>
        <v>1.4333333333333333</v>
      </c>
      <c r="T1353" s="22">
        <f t="shared" si="218"/>
        <v>1.1694694457603032E-2</v>
      </c>
      <c r="U1353" s="19">
        <f t="shared" si="219"/>
        <v>6190.4892379204384</v>
      </c>
      <c r="V1353" s="29" t="s">
        <v>2983</v>
      </c>
    </row>
    <row r="1354" spans="1:22" ht="15" customHeight="1" x14ac:dyDescent="0.25">
      <c r="A1354" t="s">
        <v>518</v>
      </c>
      <c r="B1354" t="s">
        <v>1091</v>
      </c>
      <c r="C1354" t="s">
        <v>2122</v>
      </c>
      <c r="D1354" t="s">
        <v>2123</v>
      </c>
      <c r="E1354" t="s">
        <v>821</v>
      </c>
      <c r="F1354" s="5">
        <v>6.9</v>
      </c>
      <c r="G1354" t="s">
        <v>606</v>
      </c>
      <c r="H1354" s="3">
        <v>40.5</v>
      </c>
      <c r="I1354" s="3">
        <v>35.700000000000003</v>
      </c>
      <c r="J1354" s="3">
        <v>12</v>
      </c>
      <c r="K1354" s="3">
        <v>15</v>
      </c>
      <c r="L1354">
        <f t="shared" si="220"/>
        <v>1.73502E-2</v>
      </c>
      <c r="M1354">
        <f t="shared" si="217"/>
        <v>3.4700399999999999E-2</v>
      </c>
      <c r="N1354" s="8">
        <v>2</v>
      </c>
      <c r="O1354" s="14">
        <f t="shared" si="221"/>
        <v>13.8</v>
      </c>
      <c r="P1354" s="8">
        <v>20</v>
      </c>
      <c r="Q1354" s="8">
        <f t="shared" si="215"/>
        <v>0.1</v>
      </c>
      <c r="R1354" s="8">
        <f t="shared" si="216"/>
        <v>1.3333333333333333</v>
      </c>
      <c r="S1354" s="8">
        <f t="shared" si="222"/>
        <v>1.4333333333333333</v>
      </c>
      <c r="T1354" s="22">
        <f t="shared" si="218"/>
        <v>1.021435338702037E-2</v>
      </c>
      <c r="U1354" s="19">
        <f t="shared" si="219"/>
        <v>6190.4994522738252</v>
      </c>
      <c r="V1354" s="29" t="s">
        <v>2983</v>
      </c>
    </row>
    <row r="1355" spans="1:22" ht="15" customHeight="1" x14ac:dyDescent="0.25">
      <c r="A1355" t="s">
        <v>518</v>
      </c>
      <c r="B1355" t="s">
        <v>1091</v>
      </c>
      <c r="C1355" t="s">
        <v>2124</v>
      </c>
      <c r="D1355" t="s">
        <v>2123</v>
      </c>
      <c r="E1355" t="s">
        <v>821</v>
      </c>
      <c r="F1355" s="5">
        <v>6.9</v>
      </c>
      <c r="G1355" t="s">
        <v>606</v>
      </c>
      <c r="H1355" s="3">
        <v>40.5</v>
      </c>
      <c r="I1355" s="3">
        <v>35.700000000000003</v>
      </c>
      <c r="J1355" s="3">
        <v>12</v>
      </c>
      <c r="K1355" s="3">
        <v>15</v>
      </c>
      <c r="L1355">
        <f t="shared" si="220"/>
        <v>1.73502E-2</v>
      </c>
      <c r="M1355">
        <f t="shared" si="217"/>
        <v>3.4700399999999999E-2</v>
      </c>
      <c r="N1355" s="8">
        <v>2</v>
      </c>
      <c r="O1355" s="14">
        <f t="shared" si="221"/>
        <v>13.8</v>
      </c>
      <c r="P1355" s="8">
        <v>20</v>
      </c>
      <c r="Q1355" s="8">
        <f t="shared" si="215"/>
        <v>0.1</v>
      </c>
      <c r="R1355" s="8">
        <f t="shared" si="216"/>
        <v>1.3333333333333333</v>
      </c>
      <c r="S1355" s="8">
        <f t="shared" si="222"/>
        <v>1.4333333333333333</v>
      </c>
      <c r="T1355" s="22">
        <f t="shared" si="218"/>
        <v>1.021435338702037E-2</v>
      </c>
      <c r="U1355" s="19">
        <f t="shared" si="219"/>
        <v>6190.509666627212</v>
      </c>
      <c r="V1355" s="29" t="s">
        <v>2983</v>
      </c>
    </row>
    <row r="1356" spans="1:22" ht="15" customHeight="1" x14ac:dyDescent="0.25">
      <c r="A1356" t="s">
        <v>518</v>
      </c>
      <c r="B1356" t="s">
        <v>1091</v>
      </c>
      <c r="C1356" t="s">
        <v>2178</v>
      </c>
      <c r="D1356" t="s">
        <v>866</v>
      </c>
      <c r="E1356" t="s">
        <v>833</v>
      </c>
      <c r="F1356" s="5">
        <v>4.95</v>
      </c>
      <c r="G1356" t="s">
        <v>859</v>
      </c>
      <c r="H1356" s="3">
        <v>39</v>
      </c>
      <c r="I1356" s="3">
        <v>16</v>
      </c>
      <c r="J1356" s="3">
        <v>3.6</v>
      </c>
      <c r="K1356" s="3">
        <v>12</v>
      </c>
      <c r="L1356">
        <f t="shared" si="220"/>
        <v>2.2464E-3</v>
      </c>
      <c r="M1356">
        <f t="shared" si="217"/>
        <v>4.4927999999999999E-3</v>
      </c>
      <c r="N1356" s="8">
        <v>2</v>
      </c>
      <c r="O1356" s="14">
        <f t="shared" si="221"/>
        <v>9.9</v>
      </c>
      <c r="P1356" s="8">
        <v>20</v>
      </c>
      <c r="Q1356" s="8">
        <f t="shared" si="215"/>
        <v>0.1</v>
      </c>
      <c r="R1356" s="8">
        <f t="shared" si="216"/>
        <v>1.3333333333333333</v>
      </c>
      <c r="S1356" s="8">
        <f t="shared" si="222"/>
        <v>1.4333333333333333</v>
      </c>
      <c r="T1356" s="22">
        <f t="shared" si="218"/>
        <v>7.3276882993841786E-3</v>
      </c>
      <c r="U1356" s="19">
        <f t="shared" si="219"/>
        <v>6190.5169943155115</v>
      </c>
      <c r="V1356" s="29" t="s">
        <v>2983</v>
      </c>
    </row>
    <row r="1357" spans="1:22" ht="15" customHeight="1" x14ac:dyDescent="0.25">
      <c r="A1357" t="s">
        <v>518</v>
      </c>
      <c r="B1357" t="s">
        <v>1091</v>
      </c>
      <c r="C1357" t="s">
        <v>2175</v>
      </c>
      <c r="D1357" t="s">
        <v>863</v>
      </c>
      <c r="E1357" t="s">
        <v>833</v>
      </c>
      <c r="F1357" s="5">
        <v>3.9</v>
      </c>
      <c r="G1357" t="s">
        <v>859</v>
      </c>
      <c r="H1357" s="3">
        <v>30</v>
      </c>
      <c r="I1357" s="3">
        <v>12</v>
      </c>
      <c r="J1357" s="3">
        <v>4.5</v>
      </c>
      <c r="K1357" s="3">
        <v>8.1999999999999993</v>
      </c>
      <c r="L1357">
        <f t="shared" si="220"/>
        <v>1.6199999999999999E-3</v>
      </c>
      <c r="M1357">
        <f t="shared" si="217"/>
        <v>3.2399999999999998E-3</v>
      </c>
      <c r="N1357" s="8">
        <v>2</v>
      </c>
      <c r="O1357" s="14">
        <f t="shared" si="221"/>
        <v>7.8</v>
      </c>
      <c r="P1357" s="8">
        <v>20</v>
      </c>
      <c r="Q1357" s="8">
        <f t="shared" si="215"/>
        <v>0.1</v>
      </c>
      <c r="R1357" s="8">
        <f t="shared" si="216"/>
        <v>1.3333333333333333</v>
      </c>
      <c r="S1357" s="8">
        <f t="shared" si="222"/>
        <v>1.4333333333333333</v>
      </c>
      <c r="T1357" s="22">
        <f t="shared" si="218"/>
        <v>5.7733301752723827E-3</v>
      </c>
      <c r="U1357" s="19">
        <f t="shared" si="219"/>
        <v>6190.5227676456871</v>
      </c>
      <c r="V1357" s="29" t="s">
        <v>2983</v>
      </c>
    </row>
    <row r="1358" spans="1:22" ht="15" customHeight="1" x14ac:dyDescent="0.25">
      <c r="A1358" t="s">
        <v>518</v>
      </c>
      <c r="B1358" t="s">
        <v>1091</v>
      </c>
      <c r="C1358" t="s">
        <v>2176</v>
      </c>
      <c r="D1358" t="s">
        <v>864</v>
      </c>
      <c r="E1358" t="s">
        <v>833</v>
      </c>
      <c r="F1358" s="5">
        <v>3.9</v>
      </c>
      <c r="G1358" t="s">
        <v>859</v>
      </c>
      <c r="H1358" s="3">
        <v>30</v>
      </c>
      <c r="I1358" s="3">
        <v>12</v>
      </c>
      <c r="J1358" s="3">
        <v>4.5</v>
      </c>
      <c r="K1358" s="3">
        <v>8.1999999999999993</v>
      </c>
      <c r="L1358">
        <f t="shared" si="220"/>
        <v>1.6199999999999999E-3</v>
      </c>
      <c r="M1358">
        <f t="shared" si="217"/>
        <v>3.2399999999999998E-3</v>
      </c>
      <c r="N1358" s="8">
        <v>2</v>
      </c>
      <c r="O1358" s="14">
        <f t="shared" si="221"/>
        <v>7.8</v>
      </c>
      <c r="P1358" s="8">
        <v>20</v>
      </c>
      <c r="Q1358" s="8">
        <f t="shared" si="215"/>
        <v>0.1</v>
      </c>
      <c r="R1358" s="8">
        <f t="shared" si="216"/>
        <v>1.3333333333333333</v>
      </c>
      <c r="S1358" s="8">
        <f t="shared" si="222"/>
        <v>1.4333333333333333</v>
      </c>
      <c r="T1358" s="22">
        <f t="shared" si="218"/>
        <v>5.7733301752723827E-3</v>
      </c>
      <c r="U1358" s="19">
        <f t="shared" si="219"/>
        <v>6190.5285409758626</v>
      </c>
      <c r="V1358" s="29" t="s">
        <v>2983</v>
      </c>
    </row>
    <row r="1359" spans="1:22" ht="15" customHeight="1" x14ac:dyDescent="0.25">
      <c r="A1359" t="s">
        <v>518</v>
      </c>
      <c r="B1359" t="s">
        <v>1091</v>
      </c>
      <c r="C1359" t="s">
        <v>2177</v>
      </c>
      <c r="D1359" t="s">
        <v>865</v>
      </c>
      <c r="E1359" t="s">
        <v>833</v>
      </c>
      <c r="F1359" s="5">
        <v>3.9</v>
      </c>
      <c r="G1359" t="s">
        <v>859</v>
      </c>
      <c r="H1359" s="3">
        <v>30</v>
      </c>
      <c r="I1359" s="3">
        <v>12</v>
      </c>
      <c r="J1359" s="3">
        <v>4.5</v>
      </c>
      <c r="K1359" s="3">
        <v>8.1999999999999993</v>
      </c>
      <c r="L1359">
        <f t="shared" si="220"/>
        <v>1.6199999999999999E-3</v>
      </c>
      <c r="M1359">
        <f t="shared" si="217"/>
        <v>3.2399999999999998E-3</v>
      </c>
      <c r="N1359" s="8">
        <v>2</v>
      </c>
      <c r="O1359" s="14">
        <f t="shared" si="221"/>
        <v>7.8</v>
      </c>
      <c r="P1359" s="8">
        <v>20</v>
      </c>
      <c r="Q1359" s="8">
        <f t="shared" si="215"/>
        <v>0.1</v>
      </c>
      <c r="R1359" s="8">
        <f t="shared" si="216"/>
        <v>1.3333333333333333</v>
      </c>
      <c r="S1359" s="8">
        <f t="shared" si="222"/>
        <v>1.4333333333333333</v>
      </c>
      <c r="T1359" s="22">
        <f t="shared" si="218"/>
        <v>5.7733301752723827E-3</v>
      </c>
      <c r="U1359" s="19">
        <f t="shared" si="219"/>
        <v>6190.5343143060381</v>
      </c>
      <c r="V1359" s="29" t="s">
        <v>2983</v>
      </c>
    </row>
    <row r="1360" spans="1:22" ht="15" customHeight="1" x14ac:dyDescent="0.25">
      <c r="A1360" t="s">
        <v>2504</v>
      </c>
      <c r="B1360" t="s">
        <v>2505</v>
      </c>
      <c r="C1360" t="s">
        <v>2531</v>
      </c>
      <c r="D1360" t="s">
        <v>2532</v>
      </c>
      <c r="E1360" t="s">
        <v>13</v>
      </c>
      <c r="F1360" s="5">
        <v>699</v>
      </c>
      <c r="G1360" t="s">
        <v>444</v>
      </c>
      <c r="H1360" s="3">
        <v>84</v>
      </c>
      <c r="I1360" s="3">
        <v>442</v>
      </c>
      <c r="J1360" s="3">
        <v>206</v>
      </c>
      <c r="K1360" s="3">
        <v>38.200000000000003</v>
      </c>
      <c r="L1360">
        <f t="shared" si="220"/>
        <v>7.6483679999999996</v>
      </c>
      <c r="M1360">
        <f t="shared" si="217"/>
        <v>30.593471999999998</v>
      </c>
      <c r="N1360" s="8">
        <v>4</v>
      </c>
      <c r="O1360" s="14">
        <f t="shared" si="221"/>
        <v>2796</v>
      </c>
      <c r="P1360" s="8">
        <v>60</v>
      </c>
      <c r="Q1360" s="8">
        <f t="shared" si="215"/>
        <v>6.6666666666666666E-2</v>
      </c>
      <c r="R1360" s="8">
        <f t="shared" si="216"/>
        <v>8</v>
      </c>
      <c r="S1360" s="8">
        <f t="shared" si="222"/>
        <v>8.0666666666666664</v>
      </c>
      <c r="T1360" s="18">
        <f t="shared" si="218"/>
        <v>2.0695168166745619</v>
      </c>
      <c r="U1360" s="20">
        <f t="shared" si="219"/>
        <v>6192.603831122713</v>
      </c>
      <c r="V1360" s="25" t="s">
        <v>2987</v>
      </c>
    </row>
    <row r="1361" spans="1:22" ht="15" customHeight="1" x14ac:dyDescent="0.25">
      <c r="A1361" t="s">
        <v>2504</v>
      </c>
      <c r="B1361" t="s">
        <v>2505</v>
      </c>
      <c r="C1361" t="s">
        <v>2533</v>
      </c>
      <c r="D1361" t="s">
        <v>2534</v>
      </c>
      <c r="E1361" t="s">
        <v>13</v>
      </c>
      <c r="F1361" s="5">
        <v>900</v>
      </c>
      <c r="G1361" t="s">
        <v>444</v>
      </c>
      <c r="H1361" s="3">
        <v>84</v>
      </c>
      <c r="I1361" s="3">
        <v>442</v>
      </c>
      <c r="J1361" s="3">
        <v>270</v>
      </c>
      <c r="K1361" s="3">
        <v>41.1</v>
      </c>
      <c r="L1361">
        <f t="shared" si="220"/>
        <v>10.024559999999999</v>
      </c>
      <c r="M1361">
        <f t="shared" si="217"/>
        <v>30.073679999999996</v>
      </c>
      <c r="N1361" s="8">
        <v>3</v>
      </c>
      <c r="O1361" s="14">
        <f t="shared" si="221"/>
        <v>2700</v>
      </c>
      <c r="P1361" s="8">
        <v>60</v>
      </c>
      <c r="Q1361" s="8">
        <f t="shared" si="215"/>
        <v>0.05</v>
      </c>
      <c r="R1361" s="8">
        <f t="shared" si="216"/>
        <v>6</v>
      </c>
      <c r="S1361" s="8">
        <f t="shared" si="222"/>
        <v>6.05</v>
      </c>
      <c r="T1361" s="18">
        <f t="shared" si="218"/>
        <v>1.9984604452865942</v>
      </c>
      <c r="U1361" s="20">
        <f>T1361</f>
        <v>1.9984604452865942</v>
      </c>
      <c r="V1361" s="25" t="s">
        <v>2987</v>
      </c>
    </row>
    <row r="1362" spans="1:22" ht="15" customHeight="1" x14ac:dyDescent="0.25">
      <c r="A1362" t="s">
        <v>2504</v>
      </c>
      <c r="B1362" t="s">
        <v>2505</v>
      </c>
      <c r="C1362" t="s">
        <v>2549</v>
      </c>
      <c r="D1362" t="s">
        <v>2550</v>
      </c>
      <c r="E1362" t="s">
        <v>13</v>
      </c>
      <c r="F1362" s="5">
        <v>599</v>
      </c>
      <c r="G1362" t="s">
        <v>2551</v>
      </c>
      <c r="H1362" s="3">
        <v>80</v>
      </c>
      <c r="I1362" s="3">
        <v>41</v>
      </c>
      <c r="J1362" s="3">
        <v>59</v>
      </c>
      <c r="K1362" s="3">
        <v>22</v>
      </c>
      <c r="L1362">
        <f t="shared" si="220"/>
        <v>0.19352</v>
      </c>
      <c r="M1362">
        <f t="shared" si="217"/>
        <v>0.58055999999999996</v>
      </c>
      <c r="N1362" s="8">
        <v>3</v>
      </c>
      <c r="O1362" s="14">
        <f t="shared" si="221"/>
        <v>1797</v>
      </c>
      <c r="P1362" s="8">
        <v>60</v>
      </c>
      <c r="Q1362" s="8">
        <f t="shared" si="215"/>
        <v>0.05</v>
      </c>
      <c r="R1362" s="8">
        <f t="shared" si="216"/>
        <v>6</v>
      </c>
      <c r="S1362" s="8">
        <f t="shared" si="222"/>
        <v>6.05</v>
      </c>
      <c r="T1362" s="18">
        <f t="shared" si="218"/>
        <v>1.330086451918522</v>
      </c>
      <c r="U1362" s="20">
        <f t="shared" ref="U1362:U1389" si="223">U1361+T1362</f>
        <v>3.3285468972051162</v>
      </c>
      <c r="V1362" s="25" t="s">
        <v>2987</v>
      </c>
    </row>
    <row r="1363" spans="1:22" ht="15" customHeight="1" x14ac:dyDescent="0.25">
      <c r="A1363" t="s">
        <v>2504</v>
      </c>
      <c r="B1363" t="s">
        <v>2505</v>
      </c>
      <c r="C1363" t="s">
        <v>2546</v>
      </c>
      <c r="D1363" t="s">
        <v>2547</v>
      </c>
      <c r="E1363" t="s">
        <v>13</v>
      </c>
      <c r="F1363" s="5">
        <v>589</v>
      </c>
      <c r="G1363" t="s">
        <v>2548</v>
      </c>
      <c r="H1363" s="3">
        <v>67</v>
      </c>
      <c r="I1363" s="3">
        <v>36</v>
      </c>
      <c r="J1363" s="3">
        <v>55</v>
      </c>
      <c r="K1363" s="3">
        <v>24</v>
      </c>
      <c r="L1363">
        <f t="shared" si="220"/>
        <v>0.13266</v>
      </c>
      <c r="M1363">
        <f t="shared" si="217"/>
        <v>0.39798</v>
      </c>
      <c r="N1363" s="8">
        <v>3</v>
      </c>
      <c r="O1363" s="14">
        <f t="shared" si="221"/>
        <v>1767</v>
      </c>
      <c r="P1363" s="8">
        <v>60</v>
      </c>
      <c r="Q1363" s="8">
        <f t="shared" si="215"/>
        <v>0.05</v>
      </c>
      <c r="R1363" s="8">
        <f t="shared" si="216"/>
        <v>6</v>
      </c>
      <c r="S1363" s="8">
        <f t="shared" si="222"/>
        <v>6.05</v>
      </c>
      <c r="T1363" s="18">
        <f t="shared" si="218"/>
        <v>1.3078813358597821</v>
      </c>
      <c r="U1363" s="20">
        <f t="shared" si="223"/>
        <v>4.6364282330648985</v>
      </c>
      <c r="V1363" s="25" t="s">
        <v>2987</v>
      </c>
    </row>
    <row r="1364" spans="1:22" ht="15" customHeight="1" x14ac:dyDescent="0.25">
      <c r="A1364" t="s">
        <v>2504</v>
      </c>
      <c r="B1364" t="s">
        <v>2505</v>
      </c>
      <c r="C1364" t="s">
        <v>2540</v>
      </c>
      <c r="D1364" t="s">
        <v>2541</v>
      </c>
      <c r="E1364" t="s">
        <v>13</v>
      </c>
      <c r="F1364" s="5">
        <v>391</v>
      </c>
      <c r="G1364" t="s">
        <v>2542</v>
      </c>
      <c r="H1364" s="3">
        <v>60</v>
      </c>
      <c r="I1364" s="3">
        <v>139</v>
      </c>
      <c r="J1364" s="3">
        <v>89</v>
      </c>
      <c r="K1364" s="3">
        <v>13.2</v>
      </c>
      <c r="L1364">
        <f t="shared" si="220"/>
        <v>0.74226000000000003</v>
      </c>
      <c r="M1364">
        <f t="shared" si="217"/>
        <v>2.2267800000000002</v>
      </c>
      <c r="N1364" s="8">
        <v>3</v>
      </c>
      <c r="O1364" s="14">
        <f t="shared" si="221"/>
        <v>1173</v>
      </c>
      <c r="P1364" s="8">
        <v>60</v>
      </c>
      <c r="Q1364" s="8">
        <f t="shared" si="215"/>
        <v>0.05</v>
      </c>
      <c r="R1364" s="8">
        <f t="shared" si="216"/>
        <v>6</v>
      </c>
      <c r="S1364" s="8">
        <f t="shared" si="222"/>
        <v>6.05</v>
      </c>
      <c r="T1364" s="18">
        <f t="shared" si="218"/>
        <v>0.86822003789673141</v>
      </c>
      <c r="U1364" s="20">
        <f t="shared" si="223"/>
        <v>5.5046482709616296</v>
      </c>
      <c r="V1364" s="25" t="s">
        <v>2987</v>
      </c>
    </row>
    <row r="1365" spans="1:22" ht="15" customHeight="1" x14ac:dyDescent="0.25">
      <c r="A1365" t="s">
        <v>2504</v>
      </c>
      <c r="B1365" t="s">
        <v>2505</v>
      </c>
      <c r="C1365" t="s">
        <v>2545</v>
      </c>
      <c r="D1365" t="s">
        <v>478</v>
      </c>
      <c r="E1365" t="s">
        <v>13</v>
      </c>
      <c r="F1365" s="5">
        <v>361.9</v>
      </c>
      <c r="G1365" t="s">
        <v>2537</v>
      </c>
      <c r="H1365" s="3">
        <v>68</v>
      </c>
      <c r="I1365" s="3">
        <v>200</v>
      </c>
      <c r="J1365" s="3">
        <v>131</v>
      </c>
      <c r="K1365" s="3">
        <v>16.2</v>
      </c>
      <c r="L1365">
        <f t="shared" si="220"/>
        <v>1.7816000000000001</v>
      </c>
      <c r="M1365">
        <f t="shared" si="217"/>
        <v>5.3448000000000002</v>
      </c>
      <c r="N1365" s="8">
        <v>3</v>
      </c>
      <c r="O1365" s="14">
        <f t="shared" si="221"/>
        <v>1085.6999999999998</v>
      </c>
      <c r="P1365" s="8">
        <v>60</v>
      </c>
      <c r="Q1365" s="8">
        <f t="shared" si="215"/>
        <v>0.05</v>
      </c>
      <c r="R1365" s="8">
        <f t="shared" si="216"/>
        <v>6</v>
      </c>
      <c r="S1365" s="8">
        <f t="shared" si="222"/>
        <v>6.05</v>
      </c>
      <c r="T1365" s="18">
        <f t="shared" si="218"/>
        <v>0.80360315016579809</v>
      </c>
      <c r="U1365" s="20">
        <f t="shared" si="223"/>
        <v>6.3082514211274274</v>
      </c>
      <c r="V1365" s="25" t="s">
        <v>2987</v>
      </c>
    </row>
    <row r="1366" spans="1:22" ht="15" customHeight="1" x14ac:dyDescent="0.25">
      <c r="A1366" t="s">
        <v>2504</v>
      </c>
      <c r="B1366" t="s">
        <v>2505</v>
      </c>
      <c r="C1366" t="s">
        <v>2529</v>
      </c>
      <c r="D1366" t="s">
        <v>2530</v>
      </c>
      <c r="E1366" t="s">
        <v>13</v>
      </c>
      <c r="F1366" s="5">
        <v>341</v>
      </c>
      <c r="G1366" t="s">
        <v>444</v>
      </c>
      <c r="H1366" s="3">
        <v>58</v>
      </c>
      <c r="I1366" s="3">
        <v>320</v>
      </c>
      <c r="J1366" s="3">
        <v>164</v>
      </c>
      <c r="K1366" s="3">
        <v>16.7</v>
      </c>
      <c r="L1366">
        <f t="shared" si="220"/>
        <v>3.0438399999999999</v>
      </c>
      <c r="M1366">
        <f t="shared" si="217"/>
        <v>9.1315200000000001</v>
      </c>
      <c r="N1366" s="8">
        <v>3</v>
      </c>
      <c r="O1366" s="14">
        <f t="shared" si="221"/>
        <v>1023</v>
      </c>
      <c r="P1366" s="8">
        <v>60</v>
      </c>
      <c r="Q1366" s="8">
        <f t="shared" si="215"/>
        <v>0.05</v>
      </c>
      <c r="R1366" s="8">
        <f t="shared" si="216"/>
        <v>6</v>
      </c>
      <c r="S1366" s="8">
        <f t="shared" si="222"/>
        <v>6.05</v>
      </c>
      <c r="T1366" s="18">
        <f t="shared" si="218"/>
        <v>0.75719445760303172</v>
      </c>
      <c r="U1366" s="20">
        <f t="shared" si="223"/>
        <v>7.0654458787304595</v>
      </c>
      <c r="V1366" s="25" t="s">
        <v>2987</v>
      </c>
    </row>
    <row r="1367" spans="1:22" ht="15" customHeight="1" x14ac:dyDescent="0.25">
      <c r="A1367" t="s">
        <v>2504</v>
      </c>
      <c r="B1367" t="s">
        <v>2505</v>
      </c>
      <c r="C1367" t="s">
        <v>2506</v>
      </c>
      <c r="D1367" t="s">
        <v>2507</v>
      </c>
      <c r="E1367" t="s">
        <v>13</v>
      </c>
      <c r="F1367" s="5">
        <v>439</v>
      </c>
      <c r="G1367" t="s">
        <v>444</v>
      </c>
      <c r="H1367" s="3">
        <v>159</v>
      </c>
      <c r="I1367" s="3">
        <v>309</v>
      </c>
      <c r="J1367" s="3">
        <v>280</v>
      </c>
      <c r="K1367" s="3">
        <v>5.7</v>
      </c>
      <c r="L1367">
        <f t="shared" si="220"/>
        <v>13.756679999999999</v>
      </c>
      <c r="M1367">
        <f t="shared" si="217"/>
        <v>27.513359999999999</v>
      </c>
      <c r="N1367" s="8">
        <v>2</v>
      </c>
      <c r="O1367" s="14">
        <f t="shared" si="221"/>
        <v>878</v>
      </c>
      <c r="P1367" s="8">
        <v>60</v>
      </c>
      <c r="Q1367" s="8">
        <f t="shared" si="215"/>
        <v>3.3333333333333333E-2</v>
      </c>
      <c r="R1367" s="8">
        <f t="shared" si="216"/>
        <v>4</v>
      </c>
      <c r="S1367" s="8">
        <f t="shared" si="222"/>
        <v>4.0333333333333332</v>
      </c>
      <c r="T1367" s="18">
        <f t="shared" si="218"/>
        <v>0.64986972998578874</v>
      </c>
      <c r="U1367" s="20">
        <f t="shared" si="223"/>
        <v>7.7153156087162484</v>
      </c>
      <c r="V1367" s="27" t="s">
        <v>2982</v>
      </c>
    </row>
    <row r="1368" spans="1:22" ht="15" customHeight="1" x14ac:dyDescent="0.25">
      <c r="A1368" t="s">
        <v>2504</v>
      </c>
      <c r="B1368" t="s">
        <v>2505</v>
      </c>
      <c r="C1368" t="s">
        <v>2543</v>
      </c>
      <c r="D1368" t="s">
        <v>2544</v>
      </c>
      <c r="E1368" t="s">
        <v>13</v>
      </c>
      <c r="F1368" s="5">
        <v>415.9</v>
      </c>
      <c r="G1368" t="s">
        <v>2537</v>
      </c>
      <c r="H1368" s="3">
        <v>81</v>
      </c>
      <c r="I1368" s="3">
        <v>138</v>
      </c>
      <c r="J1368" s="3">
        <v>55</v>
      </c>
      <c r="K1368" s="3">
        <v>10.199999999999999</v>
      </c>
      <c r="L1368">
        <f t="shared" si="220"/>
        <v>0.61478999999999995</v>
      </c>
      <c r="M1368">
        <f t="shared" si="217"/>
        <v>1.2295799999999999</v>
      </c>
      <c r="N1368" s="8">
        <v>2</v>
      </c>
      <c r="O1368" s="14">
        <f t="shared" si="221"/>
        <v>831.8</v>
      </c>
      <c r="P1368" s="8">
        <v>60</v>
      </c>
      <c r="Q1368" s="8">
        <f t="shared" si="215"/>
        <v>3.3333333333333333E-2</v>
      </c>
      <c r="R1368" s="8">
        <f t="shared" si="216"/>
        <v>4</v>
      </c>
      <c r="S1368" s="8">
        <f t="shared" si="222"/>
        <v>4.0333333333333332</v>
      </c>
      <c r="T1368" s="18">
        <f t="shared" si="218"/>
        <v>0.61567385125532925</v>
      </c>
      <c r="U1368" s="20">
        <f t="shared" si="223"/>
        <v>8.3309894599715779</v>
      </c>
      <c r="V1368" s="25" t="s">
        <v>2987</v>
      </c>
    </row>
    <row r="1369" spans="1:22" ht="15" customHeight="1" x14ac:dyDescent="0.25">
      <c r="A1369" t="s">
        <v>2504</v>
      </c>
      <c r="B1369" t="s">
        <v>2505</v>
      </c>
      <c r="C1369" t="s">
        <v>2520</v>
      </c>
      <c r="D1369" t="s">
        <v>2521</v>
      </c>
      <c r="E1369" t="s">
        <v>13</v>
      </c>
      <c r="F1369" s="5">
        <v>255.9</v>
      </c>
      <c r="G1369" t="s">
        <v>444</v>
      </c>
      <c r="H1369" s="3">
        <v>22</v>
      </c>
      <c r="I1369" s="3">
        <v>140</v>
      </c>
      <c r="J1369" s="3">
        <v>190</v>
      </c>
      <c r="K1369" s="3">
        <v>5.3</v>
      </c>
      <c r="L1369">
        <f t="shared" si="220"/>
        <v>0.58520000000000005</v>
      </c>
      <c r="M1369">
        <f t="shared" si="217"/>
        <v>1.7556000000000003</v>
      </c>
      <c r="N1369" s="8">
        <v>3</v>
      </c>
      <c r="O1369" s="14">
        <f t="shared" si="221"/>
        <v>767.7</v>
      </c>
      <c r="P1369" s="8">
        <v>60</v>
      </c>
      <c r="Q1369" s="8">
        <f t="shared" si="215"/>
        <v>0.05</v>
      </c>
      <c r="R1369" s="8">
        <f t="shared" si="216"/>
        <v>6</v>
      </c>
      <c r="S1369" s="8">
        <f t="shared" si="222"/>
        <v>6.05</v>
      </c>
      <c r="T1369" s="18">
        <f t="shared" si="218"/>
        <v>0.56822891994315494</v>
      </c>
      <c r="U1369" s="20">
        <f t="shared" si="223"/>
        <v>8.899218379914732</v>
      </c>
      <c r="V1369" s="27" t="s">
        <v>2982</v>
      </c>
    </row>
    <row r="1370" spans="1:22" ht="15" customHeight="1" x14ac:dyDescent="0.25">
      <c r="A1370" t="s">
        <v>2504</v>
      </c>
      <c r="B1370" t="s">
        <v>2505</v>
      </c>
      <c r="C1370" t="s">
        <v>2516</v>
      </c>
      <c r="D1370" t="s">
        <v>2517</v>
      </c>
      <c r="E1370" t="s">
        <v>13</v>
      </c>
      <c r="F1370" s="5">
        <v>219</v>
      </c>
      <c r="G1370" t="s">
        <v>444</v>
      </c>
      <c r="H1370" s="3">
        <v>23</v>
      </c>
      <c r="I1370" s="3">
        <v>190</v>
      </c>
      <c r="J1370" s="3">
        <v>137</v>
      </c>
      <c r="K1370" s="3">
        <v>8.1999999999999993</v>
      </c>
      <c r="L1370">
        <f t="shared" si="220"/>
        <v>0.59869000000000006</v>
      </c>
      <c r="M1370">
        <f t="shared" si="217"/>
        <v>1.7960700000000003</v>
      </c>
      <c r="N1370" s="8">
        <v>3</v>
      </c>
      <c r="O1370" s="14">
        <f t="shared" si="221"/>
        <v>657</v>
      </c>
      <c r="P1370" s="8">
        <v>60</v>
      </c>
      <c r="Q1370" s="8">
        <f t="shared" si="215"/>
        <v>0.05</v>
      </c>
      <c r="R1370" s="8">
        <f t="shared" si="216"/>
        <v>6</v>
      </c>
      <c r="S1370" s="8">
        <f t="shared" si="222"/>
        <v>6.05</v>
      </c>
      <c r="T1370" s="18">
        <f t="shared" si="218"/>
        <v>0.48629204168640455</v>
      </c>
      <c r="U1370" s="20">
        <f t="shared" si="223"/>
        <v>9.3855104216011362</v>
      </c>
      <c r="V1370" s="25" t="s">
        <v>2987</v>
      </c>
    </row>
    <row r="1371" spans="1:22" ht="15" customHeight="1" x14ac:dyDescent="0.25">
      <c r="A1371" t="s">
        <v>2504</v>
      </c>
      <c r="B1371" t="s">
        <v>2505</v>
      </c>
      <c r="C1371" t="s">
        <v>2555</v>
      </c>
      <c r="D1371" t="s">
        <v>2556</v>
      </c>
      <c r="E1371" t="s">
        <v>13</v>
      </c>
      <c r="F1371" s="5">
        <v>208.13</v>
      </c>
      <c r="G1371" t="s">
        <v>444</v>
      </c>
      <c r="H1371" s="3">
        <v>134</v>
      </c>
      <c r="I1371" s="3">
        <v>44</v>
      </c>
      <c r="J1371" s="3">
        <v>95</v>
      </c>
      <c r="K1371" s="3">
        <v>9.1999999999999993</v>
      </c>
      <c r="L1371">
        <f t="shared" si="220"/>
        <v>0.56011999999999995</v>
      </c>
      <c r="M1371">
        <f t="shared" si="217"/>
        <v>1.6803599999999999</v>
      </c>
      <c r="N1371" s="8">
        <v>3</v>
      </c>
      <c r="O1371" s="14">
        <f t="shared" si="221"/>
        <v>624.39</v>
      </c>
      <c r="P1371" s="8">
        <v>60</v>
      </c>
      <c r="Q1371" s="8">
        <f t="shared" si="215"/>
        <v>0.05</v>
      </c>
      <c r="R1371" s="8">
        <f t="shared" si="216"/>
        <v>6</v>
      </c>
      <c r="S1371" s="8">
        <f t="shared" si="222"/>
        <v>6.05</v>
      </c>
      <c r="T1371" s="18">
        <f t="shared" si="218"/>
        <v>0.46215508053055426</v>
      </c>
      <c r="U1371" s="20">
        <f t="shared" si="223"/>
        <v>9.8476655021316901</v>
      </c>
      <c r="V1371" s="25" t="s">
        <v>2987</v>
      </c>
    </row>
    <row r="1372" spans="1:22" ht="15" customHeight="1" x14ac:dyDescent="0.25">
      <c r="A1372" t="s">
        <v>2504</v>
      </c>
      <c r="B1372" t="s">
        <v>2505</v>
      </c>
      <c r="C1372" t="s">
        <v>2566</v>
      </c>
      <c r="D1372" t="s">
        <v>2567</v>
      </c>
      <c r="E1372" t="s">
        <v>13</v>
      </c>
      <c r="F1372" s="5">
        <v>299</v>
      </c>
      <c r="G1372" t="s">
        <v>444</v>
      </c>
      <c r="H1372" s="3">
        <v>260</v>
      </c>
      <c r="I1372" s="3">
        <v>300</v>
      </c>
      <c r="J1372" s="3">
        <v>300</v>
      </c>
      <c r="K1372" s="3">
        <v>7.5</v>
      </c>
      <c r="L1372">
        <f t="shared" si="220"/>
        <v>23.4</v>
      </c>
      <c r="M1372">
        <f t="shared" si="217"/>
        <v>46.8</v>
      </c>
      <c r="N1372" s="8">
        <v>2</v>
      </c>
      <c r="O1372" s="14">
        <f t="shared" si="221"/>
        <v>598</v>
      </c>
      <c r="P1372" s="8">
        <v>60</v>
      </c>
      <c r="Q1372" s="8">
        <f t="shared" si="215"/>
        <v>3.3333333333333333E-2</v>
      </c>
      <c r="R1372" s="8">
        <f t="shared" si="216"/>
        <v>4</v>
      </c>
      <c r="S1372" s="8">
        <f t="shared" si="222"/>
        <v>4.0333333333333332</v>
      </c>
      <c r="T1372" s="18">
        <f t="shared" si="218"/>
        <v>0.44262198010421605</v>
      </c>
      <c r="U1372" s="20">
        <f t="shared" si="223"/>
        <v>10.290287482235906</v>
      </c>
      <c r="V1372" s="25" t="s">
        <v>2987</v>
      </c>
    </row>
    <row r="1373" spans="1:22" ht="15" customHeight="1" x14ac:dyDescent="0.25">
      <c r="A1373" t="s">
        <v>2504</v>
      </c>
      <c r="B1373" t="s">
        <v>2505</v>
      </c>
      <c r="C1373" t="s">
        <v>2535</v>
      </c>
      <c r="D1373" t="s">
        <v>2536</v>
      </c>
      <c r="E1373" t="s">
        <v>13</v>
      </c>
      <c r="F1373" s="5">
        <v>179.9</v>
      </c>
      <c r="G1373" t="s">
        <v>2537</v>
      </c>
      <c r="H1373" s="3">
        <v>55</v>
      </c>
      <c r="I1373" s="3">
        <v>82</v>
      </c>
      <c r="J1373" s="3">
        <v>47</v>
      </c>
      <c r="K1373" s="3">
        <v>4</v>
      </c>
      <c r="L1373">
        <f t="shared" si="220"/>
        <v>0.21196999999999999</v>
      </c>
      <c r="M1373">
        <f t="shared" si="217"/>
        <v>0.63590999999999998</v>
      </c>
      <c r="N1373" s="8">
        <v>3</v>
      </c>
      <c r="O1373" s="14">
        <f t="shared" si="221"/>
        <v>539.70000000000005</v>
      </c>
      <c r="P1373" s="8">
        <v>60</v>
      </c>
      <c r="Q1373" s="8">
        <f t="shared" si="215"/>
        <v>0.05</v>
      </c>
      <c r="R1373" s="8">
        <f t="shared" si="216"/>
        <v>6</v>
      </c>
      <c r="S1373" s="8">
        <f t="shared" si="222"/>
        <v>6.05</v>
      </c>
      <c r="T1373" s="18">
        <f t="shared" si="218"/>
        <v>0.39947003789673147</v>
      </c>
      <c r="U1373" s="20">
        <f t="shared" si="223"/>
        <v>10.689757520132638</v>
      </c>
      <c r="V1373" s="27" t="s">
        <v>2982</v>
      </c>
    </row>
    <row r="1374" spans="1:22" ht="15" customHeight="1" x14ac:dyDescent="0.25">
      <c r="A1374" t="s">
        <v>2504</v>
      </c>
      <c r="B1374" t="s">
        <v>2505</v>
      </c>
      <c r="C1374" t="s">
        <v>2538</v>
      </c>
      <c r="D1374" t="s">
        <v>2539</v>
      </c>
      <c r="E1374" t="s">
        <v>13</v>
      </c>
      <c r="F1374" s="5">
        <v>179.9</v>
      </c>
      <c r="G1374" t="s">
        <v>2537</v>
      </c>
      <c r="H1374" s="3">
        <v>55</v>
      </c>
      <c r="I1374" s="3">
        <v>82</v>
      </c>
      <c r="J1374" s="3">
        <v>47</v>
      </c>
      <c r="K1374" s="3">
        <v>4</v>
      </c>
      <c r="L1374">
        <f t="shared" si="220"/>
        <v>0.21196999999999999</v>
      </c>
      <c r="M1374">
        <f t="shared" si="217"/>
        <v>0.63590999999999998</v>
      </c>
      <c r="N1374" s="8">
        <v>3</v>
      </c>
      <c r="O1374" s="14">
        <f t="shared" si="221"/>
        <v>539.70000000000005</v>
      </c>
      <c r="P1374" s="8">
        <v>60</v>
      </c>
      <c r="Q1374" s="8">
        <f t="shared" si="215"/>
        <v>0.05</v>
      </c>
      <c r="R1374" s="8">
        <f t="shared" si="216"/>
        <v>6</v>
      </c>
      <c r="S1374" s="8">
        <f t="shared" si="222"/>
        <v>6.05</v>
      </c>
      <c r="T1374" s="18">
        <f t="shared" si="218"/>
        <v>0.39947003789673147</v>
      </c>
      <c r="U1374" s="20">
        <f t="shared" si="223"/>
        <v>11.08922755802937</v>
      </c>
      <c r="V1374" s="27" t="s">
        <v>2982</v>
      </c>
    </row>
    <row r="1375" spans="1:22" ht="15" customHeight="1" x14ac:dyDescent="0.25">
      <c r="A1375" t="s">
        <v>2504</v>
      </c>
      <c r="B1375" t="s">
        <v>2505</v>
      </c>
      <c r="C1375" t="s">
        <v>2561</v>
      </c>
      <c r="D1375" t="s">
        <v>2562</v>
      </c>
      <c r="E1375" t="s">
        <v>13</v>
      </c>
      <c r="F1375" s="5">
        <v>177.9</v>
      </c>
      <c r="G1375" t="s">
        <v>444</v>
      </c>
      <c r="H1375" s="3">
        <v>72.5</v>
      </c>
      <c r="I1375" s="3">
        <v>100</v>
      </c>
      <c r="J1375" s="3">
        <v>60</v>
      </c>
      <c r="K1375" s="3">
        <v>3.9</v>
      </c>
      <c r="L1375">
        <f t="shared" si="220"/>
        <v>0.435</v>
      </c>
      <c r="M1375">
        <f t="shared" si="217"/>
        <v>1.3049999999999999</v>
      </c>
      <c r="N1375" s="8">
        <v>3</v>
      </c>
      <c r="O1375" s="14">
        <f t="shared" si="221"/>
        <v>533.70000000000005</v>
      </c>
      <c r="P1375" s="8">
        <v>60</v>
      </c>
      <c r="Q1375" s="8">
        <f t="shared" ref="Q1375:Q1438" si="224">N1375/P1375</f>
        <v>0.05</v>
      </c>
      <c r="R1375" s="8">
        <f t="shared" ref="R1375:R1438" si="225">(N1375/30)*P1375</f>
        <v>6</v>
      </c>
      <c r="S1375" s="8">
        <f t="shared" si="222"/>
        <v>6.05</v>
      </c>
      <c r="T1375" s="18">
        <f t="shared" si="218"/>
        <v>0.39502901468498347</v>
      </c>
      <c r="U1375" s="20">
        <f t="shared" si="223"/>
        <v>11.484256572714353</v>
      </c>
      <c r="V1375" s="27" t="s">
        <v>2982</v>
      </c>
    </row>
    <row r="1376" spans="1:22" ht="15" customHeight="1" x14ac:dyDescent="0.25">
      <c r="A1376" t="s">
        <v>2504</v>
      </c>
      <c r="B1376" t="s">
        <v>2505</v>
      </c>
      <c r="C1376" t="s">
        <v>2564</v>
      </c>
      <c r="D1376" t="s">
        <v>2565</v>
      </c>
      <c r="E1376" t="s">
        <v>13</v>
      </c>
      <c r="F1376" s="5">
        <v>251.9</v>
      </c>
      <c r="G1376" t="s">
        <v>444</v>
      </c>
      <c r="H1376" s="3">
        <v>245</v>
      </c>
      <c r="I1376" s="3">
        <v>270</v>
      </c>
      <c r="J1376" s="3">
        <v>270</v>
      </c>
      <c r="K1376" s="3">
        <v>7.8</v>
      </c>
      <c r="L1376">
        <f t="shared" si="220"/>
        <v>17.860499999999998</v>
      </c>
      <c r="M1376">
        <f t="shared" si="217"/>
        <v>35.720999999999997</v>
      </c>
      <c r="N1376" s="8">
        <v>2</v>
      </c>
      <c r="O1376" s="14">
        <f t="shared" si="221"/>
        <v>503.8</v>
      </c>
      <c r="P1376" s="8">
        <v>60</v>
      </c>
      <c r="Q1376" s="8">
        <f t="shared" si="224"/>
        <v>3.3333333333333333E-2</v>
      </c>
      <c r="R1376" s="8">
        <f t="shared" si="225"/>
        <v>4</v>
      </c>
      <c r="S1376" s="8">
        <f t="shared" si="222"/>
        <v>4.0333333333333332</v>
      </c>
      <c r="T1376" s="18">
        <f t="shared" si="218"/>
        <v>0.37289791567977265</v>
      </c>
      <c r="U1376" s="20">
        <f t="shared" si="223"/>
        <v>11.857154488394125</v>
      </c>
      <c r="V1376" s="25" t="s">
        <v>2987</v>
      </c>
    </row>
    <row r="1377" spans="1:22" ht="15" customHeight="1" x14ac:dyDescent="0.25">
      <c r="A1377" t="s">
        <v>2504</v>
      </c>
      <c r="B1377" t="s">
        <v>2505</v>
      </c>
      <c r="C1377" t="s">
        <v>2513</v>
      </c>
      <c r="D1377" t="s">
        <v>2514</v>
      </c>
      <c r="E1377" t="s">
        <v>13</v>
      </c>
      <c r="F1377" s="5">
        <v>159.9</v>
      </c>
      <c r="G1377" t="s">
        <v>2515</v>
      </c>
      <c r="H1377" s="3">
        <v>130</v>
      </c>
      <c r="I1377" s="3">
        <v>200</v>
      </c>
      <c r="J1377" s="3">
        <v>200</v>
      </c>
      <c r="K1377" s="3">
        <v>2.7</v>
      </c>
      <c r="L1377">
        <f t="shared" si="220"/>
        <v>5.2</v>
      </c>
      <c r="M1377">
        <f t="shared" si="217"/>
        <v>15.600000000000001</v>
      </c>
      <c r="N1377" s="8">
        <v>3</v>
      </c>
      <c r="O1377" s="14">
        <f t="shared" si="221"/>
        <v>479.70000000000005</v>
      </c>
      <c r="P1377" s="8">
        <v>60</v>
      </c>
      <c r="Q1377" s="8">
        <f t="shared" si="224"/>
        <v>0.05</v>
      </c>
      <c r="R1377" s="8">
        <f t="shared" si="225"/>
        <v>6</v>
      </c>
      <c r="S1377" s="8">
        <f t="shared" si="222"/>
        <v>6.05</v>
      </c>
      <c r="T1377" s="18">
        <f t="shared" si="218"/>
        <v>0.35505980577925156</v>
      </c>
      <c r="U1377" s="20">
        <f t="shared" si="223"/>
        <v>12.212214294173377</v>
      </c>
      <c r="V1377" s="29" t="s">
        <v>2983</v>
      </c>
    </row>
    <row r="1378" spans="1:22" ht="15" customHeight="1" x14ac:dyDescent="0.25">
      <c r="A1378" t="s">
        <v>2504</v>
      </c>
      <c r="B1378" t="s">
        <v>2505</v>
      </c>
      <c r="C1378" t="s">
        <v>2525</v>
      </c>
      <c r="D1378" t="s">
        <v>1990</v>
      </c>
      <c r="E1378" t="s">
        <v>13</v>
      </c>
      <c r="F1378" s="5">
        <v>88.4</v>
      </c>
      <c r="G1378" t="s">
        <v>2526</v>
      </c>
      <c r="H1378" s="3">
        <v>33</v>
      </c>
      <c r="I1378" s="3">
        <v>115</v>
      </c>
      <c r="J1378" s="3">
        <v>33</v>
      </c>
      <c r="K1378" s="3">
        <v>2.7</v>
      </c>
      <c r="L1378">
        <f t="shared" si="220"/>
        <v>0.12523500000000001</v>
      </c>
      <c r="M1378">
        <f t="shared" si="217"/>
        <v>0.62617500000000004</v>
      </c>
      <c r="N1378" s="8">
        <v>5</v>
      </c>
      <c r="O1378" s="14">
        <f t="shared" si="221"/>
        <v>442</v>
      </c>
      <c r="P1378" s="8">
        <v>60</v>
      </c>
      <c r="Q1378" s="8">
        <f t="shared" si="224"/>
        <v>8.3333333333333329E-2</v>
      </c>
      <c r="R1378" s="8">
        <f t="shared" si="225"/>
        <v>10</v>
      </c>
      <c r="S1378" s="8">
        <f t="shared" si="222"/>
        <v>10.083333333333334</v>
      </c>
      <c r="T1378" s="18">
        <f t="shared" si="218"/>
        <v>0.32715537659876837</v>
      </c>
      <c r="U1378" s="20">
        <f t="shared" si="223"/>
        <v>12.539369670772144</v>
      </c>
      <c r="V1378" s="27" t="s">
        <v>2982</v>
      </c>
    </row>
    <row r="1379" spans="1:22" ht="15" customHeight="1" x14ac:dyDescent="0.25">
      <c r="A1379" t="s">
        <v>2504</v>
      </c>
      <c r="B1379" t="s">
        <v>2505</v>
      </c>
      <c r="C1379" t="s">
        <v>2508</v>
      </c>
      <c r="D1379" t="s">
        <v>2509</v>
      </c>
      <c r="E1379" t="s">
        <v>13</v>
      </c>
      <c r="F1379" s="5">
        <v>133.9</v>
      </c>
      <c r="G1379" t="s">
        <v>2510</v>
      </c>
      <c r="H1379" s="3">
        <v>140</v>
      </c>
      <c r="I1379" s="3">
        <v>240</v>
      </c>
      <c r="J1379" s="3">
        <v>210</v>
      </c>
      <c r="K1379" s="3">
        <v>2.8</v>
      </c>
      <c r="L1379">
        <f t="shared" si="220"/>
        <v>7.056</v>
      </c>
      <c r="M1379">
        <f t="shared" si="217"/>
        <v>21.167999999999999</v>
      </c>
      <c r="N1379" s="8">
        <v>3</v>
      </c>
      <c r="O1379" s="14">
        <f t="shared" si="221"/>
        <v>401.70000000000005</v>
      </c>
      <c r="P1379" s="8">
        <v>60</v>
      </c>
      <c r="Q1379" s="8">
        <f t="shared" si="224"/>
        <v>0.05</v>
      </c>
      <c r="R1379" s="8">
        <f t="shared" si="225"/>
        <v>6</v>
      </c>
      <c r="S1379" s="8">
        <f t="shared" si="222"/>
        <v>6.05</v>
      </c>
      <c r="T1379" s="18">
        <f t="shared" si="218"/>
        <v>0.29732650402652777</v>
      </c>
      <c r="U1379" s="20">
        <f t="shared" si="223"/>
        <v>12.836696174798671</v>
      </c>
      <c r="V1379" s="27" t="s">
        <v>2982</v>
      </c>
    </row>
    <row r="1380" spans="1:22" ht="15" customHeight="1" x14ac:dyDescent="0.25">
      <c r="A1380" t="s">
        <v>2504</v>
      </c>
      <c r="B1380" t="s">
        <v>2505</v>
      </c>
      <c r="C1380" t="s">
        <v>2570</v>
      </c>
      <c r="D1380" t="s">
        <v>2571</v>
      </c>
      <c r="E1380" t="s">
        <v>13</v>
      </c>
      <c r="F1380" s="5">
        <v>199</v>
      </c>
      <c r="G1380" t="s">
        <v>2524</v>
      </c>
      <c r="H1380" s="3">
        <v>260</v>
      </c>
      <c r="I1380" s="3">
        <v>300</v>
      </c>
      <c r="J1380" s="3">
        <v>300</v>
      </c>
      <c r="K1380" s="3">
        <v>2</v>
      </c>
      <c r="L1380">
        <f t="shared" si="220"/>
        <v>23.4</v>
      </c>
      <c r="M1380">
        <f t="shared" si="217"/>
        <v>46.8</v>
      </c>
      <c r="N1380" s="8">
        <v>2</v>
      </c>
      <c r="O1380" s="14">
        <f t="shared" si="221"/>
        <v>398</v>
      </c>
      <c r="P1380" s="8">
        <v>60</v>
      </c>
      <c r="Q1380" s="8">
        <f t="shared" si="224"/>
        <v>3.3333333333333333E-2</v>
      </c>
      <c r="R1380" s="8">
        <f t="shared" si="225"/>
        <v>4</v>
      </c>
      <c r="S1380" s="8">
        <f t="shared" si="222"/>
        <v>4.0333333333333332</v>
      </c>
      <c r="T1380" s="18">
        <f t="shared" si="218"/>
        <v>0.2945878730459498</v>
      </c>
      <c r="U1380" s="20">
        <f t="shared" si="223"/>
        <v>13.131284047844622</v>
      </c>
      <c r="V1380" s="29" t="s">
        <v>2983</v>
      </c>
    </row>
    <row r="1381" spans="1:22" ht="15" customHeight="1" x14ac:dyDescent="0.25">
      <c r="A1381" t="s">
        <v>2504</v>
      </c>
      <c r="B1381" t="s">
        <v>2505</v>
      </c>
      <c r="C1381" t="s">
        <v>2527</v>
      </c>
      <c r="D1381" t="s">
        <v>2528</v>
      </c>
      <c r="E1381" t="s">
        <v>13</v>
      </c>
      <c r="F1381" s="5">
        <v>107.9</v>
      </c>
      <c r="G1381" t="s">
        <v>444</v>
      </c>
      <c r="H1381" s="3">
        <v>42</v>
      </c>
      <c r="I1381" s="3">
        <v>189</v>
      </c>
      <c r="J1381" s="3">
        <v>126</v>
      </c>
      <c r="K1381" s="3">
        <v>5.2</v>
      </c>
      <c r="L1381">
        <f t="shared" si="220"/>
        <v>1.0001880000000001</v>
      </c>
      <c r="M1381">
        <f t="shared" si="217"/>
        <v>3.0005640000000002</v>
      </c>
      <c r="N1381" s="8">
        <v>3</v>
      </c>
      <c r="O1381" s="14">
        <f t="shared" si="221"/>
        <v>323.70000000000005</v>
      </c>
      <c r="P1381" s="8">
        <v>60</v>
      </c>
      <c r="Q1381" s="8">
        <f t="shared" si="224"/>
        <v>0.05</v>
      </c>
      <c r="R1381" s="8">
        <f t="shared" si="225"/>
        <v>6</v>
      </c>
      <c r="S1381" s="8">
        <f t="shared" si="222"/>
        <v>6.05</v>
      </c>
      <c r="T1381" s="18">
        <f t="shared" si="218"/>
        <v>0.23959320227380393</v>
      </c>
      <c r="U1381" s="20">
        <f t="shared" si="223"/>
        <v>13.370877250118426</v>
      </c>
      <c r="V1381" s="27" t="s">
        <v>2982</v>
      </c>
    </row>
    <row r="1382" spans="1:22" ht="15" customHeight="1" x14ac:dyDescent="0.25">
      <c r="A1382" t="s">
        <v>2504</v>
      </c>
      <c r="B1382" t="s">
        <v>2505</v>
      </c>
      <c r="C1382" t="s">
        <v>2561</v>
      </c>
      <c r="D1382" t="s">
        <v>2563</v>
      </c>
      <c r="E1382" t="s">
        <v>13</v>
      </c>
      <c r="F1382" s="5">
        <v>107.9</v>
      </c>
      <c r="G1382" t="s">
        <v>444</v>
      </c>
      <c r="H1382" s="3">
        <v>70</v>
      </c>
      <c r="I1382" s="3">
        <v>56</v>
      </c>
      <c r="J1382" s="3">
        <v>182</v>
      </c>
      <c r="K1382" s="3">
        <v>4.7</v>
      </c>
      <c r="L1382">
        <f t="shared" si="220"/>
        <v>0.71343999999999996</v>
      </c>
      <c r="M1382">
        <f t="shared" si="217"/>
        <v>2.14032</v>
      </c>
      <c r="N1382" s="8">
        <v>3</v>
      </c>
      <c r="O1382" s="14">
        <f t="shared" si="221"/>
        <v>323.70000000000005</v>
      </c>
      <c r="P1382" s="8">
        <v>60</v>
      </c>
      <c r="Q1382" s="8">
        <f t="shared" si="224"/>
        <v>0.05</v>
      </c>
      <c r="R1382" s="8">
        <f t="shared" si="225"/>
        <v>6</v>
      </c>
      <c r="S1382" s="8">
        <f t="shared" si="222"/>
        <v>6.05</v>
      </c>
      <c r="T1382" s="18">
        <f t="shared" si="218"/>
        <v>0.23959320227380393</v>
      </c>
      <c r="U1382" s="20">
        <f t="shared" si="223"/>
        <v>13.61047045239223</v>
      </c>
      <c r="V1382" s="27" t="s">
        <v>2982</v>
      </c>
    </row>
    <row r="1383" spans="1:22" ht="15" customHeight="1" x14ac:dyDescent="0.25">
      <c r="A1383" t="s">
        <v>2504</v>
      </c>
      <c r="B1383" t="s">
        <v>2505</v>
      </c>
      <c r="C1383" t="s">
        <v>2511</v>
      </c>
      <c r="D1383" t="s">
        <v>2512</v>
      </c>
      <c r="E1383" t="s">
        <v>13</v>
      </c>
      <c r="F1383" s="5">
        <v>107.9</v>
      </c>
      <c r="G1383" t="s">
        <v>444</v>
      </c>
      <c r="H1383" s="3">
        <v>130</v>
      </c>
      <c r="I1383" s="3">
        <v>210</v>
      </c>
      <c r="J1383" s="3">
        <v>210</v>
      </c>
      <c r="K1383" s="3">
        <v>2.2999999999999998</v>
      </c>
      <c r="L1383">
        <f t="shared" si="220"/>
        <v>5.7329999999999997</v>
      </c>
      <c r="M1383">
        <f t="shared" si="217"/>
        <v>17.198999999999998</v>
      </c>
      <c r="N1383" s="8">
        <v>3</v>
      </c>
      <c r="O1383" s="14">
        <f t="shared" si="221"/>
        <v>323.70000000000005</v>
      </c>
      <c r="P1383" s="8">
        <v>60</v>
      </c>
      <c r="Q1383" s="8">
        <f t="shared" si="224"/>
        <v>0.05</v>
      </c>
      <c r="R1383" s="8">
        <f t="shared" si="225"/>
        <v>6</v>
      </c>
      <c r="S1383" s="8">
        <f t="shared" si="222"/>
        <v>6.05</v>
      </c>
      <c r="T1383" s="18">
        <f t="shared" si="218"/>
        <v>0.23959320227380393</v>
      </c>
      <c r="U1383" s="20">
        <f t="shared" si="223"/>
        <v>13.850063654666034</v>
      </c>
      <c r="V1383" s="29" t="s">
        <v>2983</v>
      </c>
    </row>
    <row r="1384" spans="1:22" ht="15" customHeight="1" x14ac:dyDescent="0.25">
      <c r="A1384" t="s">
        <v>2504</v>
      </c>
      <c r="B1384" t="s">
        <v>2505</v>
      </c>
      <c r="C1384" t="s">
        <v>2568</v>
      </c>
      <c r="D1384" t="s">
        <v>2569</v>
      </c>
      <c r="E1384" t="s">
        <v>13</v>
      </c>
      <c r="F1384" s="5">
        <v>107.9</v>
      </c>
      <c r="G1384" t="s">
        <v>444</v>
      </c>
      <c r="H1384" s="3">
        <v>200</v>
      </c>
      <c r="I1384" s="3">
        <v>180</v>
      </c>
      <c r="J1384" s="3">
        <v>180</v>
      </c>
      <c r="K1384" s="3">
        <v>2.2000000000000002</v>
      </c>
      <c r="L1384">
        <f t="shared" si="220"/>
        <v>6.48</v>
      </c>
      <c r="M1384">
        <f t="shared" si="217"/>
        <v>19.440000000000001</v>
      </c>
      <c r="N1384" s="8">
        <v>3</v>
      </c>
      <c r="O1384" s="14">
        <f t="shared" si="221"/>
        <v>323.70000000000005</v>
      </c>
      <c r="P1384" s="8">
        <v>60</v>
      </c>
      <c r="Q1384" s="8">
        <f t="shared" si="224"/>
        <v>0.05</v>
      </c>
      <c r="R1384" s="8">
        <f t="shared" si="225"/>
        <v>6</v>
      </c>
      <c r="S1384" s="8">
        <f t="shared" si="222"/>
        <v>6.05</v>
      </c>
      <c r="T1384" s="18">
        <f t="shared" si="218"/>
        <v>0.23959320227380393</v>
      </c>
      <c r="U1384" s="20">
        <f t="shared" si="223"/>
        <v>14.089656856939838</v>
      </c>
      <c r="V1384" s="29" t="s">
        <v>2983</v>
      </c>
    </row>
    <row r="1385" spans="1:22" ht="15" customHeight="1" x14ac:dyDescent="0.25">
      <c r="A1385" t="s">
        <v>2504</v>
      </c>
      <c r="B1385" t="s">
        <v>2505</v>
      </c>
      <c r="C1385" t="s">
        <v>2522</v>
      </c>
      <c r="D1385" t="s">
        <v>2523</v>
      </c>
      <c r="E1385" t="s">
        <v>13</v>
      </c>
      <c r="F1385" s="5">
        <v>75</v>
      </c>
      <c r="G1385" t="s">
        <v>2524</v>
      </c>
      <c r="H1385" s="3">
        <v>23</v>
      </c>
      <c r="I1385" s="3">
        <v>188</v>
      </c>
      <c r="J1385" s="3">
        <v>132</v>
      </c>
      <c r="K1385" s="3">
        <v>4</v>
      </c>
      <c r="L1385">
        <f t="shared" si="220"/>
        <v>0.57076800000000005</v>
      </c>
      <c r="M1385">
        <f t="shared" si="217"/>
        <v>1.712304</v>
      </c>
      <c r="N1385" s="8">
        <v>3</v>
      </c>
      <c r="O1385" s="14">
        <f t="shared" si="221"/>
        <v>225</v>
      </c>
      <c r="P1385" s="8">
        <v>60</v>
      </c>
      <c r="Q1385" s="8">
        <f t="shared" si="224"/>
        <v>0.05</v>
      </c>
      <c r="R1385" s="8">
        <f t="shared" si="225"/>
        <v>6</v>
      </c>
      <c r="S1385" s="8">
        <f t="shared" si="222"/>
        <v>6.05</v>
      </c>
      <c r="T1385" s="18">
        <f t="shared" si="218"/>
        <v>0.1665383704405495</v>
      </c>
      <c r="U1385" s="20">
        <f t="shared" si="223"/>
        <v>14.256195227380388</v>
      </c>
      <c r="V1385" s="27" t="s">
        <v>2982</v>
      </c>
    </row>
    <row r="1386" spans="1:22" ht="15" customHeight="1" x14ac:dyDescent="0.25">
      <c r="A1386" t="s">
        <v>2504</v>
      </c>
      <c r="B1386" t="s">
        <v>2505</v>
      </c>
      <c r="C1386" t="s">
        <v>2518</v>
      </c>
      <c r="D1386" t="s">
        <v>2519</v>
      </c>
      <c r="E1386" t="s">
        <v>13</v>
      </c>
      <c r="F1386" s="5">
        <v>54.9</v>
      </c>
      <c r="G1386" t="s">
        <v>1022</v>
      </c>
      <c r="H1386" s="3">
        <v>20</v>
      </c>
      <c r="I1386" s="3">
        <v>75</v>
      </c>
      <c r="J1386" s="3">
        <v>180</v>
      </c>
      <c r="K1386" s="3">
        <v>2.2000000000000002</v>
      </c>
      <c r="L1386">
        <f t="shared" si="220"/>
        <v>0.27</v>
      </c>
      <c r="M1386">
        <f t="shared" si="217"/>
        <v>1.08</v>
      </c>
      <c r="N1386" s="8">
        <v>4</v>
      </c>
      <c r="O1386" s="14">
        <f t="shared" si="221"/>
        <v>219.6</v>
      </c>
      <c r="P1386" s="8">
        <v>60</v>
      </c>
      <c r="Q1386" s="8">
        <f t="shared" si="224"/>
        <v>6.6666666666666666E-2</v>
      </c>
      <c r="R1386" s="8">
        <f t="shared" si="225"/>
        <v>8</v>
      </c>
      <c r="S1386" s="8">
        <f t="shared" si="222"/>
        <v>8.0666666666666664</v>
      </c>
      <c r="T1386" s="18">
        <f t="shared" si="218"/>
        <v>0.16254144954997632</v>
      </c>
      <c r="U1386" s="20">
        <f t="shared" si="223"/>
        <v>14.418736676930365</v>
      </c>
      <c r="V1386" s="29" t="s">
        <v>2983</v>
      </c>
    </row>
    <row r="1387" spans="1:22" ht="15" customHeight="1" x14ac:dyDescent="0.25">
      <c r="A1387" t="s">
        <v>2504</v>
      </c>
      <c r="B1387" t="s">
        <v>2505</v>
      </c>
      <c r="C1387" t="s">
        <v>2557</v>
      </c>
      <c r="D1387" t="s">
        <v>2558</v>
      </c>
      <c r="E1387" t="s">
        <v>13</v>
      </c>
      <c r="F1387" s="5">
        <v>48.2</v>
      </c>
      <c r="G1387" t="s">
        <v>2526</v>
      </c>
      <c r="H1387" s="3">
        <v>53</v>
      </c>
      <c r="I1387" s="3">
        <v>72</v>
      </c>
      <c r="J1387" s="3">
        <v>54</v>
      </c>
      <c r="K1387" s="3">
        <v>1.3</v>
      </c>
      <c r="L1387">
        <f t="shared" si="220"/>
        <v>0.206064</v>
      </c>
      <c r="M1387">
        <f t="shared" si="217"/>
        <v>0.82425599999999999</v>
      </c>
      <c r="N1387" s="8">
        <v>4</v>
      </c>
      <c r="O1387" s="14">
        <f t="shared" si="221"/>
        <v>192.8</v>
      </c>
      <c r="P1387" s="8">
        <v>60</v>
      </c>
      <c r="Q1387" s="8">
        <f t="shared" si="224"/>
        <v>6.6666666666666666E-2</v>
      </c>
      <c r="R1387" s="8">
        <f t="shared" si="225"/>
        <v>8</v>
      </c>
      <c r="S1387" s="8">
        <f t="shared" si="222"/>
        <v>8.0666666666666664</v>
      </c>
      <c r="T1387" s="18">
        <f t="shared" si="218"/>
        <v>0.14270487920416866</v>
      </c>
      <c r="U1387" s="20">
        <f t="shared" si="223"/>
        <v>14.561441556134534</v>
      </c>
      <c r="V1387" s="29" t="s">
        <v>2983</v>
      </c>
    </row>
    <row r="1388" spans="1:22" ht="15" customHeight="1" x14ac:dyDescent="0.25">
      <c r="A1388" t="s">
        <v>2504</v>
      </c>
      <c r="B1388" t="s">
        <v>2505</v>
      </c>
      <c r="C1388" t="s">
        <v>2559</v>
      </c>
      <c r="D1388" t="s">
        <v>2560</v>
      </c>
      <c r="E1388" t="s">
        <v>13</v>
      </c>
      <c r="F1388" s="5">
        <v>38.9</v>
      </c>
      <c r="G1388" t="s">
        <v>444</v>
      </c>
      <c r="H1388" s="3">
        <v>53</v>
      </c>
      <c r="I1388" s="3">
        <v>72</v>
      </c>
      <c r="J1388" s="3">
        <v>54</v>
      </c>
      <c r="K1388" s="3">
        <v>1.3</v>
      </c>
      <c r="L1388">
        <f t="shared" si="220"/>
        <v>0.206064</v>
      </c>
      <c r="M1388">
        <f t="shared" si="217"/>
        <v>0.65940480000000001</v>
      </c>
      <c r="N1388" s="8">
        <v>3.2</v>
      </c>
      <c r="O1388" s="14">
        <f t="shared" si="221"/>
        <v>124.48</v>
      </c>
      <c r="P1388" s="8">
        <v>60</v>
      </c>
      <c r="Q1388" s="8">
        <f t="shared" si="224"/>
        <v>5.3333333333333337E-2</v>
      </c>
      <c r="R1388" s="8">
        <f t="shared" si="225"/>
        <v>6.4</v>
      </c>
      <c r="S1388" s="8">
        <f t="shared" si="222"/>
        <v>6.453333333333334</v>
      </c>
      <c r="T1388" s="18">
        <f t="shared" si="218"/>
        <v>9.2136428233064907E-2</v>
      </c>
      <c r="U1388" s="20">
        <f t="shared" si="223"/>
        <v>14.653577984367599</v>
      </c>
      <c r="V1388" s="29" t="s">
        <v>2983</v>
      </c>
    </row>
    <row r="1389" spans="1:22" ht="15" customHeight="1" x14ac:dyDescent="0.25">
      <c r="A1389" t="s">
        <v>2504</v>
      </c>
      <c r="B1389" t="s">
        <v>2505</v>
      </c>
      <c r="C1389" t="s">
        <v>2552</v>
      </c>
      <c r="D1389" t="s">
        <v>2553</v>
      </c>
      <c r="E1389" t="s">
        <v>13</v>
      </c>
      <c r="F1389" s="5">
        <v>52.4</v>
      </c>
      <c r="G1389" t="s">
        <v>2554</v>
      </c>
      <c r="H1389" s="3">
        <v>60</v>
      </c>
      <c r="I1389" s="3">
        <v>20</v>
      </c>
      <c r="J1389" s="3">
        <v>40</v>
      </c>
      <c r="K1389" s="3">
        <v>5.3</v>
      </c>
      <c r="L1389">
        <f t="shared" si="220"/>
        <v>4.8000000000000001E-2</v>
      </c>
      <c r="M1389">
        <f t="shared" si="217"/>
        <v>9.6000000000000002E-2</v>
      </c>
      <c r="N1389" s="8">
        <v>2</v>
      </c>
      <c r="O1389" s="14">
        <f t="shared" si="221"/>
        <v>104.8</v>
      </c>
      <c r="P1389" s="8">
        <v>60</v>
      </c>
      <c r="Q1389" s="8">
        <f t="shared" si="224"/>
        <v>3.3333333333333333E-2</v>
      </c>
      <c r="R1389" s="8">
        <f t="shared" si="225"/>
        <v>4</v>
      </c>
      <c r="S1389" s="8">
        <f t="shared" si="222"/>
        <v>4.0333333333333332</v>
      </c>
      <c r="T1389" s="18">
        <f t="shared" si="218"/>
        <v>7.75698720985315E-2</v>
      </c>
      <c r="U1389" s="20">
        <f t="shared" si="223"/>
        <v>14.73114785646613</v>
      </c>
      <c r="V1389" s="27" t="s">
        <v>2982</v>
      </c>
    </row>
    <row r="1390" spans="1:22" ht="15" customHeight="1" x14ac:dyDescent="0.25">
      <c r="A1390" t="s">
        <v>141</v>
      </c>
      <c r="B1390" t="s">
        <v>2660</v>
      </c>
      <c r="C1390" t="s">
        <v>2677</v>
      </c>
      <c r="D1390" t="s">
        <v>2678</v>
      </c>
      <c r="E1390" t="s">
        <v>234</v>
      </c>
      <c r="F1390" s="5">
        <v>1095</v>
      </c>
      <c r="G1390" t="s">
        <v>794</v>
      </c>
      <c r="H1390">
        <v>3.25</v>
      </c>
      <c r="I1390" s="3">
        <v>42</v>
      </c>
      <c r="J1390">
        <v>7</v>
      </c>
      <c r="K1390" s="3">
        <v>37.5</v>
      </c>
      <c r="L1390">
        <f t="shared" si="220"/>
        <v>9.5549999999999997E-4</v>
      </c>
      <c r="M1390">
        <f t="shared" ref="M1390:M1391" si="226">L1390*N1390</f>
        <v>1.4332499999999999</v>
      </c>
      <c r="N1390" s="8">
        <v>1500</v>
      </c>
      <c r="O1390" s="14">
        <f t="shared" si="221"/>
        <v>1642500</v>
      </c>
      <c r="P1390" s="8">
        <v>30</v>
      </c>
      <c r="Q1390" s="8">
        <f t="shared" si="224"/>
        <v>50</v>
      </c>
      <c r="R1390" s="8">
        <f t="shared" si="225"/>
        <v>1500</v>
      </c>
      <c r="S1390" s="8">
        <f t="shared" si="222"/>
        <v>1550</v>
      </c>
      <c r="T1390" s="18">
        <f t="shared" si="218"/>
        <v>1215.7301042160113</v>
      </c>
      <c r="U1390" s="20">
        <f>T1390</f>
        <v>1215.7301042160113</v>
      </c>
      <c r="V1390" s="25" t="s">
        <v>2987</v>
      </c>
    </row>
    <row r="1391" spans="1:22" ht="15" customHeight="1" x14ac:dyDescent="0.25">
      <c r="A1391" t="s">
        <v>141</v>
      </c>
      <c r="B1391" t="s">
        <v>2660</v>
      </c>
      <c r="C1391" t="s">
        <v>2677</v>
      </c>
      <c r="D1391" t="s">
        <v>2678</v>
      </c>
      <c r="E1391" t="s">
        <v>234</v>
      </c>
      <c r="F1391" s="5">
        <v>1095</v>
      </c>
      <c r="G1391" t="s">
        <v>794</v>
      </c>
      <c r="H1391">
        <v>3.25</v>
      </c>
      <c r="I1391" s="3">
        <v>42</v>
      </c>
      <c r="J1391">
        <v>7</v>
      </c>
      <c r="K1391" s="3">
        <v>37.5</v>
      </c>
      <c r="L1391">
        <f t="shared" si="220"/>
        <v>9.5549999999999997E-4</v>
      </c>
      <c r="M1391">
        <f t="shared" si="226"/>
        <v>1.4332499999999999</v>
      </c>
      <c r="N1391" s="8">
        <v>1500</v>
      </c>
      <c r="O1391" s="14">
        <f t="shared" si="221"/>
        <v>1642500</v>
      </c>
      <c r="P1391" s="8">
        <v>30</v>
      </c>
      <c r="Q1391" s="8">
        <f t="shared" si="224"/>
        <v>50</v>
      </c>
      <c r="R1391" s="8">
        <f t="shared" si="225"/>
        <v>1500</v>
      </c>
      <c r="S1391" s="8">
        <f t="shared" si="222"/>
        <v>1550</v>
      </c>
      <c r="T1391" s="18">
        <f t="shared" si="218"/>
        <v>1215.7301042160113</v>
      </c>
      <c r="U1391" s="20">
        <f t="shared" ref="U1391:U1422" si="227">U1390+T1391</f>
        <v>2431.4602084320227</v>
      </c>
      <c r="V1391" s="25" t="s">
        <v>2987</v>
      </c>
    </row>
    <row r="1392" spans="1:22" ht="15" customHeight="1" x14ac:dyDescent="0.25">
      <c r="A1392" t="s">
        <v>141</v>
      </c>
      <c r="B1392" t="s">
        <v>2576</v>
      </c>
      <c r="C1392" t="s">
        <v>2577</v>
      </c>
      <c r="D1392" t="s">
        <v>232</v>
      </c>
      <c r="E1392" t="s">
        <v>234</v>
      </c>
      <c r="F1392" s="5">
        <v>2295</v>
      </c>
      <c r="G1392" t="s">
        <v>683</v>
      </c>
      <c r="H1392" s="2">
        <v>840</v>
      </c>
      <c r="I1392" s="3">
        <v>500</v>
      </c>
      <c r="J1392" s="3">
        <v>260</v>
      </c>
      <c r="K1392" s="3">
        <v>15</v>
      </c>
      <c r="L1392">
        <f t="shared" si="220"/>
        <v>109.2</v>
      </c>
      <c r="M1392">
        <v>6.5</v>
      </c>
      <c r="N1392" s="8">
        <f>M1392*L1392</f>
        <v>709.80000000000007</v>
      </c>
      <c r="O1392" s="14">
        <f t="shared" si="221"/>
        <v>1628991.0000000002</v>
      </c>
      <c r="P1392" s="8">
        <v>25</v>
      </c>
      <c r="Q1392" s="8">
        <f t="shared" si="224"/>
        <v>28.392000000000003</v>
      </c>
      <c r="R1392" s="8">
        <f t="shared" si="225"/>
        <v>591.50000000000011</v>
      </c>
      <c r="S1392" s="8">
        <f t="shared" si="222"/>
        <v>619.89200000000017</v>
      </c>
      <c r="T1392" s="18">
        <f t="shared" si="218"/>
        <v>1205.7311404547611</v>
      </c>
      <c r="U1392" s="20">
        <f t="shared" si="227"/>
        <v>3637.191348886784</v>
      </c>
      <c r="V1392" s="25" t="s">
        <v>2987</v>
      </c>
    </row>
    <row r="1393" spans="1:22" ht="15" customHeight="1" x14ac:dyDescent="0.25">
      <c r="A1393" t="s">
        <v>141</v>
      </c>
      <c r="B1393" t="s">
        <v>2576</v>
      </c>
      <c r="C1393" t="s">
        <v>2577</v>
      </c>
      <c r="D1393" t="s">
        <v>232</v>
      </c>
      <c r="E1393" t="s">
        <v>234</v>
      </c>
      <c r="F1393" s="5">
        <v>2295</v>
      </c>
      <c r="G1393" t="s">
        <v>683</v>
      </c>
      <c r="H1393" s="3">
        <v>840</v>
      </c>
      <c r="I1393" s="3">
        <v>500</v>
      </c>
      <c r="J1393" s="3">
        <v>260</v>
      </c>
      <c r="K1393" s="3">
        <v>15</v>
      </c>
      <c r="L1393">
        <f t="shared" si="220"/>
        <v>109.2</v>
      </c>
      <c r="M1393">
        <v>6.5</v>
      </c>
      <c r="N1393" s="8">
        <f>M1393*L1393</f>
        <v>709.80000000000007</v>
      </c>
      <c r="O1393" s="14">
        <f t="shared" si="221"/>
        <v>1628991.0000000002</v>
      </c>
      <c r="P1393" s="8">
        <v>25</v>
      </c>
      <c r="Q1393" s="8">
        <f t="shared" si="224"/>
        <v>28.392000000000003</v>
      </c>
      <c r="R1393" s="8">
        <f t="shared" si="225"/>
        <v>591.50000000000011</v>
      </c>
      <c r="S1393" s="8">
        <f t="shared" si="222"/>
        <v>619.89200000000017</v>
      </c>
      <c r="T1393" s="18">
        <f t="shared" si="218"/>
        <v>1205.7311404547611</v>
      </c>
      <c r="U1393" s="20">
        <f t="shared" si="227"/>
        <v>4842.9224893415449</v>
      </c>
      <c r="V1393" s="25" t="s">
        <v>2987</v>
      </c>
    </row>
    <row r="1394" spans="1:22" ht="15" customHeight="1" x14ac:dyDescent="0.25">
      <c r="A1394" t="s">
        <v>141</v>
      </c>
      <c r="B1394" t="s">
        <v>2660</v>
      </c>
      <c r="C1394" t="s">
        <v>2675</v>
      </c>
      <c r="D1394" t="s">
        <v>2676</v>
      </c>
      <c r="E1394" t="s">
        <v>234</v>
      </c>
      <c r="F1394" s="5">
        <v>854.5</v>
      </c>
      <c r="G1394" t="s">
        <v>2674</v>
      </c>
      <c r="H1394" s="3">
        <v>200</v>
      </c>
      <c r="I1394" s="3">
        <v>42</v>
      </c>
      <c r="J1394">
        <v>5.2</v>
      </c>
      <c r="K1394">
        <v>8.8000000000000007</v>
      </c>
      <c r="L1394">
        <f t="shared" si="220"/>
        <v>4.3679999999999997E-2</v>
      </c>
      <c r="M1394">
        <f>L1394*N1394</f>
        <v>54.599999999999994</v>
      </c>
      <c r="N1394" s="8">
        <v>1250</v>
      </c>
      <c r="O1394" s="14">
        <f t="shared" si="221"/>
        <v>1068125</v>
      </c>
      <c r="P1394" s="8">
        <v>30</v>
      </c>
      <c r="Q1394" s="8">
        <f t="shared" si="224"/>
        <v>41.666666666666664</v>
      </c>
      <c r="R1394" s="8">
        <f t="shared" si="225"/>
        <v>1250</v>
      </c>
      <c r="S1394" s="8">
        <f t="shared" si="222"/>
        <v>1291.6666666666667</v>
      </c>
      <c r="T1394" s="18">
        <f t="shared" si="218"/>
        <v>790.59465300805311</v>
      </c>
      <c r="U1394" s="20">
        <f t="shared" si="227"/>
        <v>5633.5171423495976</v>
      </c>
      <c r="V1394" s="25" t="s">
        <v>2987</v>
      </c>
    </row>
    <row r="1395" spans="1:22" ht="15" customHeight="1" x14ac:dyDescent="0.25">
      <c r="A1395" t="s">
        <v>141</v>
      </c>
      <c r="B1395" t="s">
        <v>2660</v>
      </c>
      <c r="C1395" t="s">
        <v>2675</v>
      </c>
      <c r="D1395" t="s">
        <v>2676</v>
      </c>
      <c r="E1395" t="s">
        <v>234</v>
      </c>
      <c r="F1395" s="5">
        <v>854.5</v>
      </c>
      <c r="G1395" t="s">
        <v>2674</v>
      </c>
      <c r="H1395" s="3">
        <v>200</v>
      </c>
      <c r="I1395" s="3">
        <v>42</v>
      </c>
      <c r="J1395">
        <v>5.2</v>
      </c>
      <c r="K1395">
        <v>8.8000000000000007</v>
      </c>
      <c r="L1395">
        <f t="shared" si="220"/>
        <v>4.3679999999999997E-2</v>
      </c>
      <c r="M1395">
        <f>L1395*N1395</f>
        <v>54.599999999999994</v>
      </c>
      <c r="N1395" s="8">
        <v>1250</v>
      </c>
      <c r="O1395" s="14">
        <f t="shared" si="221"/>
        <v>1068125</v>
      </c>
      <c r="P1395" s="8">
        <v>30</v>
      </c>
      <c r="Q1395" s="8">
        <f t="shared" si="224"/>
        <v>41.666666666666664</v>
      </c>
      <c r="R1395" s="8">
        <f t="shared" si="225"/>
        <v>1250</v>
      </c>
      <c r="S1395" s="8">
        <f t="shared" si="222"/>
        <v>1291.6666666666667</v>
      </c>
      <c r="T1395" s="18">
        <f t="shared" si="218"/>
        <v>790.59465300805311</v>
      </c>
      <c r="U1395" s="20">
        <f t="shared" si="227"/>
        <v>6424.1117953576504</v>
      </c>
      <c r="V1395" s="25" t="s">
        <v>2987</v>
      </c>
    </row>
    <row r="1396" spans="1:22" ht="15" customHeight="1" x14ac:dyDescent="0.25">
      <c r="A1396" t="s">
        <v>141</v>
      </c>
      <c r="B1396" t="s">
        <v>22</v>
      </c>
      <c r="C1396" t="s">
        <v>44</v>
      </c>
      <c r="D1396" t="s">
        <v>2575</v>
      </c>
      <c r="E1396" t="s">
        <v>24</v>
      </c>
      <c r="F1396" s="5">
        <v>4.6100000000000003</v>
      </c>
      <c r="G1396" t="s">
        <v>43</v>
      </c>
      <c r="H1396" s="3">
        <v>10</v>
      </c>
      <c r="I1396" s="3">
        <v>7</v>
      </c>
      <c r="J1396" s="3">
        <v>5</v>
      </c>
      <c r="K1396" s="3">
        <v>8</v>
      </c>
      <c r="L1396">
        <f t="shared" si="220"/>
        <v>3.5E-4</v>
      </c>
      <c r="M1396">
        <v>78</v>
      </c>
      <c r="N1396" s="8">
        <f>M1396/L1396</f>
        <v>222857.14285714287</v>
      </c>
      <c r="O1396" s="14">
        <f t="shared" si="221"/>
        <v>1027371.4285714288</v>
      </c>
      <c r="P1396" s="8">
        <v>8</v>
      </c>
      <c r="Q1396" s="8">
        <f t="shared" si="224"/>
        <v>27857.142857142859</v>
      </c>
      <c r="R1396" s="8">
        <f t="shared" si="225"/>
        <v>59428.571428571435</v>
      </c>
      <c r="S1396" s="8">
        <f t="shared" si="222"/>
        <v>87285.71428571429</v>
      </c>
      <c r="T1396" s="18">
        <f t="shared" si="218"/>
        <v>760.43006022873396</v>
      </c>
      <c r="U1396" s="20">
        <f t="shared" si="227"/>
        <v>7184.5418555863844</v>
      </c>
      <c r="V1396" s="25" t="s">
        <v>2987</v>
      </c>
    </row>
    <row r="1397" spans="1:22" ht="15" customHeight="1" x14ac:dyDescent="0.25">
      <c r="A1397" t="s">
        <v>141</v>
      </c>
      <c r="B1397" t="s">
        <v>2660</v>
      </c>
      <c r="C1397" t="s">
        <v>2672</v>
      </c>
      <c r="D1397" t="s">
        <v>2673</v>
      </c>
      <c r="E1397" t="s">
        <v>234</v>
      </c>
      <c r="F1397" s="5">
        <v>994.5</v>
      </c>
      <c r="G1397" t="s">
        <v>2674</v>
      </c>
      <c r="H1397" s="3">
        <v>300</v>
      </c>
      <c r="I1397" s="3">
        <v>42</v>
      </c>
      <c r="J1397">
        <v>5.2</v>
      </c>
      <c r="K1397" s="3">
        <v>58.8</v>
      </c>
      <c r="L1397">
        <f t="shared" si="220"/>
        <v>6.5519999999999995E-2</v>
      </c>
      <c r="M1397">
        <f>L1397*N1397</f>
        <v>65.52</v>
      </c>
      <c r="N1397" s="8">
        <v>1000</v>
      </c>
      <c r="O1397" s="14">
        <f t="shared" si="221"/>
        <v>994500</v>
      </c>
      <c r="P1397" s="8">
        <v>30</v>
      </c>
      <c r="Q1397" s="8">
        <f t="shared" si="224"/>
        <v>33.333333333333336</v>
      </c>
      <c r="R1397" s="8">
        <f t="shared" si="225"/>
        <v>1000.0000000000001</v>
      </c>
      <c r="S1397" s="8">
        <f t="shared" si="222"/>
        <v>1033.3333333333335</v>
      </c>
      <c r="T1397" s="18">
        <f t="shared" ref="T1397:T1460" si="228">O1397/O$1749</f>
        <v>736.09959734722884</v>
      </c>
      <c r="U1397" s="20">
        <f t="shared" si="227"/>
        <v>7920.6414529336134</v>
      </c>
      <c r="V1397" s="25" t="s">
        <v>2987</v>
      </c>
    </row>
    <row r="1398" spans="1:22" ht="15" customHeight="1" x14ac:dyDescent="0.25">
      <c r="A1398" t="s">
        <v>141</v>
      </c>
      <c r="B1398" t="s">
        <v>126</v>
      </c>
      <c r="C1398" t="s">
        <v>133</v>
      </c>
      <c r="D1398" t="s">
        <v>134</v>
      </c>
      <c r="E1398" t="s">
        <v>480</v>
      </c>
      <c r="F1398" s="5">
        <v>4659</v>
      </c>
      <c r="G1398" t="s">
        <v>135</v>
      </c>
      <c r="H1398" s="3">
        <v>184</v>
      </c>
      <c r="I1398" s="3">
        <v>200</v>
      </c>
      <c r="J1398" s="3">
        <v>224</v>
      </c>
      <c r="K1398" s="3">
        <v>132</v>
      </c>
      <c r="L1398">
        <f t="shared" si="220"/>
        <v>8.2431999999999999</v>
      </c>
      <c r="M1398">
        <f>L1398*N1398</f>
        <v>1648.6399999999999</v>
      </c>
      <c r="N1398" s="8">
        <v>200</v>
      </c>
      <c r="O1398" s="14">
        <f t="shared" si="221"/>
        <v>931800</v>
      </c>
      <c r="P1398" s="8">
        <v>30</v>
      </c>
      <c r="Q1398" s="8">
        <f t="shared" si="224"/>
        <v>6.666666666666667</v>
      </c>
      <c r="R1398" s="8">
        <f t="shared" si="225"/>
        <v>200</v>
      </c>
      <c r="S1398" s="8">
        <f t="shared" si="222"/>
        <v>206.66666666666666</v>
      </c>
      <c r="T1398" s="18">
        <f t="shared" si="228"/>
        <v>689.6909047844623</v>
      </c>
      <c r="U1398" s="20">
        <f t="shared" si="227"/>
        <v>8610.3323577180763</v>
      </c>
      <c r="V1398" s="25" t="s">
        <v>2987</v>
      </c>
    </row>
    <row r="1399" spans="1:22" ht="15" customHeight="1" x14ac:dyDescent="0.25">
      <c r="A1399" t="s">
        <v>141</v>
      </c>
      <c r="B1399" t="s">
        <v>2576</v>
      </c>
      <c r="C1399" t="s">
        <v>2582</v>
      </c>
      <c r="D1399" t="s">
        <v>2583</v>
      </c>
      <c r="E1399" t="s">
        <v>234</v>
      </c>
      <c r="F1399" s="5">
        <v>1345</v>
      </c>
      <c r="G1399" t="s">
        <v>683</v>
      </c>
      <c r="H1399" s="3">
        <v>700</v>
      </c>
      <c r="I1399" s="3">
        <v>500</v>
      </c>
      <c r="J1399" s="3">
        <v>260</v>
      </c>
      <c r="K1399" s="3">
        <v>5</v>
      </c>
      <c r="L1399">
        <f t="shared" si="220"/>
        <v>91</v>
      </c>
      <c r="M1399">
        <v>6.5</v>
      </c>
      <c r="N1399" s="8">
        <f>M1399*L1399</f>
        <v>591.5</v>
      </c>
      <c r="O1399" s="14">
        <f t="shared" si="221"/>
        <v>795567.5</v>
      </c>
      <c r="P1399" s="8">
        <v>25</v>
      </c>
      <c r="Q1399" s="8">
        <f t="shared" si="224"/>
        <v>23.66</v>
      </c>
      <c r="R1399" s="8">
        <f t="shared" si="225"/>
        <v>492.91666666666663</v>
      </c>
      <c r="S1399" s="8">
        <f t="shared" si="222"/>
        <v>516.5766666666666</v>
      </c>
      <c r="T1399" s="18">
        <f t="shared" si="228"/>
        <v>588.8556223353861</v>
      </c>
      <c r="U1399" s="20">
        <f t="shared" si="227"/>
        <v>9199.1879800534625</v>
      </c>
      <c r="V1399" s="25" t="s">
        <v>2987</v>
      </c>
    </row>
    <row r="1400" spans="1:22" ht="15" customHeight="1" x14ac:dyDescent="0.25">
      <c r="A1400" t="s">
        <v>141</v>
      </c>
      <c r="B1400" t="s">
        <v>2576</v>
      </c>
      <c r="C1400" t="s">
        <v>2582</v>
      </c>
      <c r="D1400" t="s">
        <v>2583</v>
      </c>
      <c r="E1400" t="s">
        <v>234</v>
      </c>
      <c r="F1400" s="5">
        <v>1345</v>
      </c>
      <c r="G1400" t="s">
        <v>683</v>
      </c>
      <c r="H1400" s="3">
        <v>700</v>
      </c>
      <c r="I1400" s="3">
        <v>500</v>
      </c>
      <c r="J1400" s="3">
        <v>260</v>
      </c>
      <c r="K1400" s="3">
        <v>5</v>
      </c>
      <c r="L1400">
        <f t="shared" si="220"/>
        <v>91</v>
      </c>
      <c r="M1400">
        <v>6.5</v>
      </c>
      <c r="N1400" s="8">
        <f>M1400*L1400</f>
        <v>591.5</v>
      </c>
      <c r="O1400" s="14">
        <f t="shared" si="221"/>
        <v>795567.5</v>
      </c>
      <c r="P1400" s="8">
        <v>25</v>
      </c>
      <c r="Q1400" s="8">
        <f t="shared" si="224"/>
        <v>23.66</v>
      </c>
      <c r="R1400" s="8">
        <f t="shared" si="225"/>
        <v>492.91666666666663</v>
      </c>
      <c r="S1400" s="8">
        <f t="shared" si="222"/>
        <v>516.5766666666666</v>
      </c>
      <c r="T1400" s="18">
        <f t="shared" si="228"/>
        <v>588.8556223353861</v>
      </c>
      <c r="U1400" s="20">
        <f t="shared" si="227"/>
        <v>9788.0436023888487</v>
      </c>
      <c r="V1400" s="25" t="s">
        <v>2987</v>
      </c>
    </row>
    <row r="1401" spans="1:22" ht="15" customHeight="1" x14ac:dyDescent="0.25">
      <c r="A1401" t="s">
        <v>141</v>
      </c>
      <c r="B1401" t="s">
        <v>2660</v>
      </c>
      <c r="C1401" t="s">
        <v>2672</v>
      </c>
      <c r="D1401" t="s">
        <v>2673</v>
      </c>
      <c r="E1401" t="s">
        <v>234</v>
      </c>
      <c r="F1401" s="5">
        <v>994.5</v>
      </c>
      <c r="G1401" t="s">
        <v>2674</v>
      </c>
      <c r="H1401" s="3">
        <v>300</v>
      </c>
      <c r="I1401" s="3">
        <v>42</v>
      </c>
      <c r="J1401">
        <v>5.2</v>
      </c>
      <c r="K1401" s="3">
        <v>58.8</v>
      </c>
      <c r="L1401">
        <f t="shared" si="220"/>
        <v>6.5519999999999995E-2</v>
      </c>
      <c r="M1401">
        <f>L1401*N1401</f>
        <v>49.139999999999993</v>
      </c>
      <c r="N1401" s="8">
        <v>750</v>
      </c>
      <c r="O1401" s="14">
        <f t="shared" si="221"/>
        <v>745875</v>
      </c>
      <c r="P1401" s="8">
        <v>30</v>
      </c>
      <c r="Q1401" s="8">
        <f t="shared" si="224"/>
        <v>25</v>
      </c>
      <c r="R1401" s="8">
        <f t="shared" si="225"/>
        <v>750</v>
      </c>
      <c r="S1401" s="8">
        <f t="shared" si="222"/>
        <v>775</v>
      </c>
      <c r="T1401" s="18">
        <f t="shared" si="228"/>
        <v>552.07469801042157</v>
      </c>
      <c r="U1401" s="20">
        <f t="shared" si="227"/>
        <v>10340.11830039927</v>
      </c>
      <c r="V1401" s="25" t="s">
        <v>2987</v>
      </c>
    </row>
    <row r="1402" spans="1:22" ht="15" customHeight="1" x14ac:dyDescent="0.25">
      <c r="A1402" t="s">
        <v>141</v>
      </c>
      <c r="B1402" t="s">
        <v>2681</v>
      </c>
      <c r="C1402" t="s">
        <v>2691</v>
      </c>
      <c r="D1402" t="s">
        <v>2692</v>
      </c>
      <c r="E1402" t="s">
        <v>2684</v>
      </c>
      <c r="F1402" s="5">
        <v>534.4</v>
      </c>
      <c r="G1402" t="s">
        <v>2690</v>
      </c>
      <c r="H1402" s="3">
        <v>0.5</v>
      </c>
      <c r="I1402" s="3">
        <v>100000</v>
      </c>
      <c r="J1402" s="3">
        <v>0.5</v>
      </c>
      <c r="K1402" s="3">
        <v>45</v>
      </c>
      <c r="L1402">
        <f t="shared" si="220"/>
        <v>2.5000000000000001E-2</v>
      </c>
      <c r="M1402">
        <f>L1402*N1402</f>
        <v>26.5</v>
      </c>
      <c r="N1402" s="8">
        <v>1060</v>
      </c>
      <c r="O1402" s="14">
        <f t="shared" si="221"/>
        <v>566464</v>
      </c>
      <c r="P1402" s="8">
        <v>40</v>
      </c>
      <c r="Q1402" s="8">
        <f t="shared" si="224"/>
        <v>26.5</v>
      </c>
      <c r="R1402" s="8">
        <f t="shared" si="225"/>
        <v>1413.3333333333335</v>
      </c>
      <c r="S1402" s="8">
        <f t="shared" si="222"/>
        <v>1439.8333333333335</v>
      </c>
      <c r="T1402" s="18">
        <f t="shared" si="228"/>
        <v>419.27996210326859</v>
      </c>
      <c r="U1402" s="20">
        <f t="shared" si="227"/>
        <v>10759.398262502538</v>
      </c>
      <c r="V1402" s="25" t="s">
        <v>2987</v>
      </c>
    </row>
    <row r="1403" spans="1:22" ht="15" customHeight="1" x14ac:dyDescent="0.25">
      <c r="A1403" t="s">
        <v>141</v>
      </c>
      <c r="B1403" t="s">
        <v>2681</v>
      </c>
      <c r="C1403" t="s">
        <v>2691</v>
      </c>
      <c r="D1403" t="s">
        <v>2692</v>
      </c>
      <c r="E1403" t="s">
        <v>2684</v>
      </c>
      <c r="F1403" s="5">
        <v>534.4</v>
      </c>
      <c r="G1403" t="s">
        <v>2690</v>
      </c>
      <c r="H1403" s="3">
        <v>0.5</v>
      </c>
      <c r="I1403" s="3">
        <v>100000</v>
      </c>
      <c r="J1403" s="3">
        <v>0.5</v>
      </c>
      <c r="K1403" s="3">
        <v>45</v>
      </c>
      <c r="L1403">
        <f t="shared" si="220"/>
        <v>2.5000000000000001E-2</v>
      </c>
      <c r="M1403">
        <f>L1403*N1403</f>
        <v>26.5</v>
      </c>
      <c r="N1403" s="8">
        <v>1060</v>
      </c>
      <c r="O1403" s="14">
        <f t="shared" si="221"/>
        <v>566464</v>
      </c>
      <c r="P1403" s="8">
        <v>40</v>
      </c>
      <c r="Q1403" s="8">
        <f t="shared" si="224"/>
        <v>26.5</v>
      </c>
      <c r="R1403" s="8">
        <f t="shared" si="225"/>
        <v>1413.3333333333335</v>
      </c>
      <c r="S1403" s="8">
        <f t="shared" si="222"/>
        <v>1439.8333333333335</v>
      </c>
      <c r="T1403" s="18">
        <f t="shared" si="228"/>
        <v>419.27996210326859</v>
      </c>
      <c r="U1403" s="20">
        <f t="shared" si="227"/>
        <v>11178.678224605806</v>
      </c>
      <c r="V1403" s="25" t="s">
        <v>2987</v>
      </c>
    </row>
    <row r="1404" spans="1:22" ht="15" customHeight="1" x14ac:dyDescent="0.25">
      <c r="A1404" t="s">
        <v>141</v>
      </c>
      <c r="B1404" t="s">
        <v>2576</v>
      </c>
      <c r="C1404" t="s">
        <v>2578</v>
      </c>
      <c r="D1404" t="s">
        <v>2579</v>
      </c>
      <c r="E1404" t="s">
        <v>234</v>
      </c>
      <c r="F1404" s="5">
        <v>1670</v>
      </c>
      <c r="G1404" t="s">
        <v>683</v>
      </c>
      <c r="H1404" s="3">
        <v>660</v>
      </c>
      <c r="I1404" s="3">
        <v>445</v>
      </c>
      <c r="J1404" s="3">
        <v>176</v>
      </c>
      <c r="K1404" s="3">
        <v>14</v>
      </c>
      <c r="L1404">
        <f t="shared" si="220"/>
        <v>51.691200000000002</v>
      </c>
      <c r="M1404">
        <v>6.5</v>
      </c>
      <c r="N1404" s="8">
        <f>M1404*L1404</f>
        <v>335.99279999999999</v>
      </c>
      <c r="O1404" s="14">
        <f t="shared" si="221"/>
        <v>561107.97600000002</v>
      </c>
      <c r="P1404" s="8">
        <v>25</v>
      </c>
      <c r="Q1404" s="8">
        <f t="shared" si="224"/>
        <v>13.439712</v>
      </c>
      <c r="R1404" s="8">
        <f t="shared" si="225"/>
        <v>279.99399999999997</v>
      </c>
      <c r="S1404" s="8">
        <f t="shared" si="222"/>
        <v>293.43371199999996</v>
      </c>
      <c r="T1404" s="18">
        <f t="shared" si="228"/>
        <v>415.31559095215539</v>
      </c>
      <c r="U1404" s="20">
        <f t="shared" si="227"/>
        <v>11593.993815557962</v>
      </c>
      <c r="V1404" s="25" t="s">
        <v>2987</v>
      </c>
    </row>
    <row r="1405" spans="1:22" ht="15" customHeight="1" x14ac:dyDescent="0.25">
      <c r="A1405" t="s">
        <v>141</v>
      </c>
      <c r="B1405" t="s">
        <v>2576</v>
      </c>
      <c r="C1405" t="s">
        <v>2578</v>
      </c>
      <c r="D1405" t="s">
        <v>2579</v>
      </c>
      <c r="E1405" t="s">
        <v>234</v>
      </c>
      <c r="F1405" s="5">
        <v>1670</v>
      </c>
      <c r="G1405" t="s">
        <v>683</v>
      </c>
      <c r="H1405" s="3">
        <v>660</v>
      </c>
      <c r="I1405" s="3">
        <v>445</v>
      </c>
      <c r="J1405" s="3">
        <v>176</v>
      </c>
      <c r="K1405" s="3">
        <v>14</v>
      </c>
      <c r="L1405">
        <f t="shared" si="220"/>
        <v>51.691200000000002</v>
      </c>
      <c r="M1405">
        <v>6.5</v>
      </c>
      <c r="N1405" s="8">
        <f>M1405*L1405</f>
        <v>335.99279999999999</v>
      </c>
      <c r="O1405" s="14">
        <f t="shared" si="221"/>
        <v>561107.97600000002</v>
      </c>
      <c r="P1405" s="8">
        <v>25</v>
      </c>
      <c r="Q1405" s="8">
        <f t="shared" si="224"/>
        <v>13.439712</v>
      </c>
      <c r="R1405" s="8">
        <f t="shared" si="225"/>
        <v>279.99399999999997</v>
      </c>
      <c r="S1405" s="8">
        <f t="shared" si="222"/>
        <v>293.43371199999996</v>
      </c>
      <c r="T1405" s="18">
        <f t="shared" si="228"/>
        <v>415.31559095215539</v>
      </c>
      <c r="U1405" s="20">
        <f t="shared" si="227"/>
        <v>12009.309406510118</v>
      </c>
      <c r="V1405" s="25" t="s">
        <v>2987</v>
      </c>
    </row>
    <row r="1406" spans="1:22" ht="15" customHeight="1" x14ac:dyDescent="0.25">
      <c r="A1406" t="s">
        <v>141</v>
      </c>
      <c r="B1406" t="s">
        <v>126</v>
      </c>
      <c r="C1406" t="s">
        <v>136</v>
      </c>
      <c r="D1406" t="s">
        <v>137</v>
      </c>
      <c r="E1406" t="s">
        <v>480</v>
      </c>
      <c r="F1406" s="5">
        <v>2090.9</v>
      </c>
      <c r="G1406" t="s">
        <v>135</v>
      </c>
      <c r="H1406" s="3">
        <v>200</v>
      </c>
      <c r="I1406" s="3">
        <v>200</v>
      </c>
      <c r="J1406" s="3">
        <v>118</v>
      </c>
      <c r="K1406" s="3">
        <v>97</v>
      </c>
      <c r="L1406">
        <f t="shared" si="220"/>
        <v>4.72</v>
      </c>
      <c r="M1406">
        <f>L1406*N1406</f>
        <v>1180</v>
      </c>
      <c r="N1406" s="8">
        <v>250</v>
      </c>
      <c r="O1406" s="14">
        <f t="shared" si="221"/>
        <v>522725</v>
      </c>
      <c r="P1406" s="8">
        <v>30</v>
      </c>
      <c r="Q1406" s="8">
        <f t="shared" si="224"/>
        <v>8.3333333333333339</v>
      </c>
      <c r="R1406" s="8">
        <f t="shared" si="225"/>
        <v>250.00000000000003</v>
      </c>
      <c r="S1406" s="8">
        <f t="shared" si="222"/>
        <v>258.33333333333337</v>
      </c>
      <c r="T1406" s="18">
        <f t="shared" si="228"/>
        <v>386.90564306016108</v>
      </c>
      <c r="U1406" s="20">
        <f t="shared" si="227"/>
        <v>12396.215049570279</v>
      </c>
      <c r="V1406" s="25" t="s">
        <v>2987</v>
      </c>
    </row>
    <row r="1407" spans="1:22" ht="15" customHeight="1" x14ac:dyDescent="0.25">
      <c r="A1407" t="s">
        <v>141</v>
      </c>
      <c r="B1407" t="s">
        <v>22</v>
      </c>
      <c r="C1407" t="s">
        <v>38</v>
      </c>
      <c r="D1407" t="s">
        <v>39</v>
      </c>
      <c r="E1407" t="s">
        <v>24</v>
      </c>
      <c r="F1407" s="5">
        <v>3.9</v>
      </c>
      <c r="G1407" t="s">
        <v>27</v>
      </c>
      <c r="H1407" s="3">
        <v>1.5</v>
      </c>
      <c r="I1407" s="3">
        <v>16</v>
      </c>
      <c r="J1407" s="3">
        <v>25</v>
      </c>
      <c r="K1407" s="3">
        <v>1</v>
      </c>
      <c r="L1407">
        <f t="shared" si="220"/>
        <v>5.9999999999999995E-4</v>
      </c>
      <c r="M1407">
        <v>78</v>
      </c>
      <c r="N1407" s="8">
        <f>M1407/L1407</f>
        <v>130000.00000000001</v>
      </c>
      <c r="O1407" s="14">
        <f t="shared" si="221"/>
        <v>507000.00000000006</v>
      </c>
      <c r="P1407" s="8">
        <v>8</v>
      </c>
      <c r="Q1407" s="8">
        <f t="shared" si="224"/>
        <v>16250.000000000002</v>
      </c>
      <c r="R1407" s="8">
        <f t="shared" si="225"/>
        <v>34666.666666666672</v>
      </c>
      <c r="S1407" s="8">
        <f t="shared" si="222"/>
        <v>50916.666666666672</v>
      </c>
      <c r="T1407" s="18">
        <f t="shared" si="228"/>
        <v>375.26646139270491</v>
      </c>
      <c r="U1407" s="20">
        <f t="shared" si="227"/>
        <v>12771.481510962984</v>
      </c>
      <c r="V1407" s="27" t="s">
        <v>2982</v>
      </c>
    </row>
    <row r="1408" spans="1:22" ht="15" customHeight="1" x14ac:dyDescent="0.25">
      <c r="A1408" t="s">
        <v>141</v>
      </c>
      <c r="B1408" t="s">
        <v>12</v>
      </c>
      <c r="C1408" t="s">
        <v>2647</v>
      </c>
      <c r="D1408" t="s">
        <v>2648</v>
      </c>
      <c r="E1408" t="s">
        <v>13</v>
      </c>
      <c r="F1408" s="5">
        <v>194.21</v>
      </c>
      <c r="G1408" t="s">
        <v>11</v>
      </c>
      <c r="H1408" s="3">
        <v>2.5</v>
      </c>
      <c r="I1408" s="3">
        <v>1200</v>
      </c>
      <c r="J1408" s="3">
        <v>2.5</v>
      </c>
      <c r="K1408" s="3">
        <v>46.24</v>
      </c>
      <c r="L1408">
        <f t="shared" si="220"/>
        <v>7.4999999999999997E-3</v>
      </c>
      <c r="M1408" s="3">
        <f>L1408*N1408</f>
        <v>15</v>
      </c>
      <c r="N1408" s="8">
        <v>2000</v>
      </c>
      <c r="O1408" s="14">
        <f t="shared" si="221"/>
        <v>388420</v>
      </c>
      <c r="P1408" s="8">
        <v>40</v>
      </c>
      <c r="Q1408" s="8">
        <f t="shared" si="224"/>
        <v>50</v>
      </c>
      <c r="R1408" s="8">
        <f t="shared" si="225"/>
        <v>2666.666666666667</v>
      </c>
      <c r="S1408" s="8">
        <f t="shared" si="222"/>
        <v>2716.666666666667</v>
      </c>
      <c r="T1408" s="18">
        <f t="shared" si="228"/>
        <v>287.49703931785882</v>
      </c>
      <c r="U1408" s="20">
        <f t="shared" si="227"/>
        <v>13058.978550280843</v>
      </c>
      <c r="V1408" s="27" t="s">
        <v>2982</v>
      </c>
    </row>
    <row r="1409" spans="1:22" ht="15" customHeight="1" x14ac:dyDescent="0.25">
      <c r="A1409" t="s">
        <v>141</v>
      </c>
      <c r="B1409" t="s">
        <v>22</v>
      </c>
      <c r="C1409" t="s">
        <v>40</v>
      </c>
      <c r="D1409" t="s">
        <v>41</v>
      </c>
      <c r="E1409" t="s">
        <v>24</v>
      </c>
      <c r="F1409" s="5">
        <v>2.9</v>
      </c>
      <c r="G1409" t="s">
        <v>27</v>
      </c>
      <c r="H1409" s="3">
        <v>1.5</v>
      </c>
      <c r="I1409" s="3">
        <v>16</v>
      </c>
      <c r="J1409" s="3">
        <v>25</v>
      </c>
      <c r="K1409" s="3">
        <v>1</v>
      </c>
      <c r="L1409">
        <f t="shared" si="220"/>
        <v>5.9999999999999995E-4</v>
      </c>
      <c r="M1409">
        <v>78</v>
      </c>
      <c r="N1409" s="8">
        <f>M1409/L1409</f>
        <v>130000.00000000001</v>
      </c>
      <c r="O1409" s="14">
        <f t="shared" si="221"/>
        <v>377000.00000000006</v>
      </c>
      <c r="P1409" s="8">
        <v>8</v>
      </c>
      <c r="Q1409" s="8">
        <f t="shared" si="224"/>
        <v>16250.000000000002</v>
      </c>
      <c r="R1409" s="8">
        <f t="shared" si="225"/>
        <v>34666.666666666672</v>
      </c>
      <c r="S1409" s="8">
        <f t="shared" si="222"/>
        <v>50916.666666666672</v>
      </c>
      <c r="T1409" s="18">
        <f t="shared" si="228"/>
        <v>279.04429180483186</v>
      </c>
      <c r="U1409" s="20">
        <f t="shared" si="227"/>
        <v>13338.022842085675</v>
      </c>
      <c r="V1409" s="27" t="s">
        <v>2982</v>
      </c>
    </row>
    <row r="1410" spans="1:22" ht="15" customHeight="1" x14ac:dyDescent="0.25">
      <c r="A1410" t="s">
        <v>141</v>
      </c>
      <c r="B1410" t="s">
        <v>2681</v>
      </c>
      <c r="C1410" t="s">
        <v>2688</v>
      </c>
      <c r="D1410" t="s">
        <v>2689</v>
      </c>
      <c r="E1410" t="s">
        <v>2684</v>
      </c>
      <c r="F1410" s="5">
        <v>331.9</v>
      </c>
      <c r="G1410" t="s">
        <v>2690</v>
      </c>
      <c r="H1410" s="3">
        <v>1</v>
      </c>
      <c r="I1410" s="3">
        <v>5000</v>
      </c>
      <c r="J1410" s="3">
        <v>1</v>
      </c>
      <c r="K1410" s="3">
        <v>25</v>
      </c>
      <c r="L1410">
        <f t="shared" ref="L1410:L1473" si="229">J1410*I1410*H1410/1000000</f>
        <v>5.0000000000000001E-3</v>
      </c>
      <c r="M1410">
        <f>L1410*N1410</f>
        <v>5.3</v>
      </c>
      <c r="N1410" s="8">
        <v>1060</v>
      </c>
      <c r="O1410" s="14">
        <f t="shared" ref="O1410:O1473" si="230">N1410*F1410</f>
        <v>351814</v>
      </c>
      <c r="P1410" s="8">
        <v>40</v>
      </c>
      <c r="Q1410" s="8">
        <f t="shared" si="224"/>
        <v>26.5</v>
      </c>
      <c r="R1410" s="8">
        <f t="shared" si="225"/>
        <v>1413.3333333333335</v>
      </c>
      <c r="S1410" s="8">
        <f t="shared" ref="S1410:S1473" si="231">Q1410+R1410</f>
        <v>1439.8333333333335</v>
      </c>
      <c r="T1410" s="18">
        <f t="shared" si="228"/>
        <v>260.40235670298438</v>
      </c>
      <c r="U1410" s="20">
        <f t="shared" si="227"/>
        <v>13598.425198788658</v>
      </c>
      <c r="V1410" s="27" t="s">
        <v>2982</v>
      </c>
    </row>
    <row r="1411" spans="1:22" ht="15" customHeight="1" x14ac:dyDescent="0.25">
      <c r="A1411" t="s">
        <v>141</v>
      </c>
      <c r="B1411" t="s">
        <v>2681</v>
      </c>
      <c r="C1411" t="s">
        <v>2688</v>
      </c>
      <c r="D1411" t="s">
        <v>2689</v>
      </c>
      <c r="E1411" t="s">
        <v>2684</v>
      </c>
      <c r="F1411" s="5">
        <v>331.9</v>
      </c>
      <c r="G1411" t="s">
        <v>2690</v>
      </c>
      <c r="H1411" s="3">
        <v>1</v>
      </c>
      <c r="I1411" s="3">
        <v>5000</v>
      </c>
      <c r="J1411" s="3">
        <v>1</v>
      </c>
      <c r="K1411" s="3">
        <v>25</v>
      </c>
      <c r="L1411">
        <f t="shared" si="229"/>
        <v>5.0000000000000001E-3</v>
      </c>
      <c r="M1411">
        <f>L1411*N1411</f>
        <v>5.3</v>
      </c>
      <c r="N1411" s="8">
        <v>1060</v>
      </c>
      <c r="O1411" s="14">
        <f t="shared" si="230"/>
        <v>351814</v>
      </c>
      <c r="P1411" s="8">
        <v>40</v>
      </c>
      <c r="Q1411" s="8">
        <f t="shared" si="224"/>
        <v>26.5</v>
      </c>
      <c r="R1411" s="8">
        <f t="shared" si="225"/>
        <v>1413.3333333333335</v>
      </c>
      <c r="S1411" s="8">
        <f t="shared" si="231"/>
        <v>1439.8333333333335</v>
      </c>
      <c r="T1411" s="18">
        <f t="shared" si="228"/>
        <v>260.40235670298438</v>
      </c>
      <c r="U1411" s="20">
        <f t="shared" si="227"/>
        <v>13858.827555491642</v>
      </c>
      <c r="V1411" s="27" t="s">
        <v>2982</v>
      </c>
    </row>
    <row r="1412" spans="1:22" ht="15" customHeight="1" x14ac:dyDescent="0.25">
      <c r="A1412" t="s">
        <v>141</v>
      </c>
      <c r="B1412" t="s">
        <v>2681</v>
      </c>
      <c r="C1412" t="s">
        <v>2686</v>
      </c>
      <c r="D1412" t="s">
        <v>2687</v>
      </c>
      <c r="E1412" t="s">
        <v>2684</v>
      </c>
      <c r="F1412" s="5">
        <v>235.9</v>
      </c>
      <c r="G1412" t="s">
        <v>2685</v>
      </c>
      <c r="H1412" s="3">
        <v>150</v>
      </c>
      <c r="I1412" s="3">
        <v>1000</v>
      </c>
      <c r="J1412" s="3">
        <v>0.17</v>
      </c>
      <c r="K1412" s="3">
        <v>15</v>
      </c>
      <c r="L1412">
        <f t="shared" si="229"/>
        <v>2.5499999999999998E-2</v>
      </c>
      <c r="M1412">
        <f>L1412*N1412</f>
        <v>27.029999999999998</v>
      </c>
      <c r="N1412" s="8">
        <v>1060</v>
      </c>
      <c r="O1412" s="14">
        <f t="shared" si="230"/>
        <v>250054</v>
      </c>
      <c r="P1412" s="8">
        <v>40</v>
      </c>
      <c r="Q1412" s="8">
        <f t="shared" si="224"/>
        <v>26.5</v>
      </c>
      <c r="R1412" s="8">
        <f t="shared" si="225"/>
        <v>1413.3333333333335</v>
      </c>
      <c r="S1412" s="8">
        <f t="shared" si="231"/>
        <v>1439.8333333333335</v>
      </c>
      <c r="T1412" s="18">
        <f t="shared" si="228"/>
        <v>185.08260303173853</v>
      </c>
      <c r="U1412" s="20">
        <f t="shared" si="227"/>
        <v>14043.91015852338</v>
      </c>
      <c r="V1412" s="27" t="s">
        <v>2982</v>
      </c>
    </row>
    <row r="1413" spans="1:22" ht="15" customHeight="1" x14ac:dyDescent="0.25">
      <c r="A1413" t="s">
        <v>141</v>
      </c>
      <c r="B1413" t="s">
        <v>2681</v>
      </c>
      <c r="C1413" t="s">
        <v>2686</v>
      </c>
      <c r="D1413" t="s">
        <v>2687</v>
      </c>
      <c r="E1413" t="s">
        <v>2684</v>
      </c>
      <c r="F1413" s="5">
        <v>235.9</v>
      </c>
      <c r="G1413" t="s">
        <v>2685</v>
      </c>
      <c r="H1413" s="3">
        <v>150</v>
      </c>
      <c r="I1413" s="3">
        <v>1000</v>
      </c>
      <c r="J1413" s="3">
        <v>0.17</v>
      </c>
      <c r="K1413" s="3">
        <v>15</v>
      </c>
      <c r="L1413">
        <f t="shared" si="229"/>
        <v>2.5499999999999998E-2</v>
      </c>
      <c r="M1413">
        <f>L1413*N1413</f>
        <v>27.029999999999998</v>
      </c>
      <c r="N1413" s="8">
        <v>1060</v>
      </c>
      <c r="O1413" s="14">
        <f t="shared" si="230"/>
        <v>250054</v>
      </c>
      <c r="P1413" s="8">
        <v>40</v>
      </c>
      <c r="Q1413" s="8">
        <f t="shared" si="224"/>
        <v>26.5</v>
      </c>
      <c r="R1413" s="8">
        <f t="shared" si="225"/>
        <v>1413.3333333333335</v>
      </c>
      <c r="S1413" s="8">
        <f t="shared" si="231"/>
        <v>1439.8333333333335</v>
      </c>
      <c r="T1413" s="18">
        <f t="shared" si="228"/>
        <v>185.08260303173853</v>
      </c>
      <c r="U1413" s="20">
        <f t="shared" si="227"/>
        <v>14228.992761555119</v>
      </c>
      <c r="V1413" s="27" t="s">
        <v>2982</v>
      </c>
    </row>
    <row r="1414" spans="1:22" ht="15" customHeight="1" x14ac:dyDescent="0.25">
      <c r="A1414" t="s">
        <v>141</v>
      </c>
      <c r="B1414" t="s">
        <v>2660</v>
      </c>
      <c r="C1414" t="s">
        <v>2679</v>
      </c>
      <c r="D1414" t="s">
        <v>2680</v>
      </c>
      <c r="E1414" t="s">
        <v>234</v>
      </c>
      <c r="F1414" s="5">
        <v>154.80000000000001</v>
      </c>
      <c r="G1414" t="s">
        <v>2667</v>
      </c>
      <c r="H1414">
        <v>3.6</v>
      </c>
      <c r="I1414" s="3">
        <v>600</v>
      </c>
      <c r="J1414">
        <v>9.6</v>
      </c>
      <c r="K1414">
        <v>7.2</v>
      </c>
      <c r="L1414">
        <f t="shared" si="229"/>
        <v>2.0736000000000001E-2</v>
      </c>
      <c r="M1414">
        <f>L1414*N1414</f>
        <v>31.104000000000003</v>
      </c>
      <c r="N1414" s="8">
        <v>1500</v>
      </c>
      <c r="O1414" s="14">
        <f t="shared" si="230"/>
        <v>232200.00000000003</v>
      </c>
      <c r="P1414" s="8">
        <v>30</v>
      </c>
      <c r="Q1414" s="8">
        <f t="shared" si="224"/>
        <v>50</v>
      </c>
      <c r="R1414" s="8">
        <f t="shared" si="225"/>
        <v>1500</v>
      </c>
      <c r="S1414" s="8">
        <f t="shared" si="231"/>
        <v>1550</v>
      </c>
      <c r="T1414" s="18">
        <f t="shared" si="228"/>
        <v>171.86759829464711</v>
      </c>
      <c r="U1414" s="20">
        <f t="shared" si="227"/>
        <v>14400.860359849767</v>
      </c>
      <c r="V1414" s="27" t="s">
        <v>2982</v>
      </c>
    </row>
    <row r="1415" spans="1:22" ht="15" customHeight="1" x14ac:dyDescent="0.25">
      <c r="A1415" t="s">
        <v>141</v>
      </c>
      <c r="B1415" t="s">
        <v>22</v>
      </c>
      <c r="C1415" t="s">
        <v>36</v>
      </c>
      <c r="D1415" t="s">
        <v>37</v>
      </c>
      <c r="E1415" t="s">
        <v>24</v>
      </c>
      <c r="F1415" s="5">
        <v>17.899999999999999</v>
      </c>
      <c r="G1415" t="s">
        <v>27</v>
      </c>
      <c r="H1415" s="3">
        <v>30</v>
      </c>
      <c r="I1415" s="3">
        <v>20</v>
      </c>
      <c r="J1415" s="3">
        <v>12</v>
      </c>
      <c r="K1415" s="3">
        <v>20</v>
      </c>
      <c r="L1415">
        <f t="shared" si="229"/>
        <v>7.1999999999999998E-3</v>
      </c>
      <c r="M1415">
        <v>78</v>
      </c>
      <c r="N1415" s="8">
        <f>M1415/L1415</f>
        <v>10833.333333333334</v>
      </c>
      <c r="O1415" s="14">
        <f t="shared" si="230"/>
        <v>193916.66666666666</v>
      </c>
      <c r="P1415" s="8">
        <v>8</v>
      </c>
      <c r="Q1415" s="8">
        <f t="shared" si="224"/>
        <v>1354.1666666666667</v>
      </c>
      <c r="R1415" s="8">
        <f t="shared" si="225"/>
        <v>2888.8888888888891</v>
      </c>
      <c r="S1415" s="8">
        <f t="shared" si="231"/>
        <v>4243.0555555555557</v>
      </c>
      <c r="T1415" s="18">
        <f t="shared" si="228"/>
        <v>143.53140296857728</v>
      </c>
      <c r="U1415" s="20">
        <f t="shared" si="227"/>
        <v>14544.391762818344</v>
      </c>
      <c r="V1415" s="27" t="s">
        <v>2982</v>
      </c>
    </row>
    <row r="1416" spans="1:22" ht="15" customHeight="1" x14ac:dyDescent="0.25">
      <c r="A1416" t="s">
        <v>141</v>
      </c>
      <c r="B1416" t="s">
        <v>2660</v>
      </c>
      <c r="C1416" t="s">
        <v>2661</v>
      </c>
      <c r="D1416" t="s">
        <v>2662</v>
      </c>
      <c r="E1416" t="s">
        <v>234</v>
      </c>
      <c r="F1416" s="5">
        <v>118.49</v>
      </c>
      <c r="G1416" t="s">
        <v>231</v>
      </c>
      <c r="H1416" s="3">
        <v>150</v>
      </c>
      <c r="I1416" s="3">
        <v>302</v>
      </c>
      <c r="J1416" s="3">
        <v>0.23</v>
      </c>
      <c r="K1416" s="3">
        <v>17.28</v>
      </c>
      <c r="L1416">
        <f t="shared" si="229"/>
        <v>1.0419000000000001E-2</v>
      </c>
      <c r="M1416">
        <f>L1416*N1416</f>
        <v>15.628500000000003</v>
      </c>
      <c r="N1416" s="8">
        <v>1500</v>
      </c>
      <c r="O1416" s="14">
        <f t="shared" si="230"/>
        <v>177735</v>
      </c>
      <c r="P1416" s="8">
        <v>30</v>
      </c>
      <c r="Q1416" s="8">
        <f t="shared" si="224"/>
        <v>50</v>
      </c>
      <c r="R1416" s="8">
        <f t="shared" si="225"/>
        <v>1500</v>
      </c>
      <c r="S1416" s="8">
        <f t="shared" si="231"/>
        <v>1550</v>
      </c>
      <c r="T1416" s="18">
        <f t="shared" si="228"/>
        <v>131.55421009000474</v>
      </c>
      <c r="U1416" s="20">
        <f t="shared" si="227"/>
        <v>14675.94597290835</v>
      </c>
      <c r="V1416" s="27" t="s">
        <v>2982</v>
      </c>
    </row>
    <row r="1417" spans="1:22" ht="15" customHeight="1" x14ac:dyDescent="0.25">
      <c r="A1417" t="s">
        <v>141</v>
      </c>
      <c r="B1417" t="s">
        <v>2660</v>
      </c>
      <c r="C1417" t="s">
        <v>2661</v>
      </c>
      <c r="D1417" t="s">
        <v>2662</v>
      </c>
      <c r="E1417" t="s">
        <v>234</v>
      </c>
      <c r="F1417" s="5">
        <v>118.49</v>
      </c>
      <c r="G1417" t="s">
        <v>231</v>
      </c>
      <c r="H1417" s="3">
        <v>150</v>
      </c>
      <c r="I1417" s="3">
        <v>302</v>
      </c>
      <c r="J1417" s="3">
        <v>0.23</v>
      </c>
      <c r="K1417" s="3">
        <v>17.28</v>
      </c>
      <c r="L1417">
        <f t="shared" si="229"/>
        <v>1.0419000000000001E-2</v>
      </c>
      <c r="M1417">
        <f>L1417*N1417</f>
        <v>15.628500000000003</v>
      </c>
      <c r="N1417" s="8">
        <v>1500</v>
      </c>
      <c r="O1417" s="14">
        <f t="shared" si="230"/>
        <v>177735</v>
      </c>
      <c r="P1417" s="8">
        <v>30</v>
      </c>
      <c r="Q1417" s="8">
        <f t="shared" si="224"/>
        <v>50</v>
      </c>
      <c r="R1417" s="8">
        <f t="shared" si="225"/>
        <v>1500</v>
      </c>
      <c r="S1417" s="8">
        <f t="shared" si="231"/>
        <v>1550</v>
      </c>
      <c r="T1417" s="18">
        <f t="shared" si="228"/>
        <v>131.55421009000474</v>
      </c>
      <c r="U1417" s="20">
        <f t="shared" si="227"/>
        <v>14807.500182998356</v>
      </c>
      <c r="V1417" s="27" t="s">
        <v>2982</v>
      </c>
    </row>
    <row r="1418" spans="1:22" ht="15" customHeight="1" x14ac:dyDescent="0.25">
      <c r="A1418" t="s">
        <v>141</v>
      </c>
      <c r="B1418" t="s">
        <v>22</v>
      </c>
      <c r="C1418" t="s">
        <v>33</v>
      </c>
      <c r="D1418" t="s">
        <v>34</v>
      </c>
      <c r="E1418" t="s">
        <v>24</v>
      </c>
      <c r="F1418" s="5">
        <v>15.32</v>
      </c>
      <c r="G1418" t="s">
        <v>35</v>
      </c>
      <c r="H1418" s="3">
        <v>30</v>
      </c>
      <c r="I1418" s="3">
        <v>20</v>
      </c>
      <c r="J1418" s="3">
        <v>12</v>
      </c>
      <c r="K1418" s="3">
        <v>20</v>
      </c>
      <c r="L1418">
        <f t="shared" si="229"/>
        <v>7.1999999999999998E-3</v>
      </c>
      <c r="M1418">
        <v>78</v>
      </c>
      <c r="N1418" s="8">
        <f>M1418/L1418</f>
        <v>10833.333333333334</v>
      </c>
      <c r="O1418" s="14">
        <f t="shared" si="230"/>
        <v>165966.66666666669</v>
      </c>
      <c r="P1418" s="8">
        <v>8</v>
      </c>
      <c r="Q1418" s="8">
        <f t="shared" si="224"/>
        <v>1354.1666666666667</v>
      </c>
      <c r="R1418" s="8">
        <f t="shared" si="225"/>
        <v>2888.8888888888891</v>
      </c>
      <c r="S1418" s="8">
        <f t="shared" si="231"/>
        <v>4243.0555555555557</v>
      </c>
      <c r="T1418" s="18">
        <f t="shared" si="228"/>
        <v>122.84363650718461</v>
      </c>
      <c r="U1418" s="20">
        <f t="shared" si="227"/>
        <v>14930.343819505541</v>
      </c>
      <c r="V1418" s="27" t="s">
        <v>2982</v>
      </c>
    </row>
    <row r="1419" spans="1:22" ht="15" customHeight="1" x14ac:dyDescent="0.25">
      <c r="A1419" t="s">
        <v>141</v>
      </c>
      <c r="B1419" t="s">
        <v>2597</v>
      </c>
      <c r="C1419" t="s">
        <v>2633</v>
      </c>
      <c r="D1419" t="s">
        <v>2634</v>
      </c>
      <c r="E1419" t="s">
        <v>13</v>
      </c>
      <c r="F1419" s="5">
        <v>1519</v>
      </c>
      <c r="G1419" t="s">
        <v>2632</v>
      </c>
      <c r="H1419" s="3">
        <v>240</v>
      </c>
      <c r="I1419" s="3">
        <v>220</v>
      </c>
      <c r="J1419" s="3">
        <v>10</v>
      </c>
      <c r="K1419" s="3">
        <v>76</v>
      </c>
      <c r="L1419">
        <f t="shared" si="229"/>
        <v>0.52800000000000002</v>
      </c>
      <c r="M1419">
        <f>L1419*N1419</f>
        <v>42.24</v>
      </c>
      <c r="N1419" s="8">
        <v>80</v>
      </c>
      <c r="O1419" s="14">
        <f t="shared" si="230"/>
        <v>121520</v>
      </c>
      <c r="P1419" s="8">
        <v>20</v>
      </c>
      <c r="Q1419" s="8">
        <f t="shared" si="224"/>
        <v>4</v>
      </c>
      <c r="R1419" s="8">
        <f t="shared" si="225"/>
        <v>53.333333333333329</v>
      </c>
      <c r="S1419" s="8">
        <f t="shared" si="231"/>
        <v>57.333333333333329</v>
      </c>
      <c r="T1419" s="18">
        <f t="shared" si="228"/>
        <v>89.945523448602557</v>
      </c>
      <c r="U1419" s="20">
        <f t="shared" si="227"/>
        <v>15020.289342954144</v>
      </c>
      <c r="V1419" s="27" t="s">
        <v>2982</v>
      </c>
    </row>
    <row r="1420" spans="1:22" ht="15" customHeight="1" x14ac:dyDescent="0.25">
      <c r="A1420" t="s">
        <v>141</v>
      </c>
      <c r="B1420" t="s">
        <v>2597</v>
      </c>
      <c r="C1420" t="s">
        <v>2633</v>
      </c>
      <c r="D1420" t="s">
        <v>2634</v>
      </c>
      <c r="E1420" t="s">
        <v>13</v>
      </c>
      <c r="F1420" s="5">
        <v>1519</v>
      </c>
      <c r="G1420" t="s">
        <v>2632</v>
      </c>
      <c r="H1420" s="3">
        <v>240</v>
      </c>
      <c r="I1420" s="3">
        <v>220</v>
      </c>
      <c r="J1420" s="3">
        <v>10</v>
      </c>
      <c r="K1420" s="3">
        <v>76</v>
      </c>
      <c r="L1420">
        <f t="shared" si="229"/>
        <v>0.52800000000000002</v>
      </c>
      <c r="M1420">
        <f>L1420*N1420</f>
        <v>42.24</v>
      </c>
      <c r="N1420" s="8">
        <v>80</v>
      </c>
      <c r="O1420" s="14">
        <f t="shared" si="230"/>
        <v>121520</v>
      </c>
      <c r="P1420" s="8">
        <v>20</v>
      </c>
      <c r="Q1420" s="8">
        <f t="shared" si="224"/>
        <v>4</v>
      </c>
      <c r="R1420" s="8">
        <f t="shared" si="225"/>
        <v>53.333333333333329</v>
      </c>
      <c r="S1420" s="8">
        <f t="shared" si="231"/>
        <v>57.333333333333329</v>
      </c>
      <c r="T1420" s="18">
        <f t="shared" si="228"/>
        <v>89.945523448602557</v>
      </c>
      <c r="U1420" s="20">
        <f t="shared" si="227"/>
        <v>15110.234866402747</v>
      </c>
      <c r="V1420" s="27" t="s">
        <v>2982</v>
      </c>
    </row>
    <row r="1421" spans="1:22" ht="15" customHeight="1" x14ac:dyDescent="0.25">
      <c r="A1421" t="s">
        <v>141</v>
      </c>
      <c r="B1421" t="s">
        <v>22</v>
      </c>
      <c r="C1421" t="s">
        <v>28</v>
      </c>
      <c r="D1421" t="s">
        <v>29</v>
      </c>
      <c r="E1421" t="s">
        <v>24</v>
      </c>
      <c r="F1421" s="5">
        <v>54</v>
      </c>
      <c r="G1421" t="s">
        <v>30</v>
      </c>
      <c r="H1421" s="3">
        <v>60</v>
      </c>
      <c r="I1421" s="3">
        <v>42</v>
      </c>
      <c r="J1421" s="3">
        <v>16</v>
      </c>
      <c r="K1421" s="3">
        <v>50</v>
      </c>
      <c r="L1421">
        <f t="shared" si="229"/>
        <v>4.0320000000000002E-2</v>
      </c>
      <c r="M1421">
        <v>78</v>
      </c>
      <c r="N1421" s="8">
        <f>M1421/L1421</f>
        <v>1934.5238095238094</v>
      </c>
      <c r="O1421" s="14">
        <f t="shared" si="230"/>
        <v>104464.28571428571</v>
      </c>
      <c r="P1421" s="8">
        <v>8</v>
      </c>
      <c r="Q1421" s="8">
        <f t="shared" si="224"/>
        <v>241.81547619047618</v>
      </c>
      <c r="R1421" s="8">
        <f t="shared" si="225"/>
        <v>515.87301587301579</v>
      </c>
      <c r="S1421" s="8">
        <f t="shared" si="231"/>
        <v>757.68849206349194</v>
      </c>
      <c r="T1421" s="18">
        <f t="shared" si="228"/>
        <v>77.321386275969417</v>
      </c>
      <c r="U1421" s="20">
        <f t="shared" si="227"/>
        <v>15187.556252678716</v>
      </c>
      <c r="V1421" s="27" t="s">
        <v>2982</v>
      </c>
    </row>
    <row r="1422" spans="1:22" ht="15" customHeight="1" x14ac:dyDescent="0.25">
      <c r="A1422" t="s">
        <v>141</v>
      </c>
      <c r="B1422" t="s">
        <v>22</v>
      </c>
      <c r="C1422" t="s">
        <v>28</v>
      </c>
      <c r="D1422" t="s">
        <v>31</v>
      </c>
      <c r="E1422" t="s">
        <v>24</v>
      </c>
      <c r="F1422" s="5">
        <v>50</v>
      </c>
      <c r="G1422" t="s">
        <v>32</v>
      </c>
      <c r="H1422" s="3">
        <v>60</v>
      </c>
      <c r="I1422" s="3">
        <v>43</v>
      </c>
      <c r="J1422" s="3">
        <v>15</v>
      </c>
      <c r="K1422" s="3">
        <v>50</v>
      </c>
      <c r="L1422">
        <f t="shared" si="229"/>
        <v>3.8699999999999998E-2</v>
      </c>
      <c r="M1422">
        <v>78</v>
      </c>
      <c r="N1422" s="8">
        <f>M1422/L1422</f>
        <v>2015.5038759689924</v>
      </c>
      <c r="O1422" s="14">
        <f t="shared" si="230"/>
        <v>100775.19379844962</v>
      </c>
      <c r="P1422" s="8">
        <v>8</v>
      </c>
      <c r="Q1422" s="8">
        <f t="shared" si="224"/>
        <v>251.93798449612405</v>
      </c>
      <c r="R1422" s="8">
        <f t="shared" si="225"/>
        <v>537.46770025839794</v>
      </c>
      <c r="S1422" s="8">
        <f t="shared" si="231"/>
        <v>789.40568475452199</v>
      </c>
      <c r="T1422" s="18">
        <f t="shared" si="228"/>
        <v>74.590829137886089</v>
      </c>
      <c r="U1422" s="20">
        <f t="shared" si="227"/>
        <v>15262.147081816602</v>
      </c>
      <c r="V1422" s="27" t="s">
        <v>2982</v>
      </c>
    </row>
    <row r="1423" spans="1:22" ht="15" customHeight="1" x14ac:dyDescent="0.25">
      <c r="A1423" t="s">
        <v>141</v>
      </c>
      <c r="B1423" t="s">
        <v>2597</v>
      </c>
      <c r="C1423" t="s">
        <v>2635</v>
      </c>
      <c r="D1423" t="s">
        <v>2636</v>
      </c>
      <c r="E1423" t="s">
        <v>13</v>
      </c>
      <c r="F1423" s="5">
        <v>2489.9</v>
      </c>
      <c r="G1423" t="s">
        <v>2637</v>
      </c>
      <c r="H1423" s="3">
        <v>270</v>
      </c>
      <c r="I1423" s="3">
        <v>220</v>
      </c>
      <c r="J1423" s="3">
        <v>10</v>
      </c>
      <c r="K1423" s="3">
        <v>81</v>
      </c>
      <c r="L1423">
        <f t="shared" si="229"/>
        <v>0.59399999999999997</v>
      </c>
      <c r="M1423">
        <f>L1423*N1423</f>
        <v>23.759999999999998</v>
      </c>
      <c r="N1423" s="8">
        <v>40</v>
      </c>
      <c r="O1423" s="14">
        <f t="shared" si="230"/>
        <v>99596</v>
      </c>
      <c r="P1423" s="8">
        <v>20</v>
      </c>
      <c r="Q1423" s="8">
        <f t="shared" si="224"/>
        <v>2</v>
      </c>
      <c r="R1423" s="8">
        <f t="shared" si="225"/>
        <v>26.666666666666664</v>
      </c>
      <c r="S1423" s="8">
        <f t="shared" si="231"/>
        <v>28.666666666666664</v>
      </c>
      <c r="T1423" s="18">
        <f t="shared" si="228"/>
        <v>73.718024632875412</v>
      </c>
      <c r="U1423" s="20">
        <f t="shared" ref="U1423:U1454" si="232">U1422+T1423</f>
        <v>15335.865106449477</v>
      </c>
      <c r="V1423" s="27" t="s">
        <v>2982</v>
      </c>
    </row>
    <row r="1424" spans="1:22" ht="15" customHeight="1" x14ac:dyDescent="0.25">
      <c r="A1424" t="s">
        <v>141</v>
      </c>
      <c r="B1424" t="s">
        <v>2597</v>
      </c>
      <c r="C1424" t="s">
        <v>2635</v>
      </c>
      <c r="D1424" t="s">
        <v>2636</v>
      </c>
      <c r="E1424" t="s">
        <v>13</v>
      </c>
      <c r="F1424" s="5">
        <v>2489.9</v>
      </c>
      <c r="G1424" t="s">
        <v>2637</v>
      </c>
      <c r="H1424" s="3">
        <v>270</v>
      </c>
      <c r="I1424" s="3">
        <v>220</v>
      </c>
      <c r="J1424" s="3">
        <v>10</v>
      </c>
      <c r="K1424" s="3">
        <v>81</v>
      </c>
      <c r="L1424">
        <f t="shared" si="229"/>
        <v>0.59399999999999997</v>
      </c>
      <c r="M1424">
        <f>L1424*N1424</f>
        <v>23.759999999999998</v>
      </c>
      <c r="N1424" s="8">
        <v>40</v>
      </c>
      <c r="O1424" s="14">
        <f t="shared" si="230"/>
        <v>99596</v>
      </c>
      <c r="P1424" s="8">
        <v>20</v>
      </c>
      <c r="Q1424" s="8">
        <f t="shared" si="224"/>
        <v>2</v>
      </c>
      <c r="R1424" s="8">
        <f t="shared" si="225"/>
        <v>26.666666666666664</v>
      </c>
      <c r="S1424" s="8">
        <f t="shared" si="231"/>
        <v>28.666666666666664</v>
      </c>
      <c r="T1424" s="18">
        <f t="shared" si="228"/>
        <v>73.718024632875412</v>
      </c>
      <c r="U1424" s="20">
        <f t="shared" si="232"/>
        <v>15409.583131082352</v>
      </c>
      <c r="V1424" s="27" t="s">
        <v>2982</v>
      </c>
    </row>
    <row r="1425" spans="1:22" ht="15" customHeight="1" x14ac:dyDescent="0.25">
      <c r="A1425" t="s">
        <v>141</v>
      </c>
      <c r="B1425" t="s">
        <v>22</v>
      </c>
      <c r="C1425" t="s">
        <v>42</v>
      </c>
      <c r="D1425" t="s">
        <v>2574</v>
      </c>
      <c r="E1425" t="s">
        <v>24</v>
      </c>
      <c r="F1425" s="5">
        <v>9.7899999999999991</v>
      </c>
      <c r="G1425" t="s">
        <v>43</v>
      </c>
      <c r="H1425" s="3">
        <v>30</v>
      </c>
      <c r="I1425" s="3">
        <v>20</v>
      </c>
      <c r="J1425" s="3">
        <v>13</v>
      </c>
      <c r="K1425" s="3">
        <v>20</v>
      </c>
      <c r="L1425">
        <f t="shared" si="229"/>
        <v>7.7999999999999996E-3</v>
      </c>
      <c r="M1425">
        <v>78</v>
      </c>
      <c r="N1425" s="8">
        <f>M1425/L1425</f>
        <v>10000</v>
      </c>
      <c r="O1425" s="14">
        <f t="shared" si="230"/>
        <v>97899.999999999985</v>
      </c>
      <c r="P1425" s="8">
        <v>8</v>
      </c>
      <c r="Q1425" s="8">
        <f t="shared" si="224"/>
        <v>1250</v>
      </c>
      <c r="R1425" s="8">
        <f t="shared" si="225"/>
        <v>2666.6666666666665</v>
      </c>
      <c r="S1425" s="8">
        <f t="shared" si="231"/>
        <v>3916.6666666666665</v>
      </c>
      <c r="T1425" s="18">
        <f t="shared" si="228"/>
        <v>72.462695405021307</v>
      </c>
      <c r="U1425" s="20">
        <f t="shared" si="232"/>
        <v>15482.045826487374</v>
      </c>
      <c r="V1425" s="27" t="s">
        <v>2982</v>
      </c>
    </row>
    <row r="1426" spans="1:22" ht="15" customHeight="1" x14ac:dyDescent="0.25">
      <c r="A1426" t="s">
        <v>141</v>
      </c>
      <c r="B1426" t="s">
        <v>12</v>
      </c>
      <c r="C1426" t="s">
        <v>16</v>
      </c>
      <c r="D1426" t="s">
        <v>2653</v>
      </c>
      <c r="E1426" t="s">
        <v>13</v>
      </c>
      <c r="F1426" s="5">
        <v>32.380000000000003</v>
      </c>
      <c r="G1426" t="s">
        <v>2012</v>
      </c>
      <c r="H1426" s="3">
        <v>600</v>
      </c>
      <c r="I1426" s="3">
        <v>700</v>
      </c>
      <c r="J1426" s="3">
        <v>2000</v>
      </c>
      <c r="K1426" s="3">
        <v>10</v>
      </c>
      <c r="L1426">
        <f t="shared" si="229"/>
        <v>840</v>
      </c>
      <c r="M1426" s="3">
        <f t="shared" ref="M1426:M1434" si="233">L1426*N1426</f>
        <v>2520000</v>
      </c>
      <c r="N1426" s="8">
        <v>3000</v>
      </c>
      <c r="O1426" s="14">
        <f t="shared" si="230"/>
        <v>97140.000000000015</v>
      </c>
      <c r="P1426" s="8">
        <v>40</v>
      </c>
      <c r="Q1426" s="8">
        <f t="shared" si="224"/>
        <v>75</v>
      </c>
      <c r="R1426" s="8">
        <f t="shared" si="225"/>
        <v>4000</v>
      </c>
      <c r="S1426" s="8">
        <f t="shared" si="231"/>
        <v>4075</v>
      </c>
      <c r="T1426" s="18">
        <f t="shared" si="228"/>
        <v>71.900165798199922</v>
      </c>
      <c r="U1426" s="20">
        <f t="shared" si="232"/>
        <v>15553.945992285575</v>
      </c>
      <c r="V1426" s="27" t="s">
        <v>2982</v>
      </c>
    </row>
    <row r="1427" spans="1:22" ht="15" customHeight="1" x14ac:dyDescent="0.25">
      <c r="A1427" t="s">
        <v>141</v>
      </c>
      <c r="B1427" t="s">
        <v>2597</v>
      </c>
      <c r="C1427" t="s">
        <v>2611</v>
      </c>
      <c r="D1427" t="s">
        <v>2612</v>
      </c>
      <c r="E1427" t="s">
        <v>13</v>
      </c>
      <c r="F1427" s="5">
        <v>2379.9</v>
      </c>
      <c r="G1427" t="s">
        <v>2613</v>
      </c>
      <c r="H1427" s="3">
        <v>216</v>
      </c>
      <c r="I1427" s="3">
        <v>200</v>
      </c>
      <c r="J1427" s="3">
        <v>13.5</v>
      </c>
      <c r="K1427" s="3">
        <v>83</v>
      </c>
      <c r="L1427">
        <f t="shared" si="229"/>
        <v>0.58320000000000005</v>
      </c>
      <c r="M1427">
        <f t="shared" si="233"/>
        <v>23.328000000000003</v>
      </c>
      <c r="N1427" s="8">
        <v>40</v>
      </c>
      <c r="O1427" s="14">
        <f t="shared" si="230"/>
        <v>95196</v>
      </c>
      <c r="P1427" s="8">
        <v>20</v>
      </c>
      <c r="Q1427" s="8">
        <f t="shared" si="224"/>
        <v>2</v>
      </c>
      <c r="R1427" s="8">
        <f t="shared" si="225"/>
        <v>26.666666666666664</v>
      </c>
      <c r="S1427" s="8">
        <f t="shared" si="231"/>
        <v>28.666666666666664</v>
      </c>
      <c r="T1427" s="18">
        <f t="shared" si="228"/>
        <v>70.46127427759356</v>
      </c>
      <c r="U1427" s="20">
        <f t="shared" si="232"/>
        <v>15624.407266563168</v>
      </c>
      <c r="V1427" s="27" t="s">
        <v>2982</v>
      </c>
    </row>
    <row r="1428" spans="1:22" ht="15" customHeight="1" x14ac:dyDescent="0.25">
      <c r="A1428" t="s">
        <v>141</v>
      </c>
      <c r="B1428" t="s">
        <v>2597</v>
      </c>
      <c r="C1428" t="s">
        <v>2611</v>
      </c>
      <c r="D1428" t="s">
        <v>2612</v>
      </c>
      <c r="E1428" t="s">
        <v>13</v>
      </c>
      <c r="F1428" s="5">
        <v>2379.9</v>
      </c>
      <c r="G1428" t="s">
        <v>2613</v>
      </c>
      <c r="H1428" s="3">
        <v>216</v>
      </c>
      <c r="I1428" s="3">
        <v>200</v>
      </c>
      <c r="J1428" s="3">
        <v>13.5</v>
      </c>
      <c r="K1428" s="3">
        <v>83</v>
      </c>
      <c r="L1428">
        <f t="shared" si="229"/>
        <v>0.58320000000000005</v>
      </c>
      <c r="M1428">
        <f t="shared" si="233"/>
        <v>23.328000000000003</v>
      </c>
      <c r="N1428" s="8">
        <v>40</v>
      </c>
      <c r="O1428" s="14">
        <f t="shared" si="230"/>
        <v>95196</v>
      </c>
      <c r="P1428" s="8">
        <v>20</v>
      </c>
      <c r="Q1428" s="8">
        <f t="shared" si="224"/>
        <v>2</v>
      </c>
      <c r="R1428" s="8">
        <f t="shared" si="225"/>
        <v>26.666666666666664</v>
      </c>
      <c r="S1428" s="8">
        <f t="shared" si="231"/>
        <v>28.666666666666664</v>
      </c>
      <c r="T1428" s="18">
        <f t="shared" si="228"/>
        <v>70.46127427759356</v>
      </c>
      <c r="U1428" s="20">
        <f t="shared" si="232"/>
        <v>15694.868540840762</v>
      </c>
      <c r="V1428" s="27" t="s">
        <v>2982</v>
      </c>
    </row>
    <row r="1429" spans="1:22" ht="15" customHeight="1" x14ac:dyDescent="0.25">
      <c r="A1429" t="s">
        <v>141</v>
      </c>
      <c r="B1429" t="s">
        <v>2597</v>
      </c>
      <c r="C1429" t="s">
        <v>2630</v>
      </c>
      <c r="D1429" t="s">
        <v>2631</v>
      </c>
      <c r="E1429" t="s">
        <v>13</v>
      </c>
      <c r="F1429" s="5">
        <v>1189.9000000000001</v>
      </c>
      <c r="G1429" t="s">
        <v>2632</v>
      </c>
      <c r="H1429" s="3">
        <v>240</v>
      </c>
      <c r="I1429" s="3">
        <v>220</v>
      </c>
      <c r="J1429" s="3">
        <v>6</v>
      </c>
      <c r="K1429" s="3">
        <v>73</v>
      </c>
      <c r="L1429">
        <f t="shared" si="229"/>
        <v>0.31680000000000003</v>
      </c>
      <c r="M1429">
        <f t="shared" si="233"/>
        <v>25.344000000000001</v>
      </c>
      <c r="N1429" s="8">
        <v>80</v>
      </c>
      <c r="O1429" s="14">
        <f t="shared" si="230"/>
        <v>95192</v>
      </c>
      <c r="P1429" s="8">
        <v>20</v>
      </c>
      <c r="Q1429" s="8">
        <f t="shared" si="224"/>
        <v>4</v>
      </c>
      <c r="R1429" s="8">
        <f t="shared" si="225"/>
        <v>53.333333333333329</v>
      </c>
      <c r="S1429" s="8">
        <f t="shared" si="231"/>
        <v>57.333333333333329</v>
      </c>
      <c r="T1429" s="18">
        <f t="shared" si="228"/>
        <v>70.458313595452395</v>
      </c>
      <c r="U1429" s="20">
        <f t="shared" si="232"/>
        <v>15765.326854436214</v>
      </c>
      <c r="V1429" s="29" t="s">
        <v>2983</v>
      </c>
    </row>
    <row r="1430" spans="1:22" ht="15" customHeight="1" x14ac:dyDescent="0.25">
      <c r="A1430" t="s">
        <v>141</v>
      </c>
      <c r="B1430" t="s">
        <v>2597</v>
      </c>
      <c r="C1430" t="s">
        <v>2630</v>
      </c>
      <c r="D1430" t="s">
        <v>2631</v>
      </c>
      <c r="E1430" t="s">
        <v>13</v>
      </c>
      <c r="F1430" s="5">
        <v>1189.9000000000001</v>
      </c>
      <c r="G1430" t="s">
        <v>2632</v>
      </c>
      <c r="H1430" s="3">
        <v>240</v>
      </c>
      <c r="I1430" s="3">
        <v>220</v>
      </c>
      <c r="J1430" s="3">
        <v>6</v>
      </c>
      <c r="K1430" s="3">
        <v>73</v>
      </c>
      <c r="L1430">
        <f t="shared" si="229"/>
        <v>0.31680000000000003</v>
      </c>
      <c r="M1430">
        <f t="shared" si="233"/>
        <v>25.344000000000001</v>
      </c>
      <c r="N1430" s="8">
        <v>80</v>
      </c>
      <c r="O1430" s="14">
        <f t="shared" si="230"/>
        <v>95192</v>
      </c>
      <c r="P1430" s="8">
        <v>20</v>
      </c>
      <c r="Q1430" s="8">
        <f t="shared" si="224"/>
        <v>4</v>
      </c>
      <c r="R1430" s="8">
        <f t="shared" si="225"/>
        <v>53.333333333333329</v>
      </c>
      <c r="S1430" s="8">
        <f t="shared" si="231"/>
        <v>57.333333333333329</v>
      </c>
      <c r="T1430" s="18">
        <f t="shared" si="228"/>
        <v>70.458313595452395</v>
      </c>
      <c r="U1430" s="20">
        <f t="shared" si="232"/>
        <v>15835.785168031667</v>
      </c>
      <c r="V1430" s="29" t="s">
        <v>2983</v>
      </c>
    </row>
    <row r="1431" spans="1:22" ht="15" customHeight="1" x14ac:dyDescent="0.25">
      <c r="A1431" t="s">
        <v>141</v>
      </c>
      <c r="B1431" t="s">
        <v>2660</v>
      </c>
      <c r="C1431" t="s">
        <v>2663</v>
      </c>
      <c r="D1431" t="s">
        <v>2664</v>
      </c>
      <c r="E1431" t="s">
        <v>234</v>
      </c>
      <c r="F1431" s="5">
        <v>63.3</v>
      </c>
      <c r="G1431" t="s">
        <v>231</v>
      </c>
      <c r="H1431" s="3">
        <v>150</v>
      </c>
      <c r="I1431" s="3">
        <v>302</v>
      </c>
      <c r="J1431" s="3">
        <v>0.23</v>
      </c>
      <c r="K1431" s="3">
        <v>17.28</v>
      </c>
      <c r="L1431">
        <f t="shared" si="229"/>
        <v>1.0419000000000001E-2</v>
      </c>
      <c r="M1431">
        <f t="shared" si="233"/>
        <v>15.628500000000003</v>
      </c>
      <c r="N1431" s="8">
        <v>1500</v>
      </c>
      <c r="O1431" s="14">
        <f t="shared" si="230"/>
        <v>94950</v>
      </c>
      <c r="P1431" s="8">
        <v>30</v>
      </c>
      <c r="Q1431" s="8">
        <f t="shared" si="224"/>
        <v>50</v>
      </c>
      <c r="R1431" s="8">
        <f t="shared" si="225"/>
        <v>1500</v>
      </c>
      <c r="S1431" s="8">
        <f t="shared" si="231"/>
        <v>1550</v>
      </c>
      <c r="T1431" s="18">
        <f t="shared" si="228"/>
        <v>70.279192325911893</v>
      </c>
      <c r="U1431" s="20">
        <f t="shared" si="232"/>
        <v>15906.064360357579</v>
      </c>
      <c r="V1431" s="29" t="s">
        <v>2983</v>
      </c>
    </row>
    <row r="1432" spans="1:22" ht="15" customHeight="1" x14ac:dyDescent="0.25">
      <c r="A1432" t="s">
        <v>141</v>
      </c>
      <c r="B1432" t="s">
        <v>2660</v>
      </c>
      <c r="C1432" t="s">
        <v>2663</v>
      </c>
      <c r="D1432" t="s">
        <v>2664</v>
      </c>
      <c r="E1432" t="s">
        <v>234</v>
      </c>
      <c r="F1432" s="5">
        <v>63.3</v>
      </c>
      <c r="G1432" t="s">
        <v>231</v>
      </c>
      <c r="H1432" s="3">
        <v>150</v>
      </c>
      <c r="I1432" s="3">
        <v>302</v>
      </c>
      <c r="J1432" s="3">
        <v>0.23</v>
      </c>
      <c r="K1432" s="3">
        <v>17.28</v>
      </c>
      <c r="L1432">
        <f t="shared" si="229"/>
        <v>1.0419000000000001E-2</v>
      </c>
      <c r="M1432">
        <f t="shared" si="233"/>
        <v>15.628500000000003</v>
      </c>
      <c r="N1432" s="8">
        <v>1500</v>
      </c>
      <c r="O1432" s="14">
        <f t="shared" si="230"/>
        <v>94950</v>
      </c>
      <c r="P1432" s="8">
        <v>30</v>
      </c>
      <c r="Q1432" s="8">
        <f t="shared" si="224"/>
        <v>50</v>
      </c>
      <c r="R1432" s="8">
        <f t="shared" si="225"/>
        <v>1500</v>
      </c>
      <c r="S1432" s="8">
        <f t="shared" si="231"/>
        <v>1550</v>
      </c>
      <c r="T1432" s="18">
        <f t="shared" si="228"/>
        <v>70.279192325911893</v>
      </c>
      <c r="U1432" s="20">
        <f t="shared" si="232"/>
        <v>15976.343552683491</v>
      </c>
      <c r="V1432" s="29" t="s">
        <v>2983</v>
      </c>
    </row>
    <row r="1433" spans="1:22" ht="15" customHeight="1" x14ac:dyDescent="0.25">
      <c r="A1433" t="s">
        <v>141</v>
      </c>
      <c r="B1433" t="s">
        <v>45</v>
      </c>
      <c r="C1433" t="s">
        <v>101</v>
      </c>
      <c r="D1433" t="s">
        <v>102</v>
      </c>
      <c r="E1433" t="s">
        <v>48</v>
      </c>
      <c r="F1433" s="5">
        <v>23</v>
      </c>
      <c r="G1433" t="s">
        <v>49</v>
      </c>
      <c r="H1433" s="3">
        <v>2.6</v>
      </c>
      <c r="I1433" s="3">
        <v>40.5</v>
      </c>
      <c r="J1433" s="3">
        <v>25</v>
      </c>
      <c r="K1433" s="3">
        <v>3</v>
      </c>
      <c r="L1433">
        <f t="shared" si="229"/>
        <v>2.6324999999999999E-3</v>
      </c>
      <c r="M1433">
        <f t="shared" si="233"/>
        <v>10.4247</v>
      </c>
      <c r="N1433" s="8">
        <v>3960</v>
      </c>
      <c r="O1433" s="14">
        <f t="shared" si="230"/>
        <v>91080</v>
      </c>
      <c r="P1433" s="8">
        <v>15</v>
      </c>
      <c r="Q1433" s="8">
        <f t="shared" si="224"/>
        <v>264</v>
      </c>
      <c r="R1433" s="8">
        <f t="shared" si="225"/>
        <v>1980</v>
      </c>
      <c r="S1433" s="8">
        <f t="shared" si="231"/>
        <v>2244</v>
      </c>
      <c r="T1433" s="18">
        <f t="shared" si="228"/>
        <v>67.414732354334447</v>
      </c>
      <c r="U1433" s="20">
        <f t="shared" si="232"/>
        <v>16043.758285037826</v>
      </c>
      <c r="V1433" s="29" t="s">
        <v>2983</v>
      </c>
    </row>
    <row r="1434" spans="1:22" ht="15" customHeight="1" x14ac:dyDescent="0.25">
      <c r="A1434" t="s">
        <v>141</v>
      </c>
      <c r="B1434" t="s">
        <v>2660</v>
      </c>
      <c r="C1434" t="s">
        <v>2679</v>
      </c>
      <c r="D1434" t="s">
        <v>2680</v>
      </c>
      <c r="E1434" t="s">
        <v>234</v>
      </c>
      <c r="F1434" s="5">
        <v>154.80000000000001</v>
      </c>
      <c r="G1434" t="s">
        <v>2667</v>
      </c>
      <c r="H1434">
        <v>3.6</v>
      </c>
      <c r="I1434" s="3">
        <v>600</v>
      </c>
      <c r="J1434">
        <v>9.6</v>
      </c>
      <c r="K1434">
        <v>7.2</v>
      </c>
      <c r="L1434">
        <f t="shared" si="229"/>
        <v>2.0736000000000001E-2</v>
      </c>
      <c r="M1434">
        <f t="shared" si="233"/>
        <v>10.368</v>
      </c>
      <c r="N1434" s="8">
        <v>500</v>
      </c>
      <c r="O1434" s="14">
        <f t="shared" si="230"/>
        <v>77400</v>
      </c>
      <c r="P1434" s="8">
        <v>30</v>
      </c>
      <c r="Q1434" s="8">
        <f t="shared" si="224"/>
        <v>16.666666666666668</v>
      </c>
      <c r="R1434" s="8">
        <f t="shared" si="225"/>
        <v>500.00000000000006</v>
      </c>
      <c r="S1434" s="8">
        <f t="shared" si="231"/>
        <v>516.66666666666674</v>
      </c>
      <c r="T1434" s="18">
        <f t="shared" si="228"/>
        <v>57.289199431549029</v>
      </c>
      <c r="U1434" s="20">
        <f t="shared" si="232"/>
        <v>16101.047484469374</v>
      </c>
      <c r="V1434" s="29" t="s">
        <v>2983</v>
      </c>
    </row>
    <row r="1435" spans="1:22" ht="15" customHeight="1" x14ac:dyDescent="0.25">
      <c r="A1435" t="s">
        <v>141</v>
      </c>
      <c r="B1435" t="s">
        <v>22</v>
      </c>
      <c r="C1435" t="s">
        <v>23</v>
      </c>
      <c r="D1435" t="s">
        <v>2572</v>
      </c>
      <c r="E1435" t="s">
        <v>24</v>
      </c>
      <c r="F1435" s="5">
        <v>8.69</v>
      </c>
      <c r="G1435" t="s">
        <v>25</v>
      </c>
      <c r="H1435" s="3">
        <v>10</v>
      </c>
      <c r="I1435" s="3">
        <v>46</v>
      </c>
      <c r="J1435" s="3">
        <v>25</v>
      </c>
      <c r="K1435" s="3">
        <v>20</v>
      </c>
      <c r="L1435">
        <f t="shared" si="229"/>
        <v>1.15E-2</v>
      </c>
      <c r="M1435">
        <v>78</v>
      </c>
      <c r="N1435" s="8">
        <f>M1435/L1435</f>
        <v>6782.608695652174</v>
      </c>
      <c r="O1435" s="14">
        <f t="shared" si="230"/>
        <v>58940.869565217392</v>
      </c>
      <c r="P1435" s="8">
        <v>8</v>
      </c>
      <c r="Q1435" s="8">
        <f t="shared" si="224"/>
        <v>847.82608695652175</v>
      </c>
      <c r="R1435" s="8">
        <f t="shared" si="225"/>
        <v>1808.695652173913</v>
      </c>
      <c r="S1435" s="8">
        <f t="shared" si="231"/>
        <v>2656.521739130435</v>
      </c>
      <c r="T1435" s="18">
        <f t="shared" si="228"/>
        <v>43.626294976623484</v>
      </c>
      <c r="U1435" s="20">
        <f t="shared" si="232"/>
        <v>16144.673779445999</v>
      </c>
      <c r="V1435" s="29" t="s">
        <v>2983</v>
      </c>
    </row>
    <row r="1436" spans="1:22" ht="15" customHeight="1" x14ac:dyDescent="0.25">
      <c r="A1436" t="s">
        <v>141</v>
      </c>
      <c r="B1436" t="s">
        <v>2597</v>
      </c>
      <c r="C1436" t="s">
        <v>2626</v>
      </c>
      <c r="D1436" t="s">
        <v>2627</v>
      </c>
      <c r="E1436" t="s">
        <v>13</v>
      </c>
      <c r="F1436" s="5">
        <v>694.9</v>
      </c>
      <c r="G1436" t="s">
        <v>2610</v>
      </c>
      <c r="H1436" s="3">
        <v>240</v>
      </c>
      <c r="I1436" s="3">
        <v>210</v>
      </c>
      <c r="J1436" s="3">
        <v>5</v>
      </c>
      <c r="K1436" s="3">
        <v>39.799999999999997</v>
      </c>
      <c r="L1436">
        <f t="shared" si="229"/>
        <v>0.252</v>
      </c>
      <c r="M1436">
        <f>L1436*N1436</f>
        <v>20.16</v>
      </c>
      <c r="N1436" s="8">
        <v>80</v>
      </c>
      <c r="O1436" s="14">
        <f t="shared" si="230"/>
        <v>55592</v>
      </c>
      <c r="P1436" s="8">
        <v>20</v>
      </c>
      <c r="Q1436" s="8">
        <f t="shared" si="224"/>
        <v>4</v>
      </c>
      <c r="R1436" s="8">
        <f t="shared" si="225"/>
        <v>53.333333333333329</v>
      </c>
      <c r="S1436" s="8">
        <f t="shared" si="231"/>
        <v>57.333333333333329</v>
      </c>
      <c r="T1436" s="18">
        <f t="shared" si="228"/>
        <v>41.147560397915683</v>
      </c>
      <c r="U1436" s="20">
        <f t="shared" si="232"/>
        <v>16185.821339843915</v>
      </c>
      <c r="V1436" s="29" t="s">
        <v>2983</v>
      </c>
    </row>
    <row r="1437" spans="1:22" ht="15" customHeight="1" x14ac:dyDescent="0.25">
      <c r="A1437" t="s">
        <v>141</v>
      </c>
      <c r="B1437" t="s">
        <v>2597</v>
      </c>
      <c r="C1437" t="s">
        <v>2628</v>
      </c>
      <c r="D1437" t="s">
        <v>2629</v>
      </c>
      <c r="E1437" t="s">
        <v>13</v>
      </c>
      <c r="F1437" s="5">
        <v>694.9</v>
      </c>
      <c r="G1437" t="s">
        <v>2610</v>
      </c>
      <c r="H1437" s="3">
        <v>240</v>
      </c>
      <c r="I1437" s="3">
        <v>210</v>
      </c>
      <c r="J1437" s="3">
        <v>5</v>
      </c>
      <c r="K1437" s="3">
        <v>39.799999999999997</v>
      </c>
      <c r="L1437">
        <f t="shared" si="229"/>
        <v>0.252</v>
      </c>
      <c r="M1437">
        <f>L1437*N1437</f>
        <v>20.16</v>
      </c>
      <c r="N1437" s="8">
        <v>80</v>
      </c>
      <c r="O1437" s="14">
        <f t="shared" si="230"/>
        <v>55592</v>
      </c>
      <c r="P1437" s="8">
        <v>20</v>
      </c>
      <c r="Q1437" s="8">
        <f t="shared" si="224"/>
        <v>4</v>
      </c>
      <c r="R1437" s="8">
        <f t="shared" si="225"/>
        <v>53.333333333333329</v>
      </c>
      <c r="S1437" s="8">
        <f t="shared" si="231"/>
        <v>57.333333333333329</v>
      </c>
      <c r="T1437" s="18">
        <f t="shared" si="228"/>
        <v>41.147560397915683</v>
      </c>
      <c r="U1437" s="20">
        <f t="shared" si="232"/>
        <v>16226.968900241831</v>
      </c>
      <c r="V1437" s="29" t="s">
        <v>2983</v>
      </c>
    </row>
    <row r="1438" spans="1:22" ht="15" customHeight="1" x14ac:dyDescent="0.25">
      <c r="A1438" t="s">
        <v>141</v>
      </c>
      <c r="B1438" t="s">
        <v>2597</v>
      </c>
      <c r="C1438" t="s">
        <v>2626</v>
      </c>
      <c r="D1438" t="s">
        <v>2627</v>
      </c>
      <c r="E1438" t="s">
        <v>13</v>
      </c>
      <c r="F1438" s="5">
        <v>694.9</v>
      </c>
      <c r="G1438" t="s">
        <v>2610</v>
      </c>
      <c r="H1438" s="3">
        <v>240</v>
      </c>
      <c r="I1438" s="3">
        <v>210</v>
      </c>
      <c r="J1438" s="3">
        <v>5</v>
      </c>
      <c r="K1438" s="3">
        <v>39.799999999999997</v>
      </c>
      <c r="L1438">
        <f t="shared" si="229"/>
        <v>0.252</v>
      </c>
      <c r="M1438">
        <f>L1438*N1438</f>
        <v>20.16</v>
      </c>
      <c r="N1438" s="8">
        <v>80</v>
      </c>
      <c r="O1438" s="14">
        <f t="shared" si="230"/>
        <v>55592</v>
      </c>
      <c r="P1438" s="8">
        <v>20</v>
      </c>
      <c r="Q1438" s="8">
        <f t="shared" si="224"/>
        <v>4</v>
      </c>
      <c r="R1438" s="8">
        <f t="shared" si="225"/>
        <v>53.333333333333329</v>
      </c>
      <c r="S1438" s="8">
        <f t="shared" si="231"/>
        <v>57.333333333333329</v>
      </c>
      <c r="T1438" s="18">
        <f t="shared" si="228"/>
        <v>41.147560397915683</v>
      </c>
      <c r="U1438" s="20">
        <f t="shared" si="232"/>
        <v>16268.116460639747</v>
      </c>
      <c r="V1438" s="29" t="s">
        <v>2983</v>
      </c>
    </row>
    <row r="1439" spans="1:22" ht="15" customHeight="1" x14ac:dyDescent="0.25">
      <c r="A1439" t="s">
        <v>141</v>
      </c>
      <c r="B1439" t="s">
        <v>2597</v>
      </c>
      <c r="C1439" t="s">
        <v>2628</v>
      </c>
      <c r="D1439" t="s">
        <v>2629</v>
      </c>
      <c r="E1439" t="s">
        <v>13</v>
      </c>
      <c r="F1439" s="5">
        <v>694.9</v>
      </c>
      <c r="G1439" t="s">
        <v>2610</v>
      </c>
      <c r="H1439" s="3">
        <v>240</v>
      </c>
      <c r="I1439" s="3">
        <v>210</v>
      </c>
      <c r="J1439" s="3">
        <v>5</v>
      </c>
      <c r="K1439" s="3">
        <v>39.799999999999997</v>
      </c>
      <c r="L1439">
        <f t="shared" si="229"/>
        <v>0.252</v>
      </c>
      <c r="M1439">
        <f>L1439*N1439</f>
        <v>20.16</v>
      </c>
      <c r="N1439" s="8">
        <v>80</v>
      </c>
      <c r="O1439" s="14">
        <f t="shared" si="230"/>
        <v>55592</v>
      </c>
      <c r="P1439" s="8">
        <v>20</v>
      </c>
      <c r="Q1439" s="8">
        <f t="shared" ref="Q1439:Q1502" si="234">N1439/P1439</f>
        <v>4</v>
      </c>
      <c r="R1439" s="8">
        <f t="shared" ref="R1439:R1502" si="235">(N1439/30)*P1439</f>
        <v>53.333333333333329</v>
      </c>
      <c r="S1439" s="8">
        <f t="shared" si="231"/>
        <v>57.333333333333329</v>
      </c>
      <c r="T1439" s="18">
        <f t="shared" si="228"/>
        <v>41.147560397915683</v>
      </c>
      <c r="U1439" s="20">
        <f t="shared" si="232"/>
        <v>16309.264021037663</v>
      </c>
      <c r="V1439" s="29" t="s">
        <v>2983</v>
      </c>
    </row>
    <row r="1440" spans="1:22" ht="15" customHeight="1" x14ac:dyDescent="0.25">
      <c r="A1440" t="s">
        <v>141</v>
      </c>
      <c r="B1440" t="s">
        <v>22</v>
      </c>
      <c r="C1440" t="s">
        <v>26</v>
      </c>
      <c r="D1440" t="s">
        <v>2573</v>
      </c>
      <c r="E1440" t="s">
        <v>24</v>
      </c>
      <c r="F1440" s="5">
        <v>7.99</v>
      </c>
      <c r="G1440" t="s">
        <v>27</v>
      </c>
      <c r="H1440" s="3">
        <v>10</v>
      </c>
      <c r="I1440" s="3">
        <v>46</v>
      </c>
      <c r="J1440" s="3">
        <v>25</v>
      </c>
      <c r="K1440" s="3">
        <v>20</v>
      </c>
      <c r="L1440">
        <f t="shared" si="229"/>
        <v>1.15E-2</v>
      </c>
      <c r="M1440">
        <v>78</v>
      </c>
      <c r="N1440" s="8">
        <f>M1440/L1440</f>
        <v>6782.608695652174</v>
      </c>
      <c r="O1440" s="14">
        <f t="shared" si="230"/>
        <v>54193.043478260872</v>
      </c>
      <c r="P1440" s="8">
        <v>8</v>
      </c>
      <c r="Q1440" s="8">
        <f t="shared" si="234"/>
        <v>847.82608695652175</v>
      </c>
      <c r="R1440" s="8">
        <f t="shared" si="235"/>
        <v>1808.695652173913</v>
      </c>
      <c r="S1440" s="8">
        <f t="shared" si="231"/>
        <v>2656.521739130435</v>
      </c>
      <c r="T1440" s="18">
        <f t="shared" si="228"/>
        <v>40.112094000370732</v>
      </c>
      <c r="U1440" s="20">
        <f t="shared" si="232"/>
        <v>16349.376115038034</v>
      </c>
      <c r="V1440" s="29" t="s">
        <v>2983</v>
      </c>
    </row>
    <row r="1441" spans="1:22" ht="15" customHeight="1" x14ac:dyDescent="0.25">
      <c r="A1441" t="s">
        <v>141</v>
      </c>
      <c r="B1441" t="s">
        <v>2597</v>
      </c>
      <c r="C1441" t="s">
        <v>2604</v>
      </c>
      <c r="D1441" t="s">
        <v>2605</v>
      </c>
      <c r="E1441" t="s">
        <v>13</v>
      </c>
      <c r="F1441" s="5">
        <v>760.9</v>
      </c>
      <c r="G1441" t="s">
        <v>2603</v>
      </c>
      <c r="H1441" s="3">
        <v>100</v>
      </c>
      <c r="I1441" s="3">
        <v>160</v>
      </c>
      <c r="J1441" s="3">
        <v>9</v>
      </c>
      <c r="K1441" s="3">
        <v>21</v>
      </c>
      <c r="L1441">
        <f t="shared" si="229"/>
        <v>0.14399999999999999</v>
      </c>
      <c r="M1441">
        <f t="shared" ref="M1441:M1463" si="236">L1441*N1441</f>
        <v>9.7919999999999998</v>
      </c>
      <c r="N1441" s="8">
        <v>68</v>
      </c>
      <c r="O1441" s="14">
        <f t="shared" si="230"/>
        <v>51741.2</v>
      </c>
      <c r="P1441" s="8">
        <v>20</v>
      </c>
      <c r="Q1441" s="8">
        <f t="shared" si="234"/>
        <v>3.4</v>
      </c>
      <c r="R1441" s="8">
        <f t="shared" si="235"/>
        <v>45.333333333333329</v>
      </c>
      <c r="S1441" s="8">
        <f t="shared" si="231"/>
        <v>48.733333333333327</v>
      </c>
      <c r="T1441" s="18">
        <f t="shared" si="228"/>
        <v>38.297311700615822</v>
      </c>
      <c r="U1441" s="20">
        <f t="shared" si="232"/>
        <v>16387.673426738649</v>
      </c>
      <c r="V1441" s="29" t="s">
        <v>2983</v>
      </c>
    </row>
    <row r="1442" spans="1:22" ht="15" customHeight="1" x14ac:dyDescent="0.25">
      <c r="A1442" t="s">
        <v>141</v>
      </c>
      <c r="B1442" t="s">
        <v>12</v>
      </c>
      <c r="C1442" t="s">
        <v>2646</v>
      </c>
      <c r="D1442" t="s">
        <v>2645</v>
      </c>
      <c r="E1442" t="s">
        <v>13</v>
      </c>
      <c r="F1442" s="5">
        <v>124.32</v>
      </c>
      <c r="G1442" t="s">
        <v>11</v>
      </c>
      <c r="H1442" s="3">
        <v>2</v>
      </c>
      <c r="I1442" s="3">
        <v>1200</v>
      </c>
      <c r="J1442" s="3">
        <v>2</v>
      </c>
      <c r="K1442" s="3">
        <v>29.6</v>
      </c>
      <c r="L1442">
        <f t="shared" si="229"/>
        <v>4.7999999999999996E-3</v>
      </c>
      <c r="M1442" s="3">
        <f t="shared" si="236"/>
        <v>1.92</v>
      </c>
      <c r="N1442" s="8">
        <v>400</v>
      </c>
      <c r="O1442" s="14">
        <f t="shared" si="230"/>
        <v>49728</v>
      </c>
      <c r="P1442" s="8">
        <v>40</v>
      </c>
      <c r="Q1442" s="8">
        <f t="shared" si="234"/>
        <v>10</v>
      </c>
      <c r="R1442" s="8">
        <f t="shared" si="235"/>
        <v>533.33333333333337</v>
      </c>
      <c r="S1442" s="8">
        <f t="shared" si="231"/>
        <v>543.33333333333337</v>
      </c>
      <c r="T1442" s="18">
        <f t="shared" si="228"/>
        <v>36.807200378967316</v>
      </c>
      <c r="U1442" s="20">
        <f t="shared" si="232"/>
        <v>16424.480627117617</v>
      </c>
      <c r="V1442" s="29" t="s">
        <v>2983</v>
      </c>
    </row>
    <row r="1443" spans="1:22" ht="15" customHeight="1" x14ac:dyDescent="0.25">
      <c r="A1443" t="s">
        <v>141</v>
      </c>
      <c r="B1443" t="s">
        <v>2597</v>
      </c>
      <c r="C1443" t="s">
        <v>2623</v>
      </c>
      <c r="D1443" t="s">
        <v>2624</v>
      </c>
      <c r="E1443" t="s">
        <v>13</v>
      </c>
      <c r="F1443" s="5">
        <v>750.9</v>
      </c>
      <c r="G1443" t="s">
        <v>2625</v>
      </c>
      <c r="H1443" s="3">
        <v>210</v>
      </c>
      <c r="I1443" s="3">
        <v>72</v>
      </c>
      <c r="J1443" s="3">
        <v>4</v>
      </c>
      <c r="K1443" s="3">
        <v>16</v>
      </c>
      <c r="L1443">
        <f t="shared" si="229"/>
        <v>6.0479999999999999E-2</v>
      </c>
      <c r="M1443">
        <f t="shared" si="236"/>
        <v>3.8707199999999999</v>
      </c>
      <c r="N1443" s="8">
        <v>64</v>
      </c>
      <c r="O1443" s="14">
        <f t="shared" si="230"/>
        <v>48057.599999999999</v>
      </c>
      <c r="P1443" s="8">
        <v>20</v>
      </c>
      <c r="Q1443" s="8">
        <f t="shared" si="234"/>
        <v>3.2</v>
      </c>
      <c r="R1443" s="8">
        <f t="shared" si="235"/>
        <v>42.666666666666664</v>
      </c>
      <c r="S1443" s="8">
        <f t="shared" si="231"/>
        <v>45.866666666666667</v>
      </c>
      <c r="T1443" s="18">
        <f t="shared" si="228"/>
        <v>35.570819516816677</v>
      </c>
      <c r="U1443" s="20">
        <f t="shared" si="232"/>
        <v>16460.051446634432</v>
      </c>
      <c r="V1443" s="29" t="s">
        <v>2983</v>
      </c>
    </row>
    <row r="1444" spans="1:22" ht="15" customHeight="1" x14ac:dyDescent="0.25">
      <c r="A1444" t="s">
        <v>141</v>
      </c>
      <c r="B1444" t="s">
        <v>2597</v>
      </c>
      <c r="C1444" t="s">
        <v>2604</v>
      </c>
      <c r="D1444" t="s">
        <v>2605</v>
      </c>
      <c r="E1444" t="s">
        <v>13</v>
      </c>
      <c r="F1444" s="5">
        <v>760.9</v>
      </c>
      <c r="G1444" t="s">
        <v>2603</v>
      </c>
      <c r="H1444" s="3">
        <v>100</v>
      </c>
      <c r="I1444" s="3">
        <v>160</v>
      </c>
      <c r="J1444" s="3">
        <v>9</v>
      </c>
      <c r="K1444" s="3">
        <v>21</v>
      </c>
      <c r="L1444">
        <f t="shared" si="229"/>
        <v>0.14399999999999999</v>
      </c>
      <c r="M1444">
        <f t="shared" si="236"/>
        <v>8.6399999999999988</v>
      </c>
      <c r="N1444" s="8">
        <v>60</v>
      </c>
      <c r="O1444" s="14">
        <f t="shared" si="230"/>
        <v>45654</v>
      </c>
      <c r="P1444" s="8">
        <v>20</v>
      </c>
      <c r="Q1444" s="8">
        <f t="shared" si="234"/>
        <v>3</v>
      </c>
      <c r="R1444" s="8">
        <f t="shared" si="235"/>
        <v>40</v>
      </c>
      <c r="S1444" s="8">
        <f t="shared" si="231"/>
        <v>43</v>
      </c>
      <c r="T1444" s="18">
        <f t="shared" si="228"/>
        <v>33.791745618190433</v>
      </c>
      <c r="U1444" s="20">
        <f t="shared" si="232"/>
        <v>16493.843192252622</v>
      </c>
      <c r="V1444" s="29" t="s">
        <v>2983</v>
      </c>
    </row>
    <row r="1445" spans="1:22" ht="15" customHeight="1" x14ac:dyDescent="0.25">
      <c r="A1445" t="s">
        <v>141</v>
      </c>
      <c r="B1445" t="s">
        <v>2660</v>
      </c>
      <c r="C1445" t="s">
        <v>2668</v>
      </c>
      <c r="D1445" t="s">
        <v>2670</v>
      </c>
      <c r="E1445" t="s">
        <v>234</v>
      </c>
      <c r="F1445" s="5">
        <v>27.9</v>
      </c>
      <c r="G1445" t="s">
        <v>2667</v>
      </c>
      <c r="H1445" s="3">
        <v>150</v>
      </c>
      <c r="I1445" s="3">
        <v>302</v>
      </c>
      <c r="J1445" s="3">
        <v>0.23</v>
      </c>
      <c r="K1445" s="3">
        <v>18</v>
      </c>
      <c r="L1445">
        <f t="shared" si="229"/>
        <v>1.0419000000000001E-2</v>
      </c>
      <c r="M1445">
        <f t="shared" si="236"/>
        <v>15.628500000000003</v>
      </c>
      <c r="N1445" s="8">
        <v>1500</v>
      </c>
      <c r="O1445" s="14">
        <f t="shared" si="230"/>
        <v>41850</v>
      </c>
      <c r="P1445" s="8">
        <v>30</v>
      </c>
      <c r="Q1445" s="8">
        <f t="shared" si="234"/>
        <v>50</v>
      </c>
      <c r="R1445" s="8">
        <f t="shared" si="235"/>
        <v>1500</v>
      </c>
      <c r="S1445" s="8">
        <f t="shared" si="231"/>
        <v>1550</v>
      </c>
      <c r="T1445" s="18">
        <f t="shared" si="228"/>
        <v>30.976136901942208</v>
      </c>
      <c r="U1445" s="20">
        <f t="shared" si="232"/>
        <v>16524.819329154565</v>
      </c>
      <c r="V1445" s="29" t="s">
        <v>2983</v>
      </c>
    </row>
    <row r="1446" spans="1:22" ht="15" customHeight="1" x14ac:dyDescent="0.25">
      <c r="A1446" t="s">
        <v>141</v>
      </c>
      <c r="B1446" t="s">
        <v>2660</v>
      </c>
      <c r="C1446" t="s">
        <v>2668</v>
      </c>
      <c r="D1446" t="s">
        <v>2670</v>
      </c>
      <c r="E1446" t="s">
        <v>234</v>
      </c>
      <c r="F1446" s="5">
        <v>27.9</v>
      </c>
      <c r="G1446" t="s">
        <v>2667</v>
      </c>
      <c r="H1446" s="3">
        <v>150</v>
      </c>
      <c r="I1446" s="3">
        <v>302</v>
      </c>
      <c r="J1446" s="3">
        <v>0.23</v>
      </c>
      <c r="K1446" s="3">
        <v>18</v>
      </c>
      <c r="L1446">
        <f t="shared" si="229"/>
        <v>1.0419000000000001E-2</v>
      </c>
      <c r="M1446">
        <f t="shared" si="236"/>
        <v>15.628500000000003</v>
      </c>
      <c r="N1446" s="8">
        <v>1500</v>
      </c>
      <c r="O1446" s="14">
        <f t="shared" si="230"/>
        <v>41850</v>
      </c>
      <c r="P1446" s="8">
        <v>30</v>
      </c>
      <c r="Q1446" s="8">
        <f t="shared" si="234"/>
        <v>50</v>
      </c>
      <c r="R1446" s="8">
        <f t="shared" si="235"/>
        <v>1500</v>
      </c>
      <c r="S1446" s="8">
        <f t="shared" si="231"/>
        <v>1550</v>
      </c>
      <c r="T1446" s="18">
        <f t="shared" si="228"/>
        <v>30.976136901942208</v>
      </c>
      <c r="U1446" s="20">
        <f t="shared" si="232"/>
        <v>16555.795466056508</v>
      </c>
      <c r="V1446" s="29" t="s">
        <v>2983</v>
      </c>
    </row>
    <row r="1447" spans="1:22" ht="15" customHeight="1" x14ac:dyDescent="0.25">
      <c r="A1447" t="s">
        <v>141</v>
      </c>
      <c r="B1447" t="s">
        <v>12</v>
      </c>
      <c r="C1447" t="s">
        <v>2644</v>
      </c>
      <c r="D1447" t="s">
        <v>2645</v>
      </c>
      <c r="E1447" t="s">
        <v>13</v>
      </c>
      <c r="F1447" s="5">
        <v>79.55</v>
      </c>
      <c r="G1447" t="s">
        <v>11</v>
      </c>
      <c r="H1447" s="3">
        <v>1.2</v>
      </c>
      <c r="I1447" s="3">
        <v>1200</v>
      </c>
      <c r="J1447" s="3">
        <v>1.2</v>
      </c>
      <c r="K1447" s="3">
        <v>18.940000000000001</v>
      </c>
      <c r="L1447">
        <f t="shared" si="229"/>
        <v>1.7279999999999999E-3</v>
      </c>
      <c r="M1447" s="3">
        <f t="shared" si="236"/>
        <v>0.86399999999999999</v>
      </c>
      <c r="N1447" s="8">
        <v>500</v>
      </c>
      <c r="O1447" s="14">
        <f t="shared" si="230"/>
        <v>39775</v>
      </c>
      <c r="P1447" s="8">
        <v>40</v>
      </c>
      <c r="Q1447" s="8">
        <f t="shared" si="234"/>
        <v>12.5</v>
      </c>
      <c r="R1447" s="8">
        <f t="shared" si="235"/>
        <v>666.66666666666674</v>
      </c>
      <c r="S1447" s="8">
        <f t="shared" si="231"/>
        <v>679.16666666666674</v>
      </c>
      <c r="T1447" s="18">
        <f t="shared" si="228"/>
        <v>29.440283041212695</v>
      </c>
      <c r="U1447" s="20">
        <f t="shared" si="232"/>
        <v>16585.235749097719</v>
      </c>
      <c r="V1447" s="29" t="s">
        <v>2983</v>
      </c>
    </row>
    <row r="1448" spans="1:22" ht="15" customHeight="1" x14ac:dyDescent="0.25">
      <c r="A1448" t="s">
        <v>141</v>
      </c>
      <c r="B1448" t="s">
        <v>2681</v>
      </c>
      <c r="C1448" t="s">
        <v>2682</v>
      </c>
      <c r="D1448" t="s">
        <v>2683</v>
      </c>
      <c r="E1448" t="s">
        <v>2684</v>
      </c>
      <c r="F1448" s="5">
        <v>39.4</v>
      </c>
      <c r="G1448" t="s">
        <v>2685</v>
      </c>
      <c r="H1448" s="3">
        <v>100</v>
      </c>
      <c r="I1448" s="3">
        <v>500</v>
      </c>
      <c r="J1448" s="3">
        <v>0.17</v>
      </c>
      <c r="K1448" s="3">
        <v>2.4</v>
      </c>
      <c r="L1448">
        <f t="shared" si="229"/>
        <v>8.5000000000000006E-3</v>
      </c>
      <c r="M1448">
        <f t="shared" si="236"/>
        <v>7.99</v>
      </c>
      <c r="N1448" s="8">
        <v>940</v>
      </c>
      <c r="O1448" s="14">
        <f t="shared" si="230"/>
        <v>37036</v>
      </c>
      <c r="P1448" s="8">
        <v>40</v>
      </c>
      <c r="Q1448" s="8">
        <f t="shared" si="234"/>
        <v>23.5</v>
      </c>
      <c r="R1448" s="8">
        <f t="shared" si="235"/>
        <v>1253.3333333333333</v>
      </c>
      <c r="S1448" s="8">
        <f t="shared" si="231"/>
        <v>1276.8333333333333</v>
      </c>
      <c r="T1448" s="18">
        <f t="shared" si="228"/>
        <v>27.412955945049742</v>
      </c>
      <c r="U1448" s="20">
        <f t="shared" si="232"/>
        <v>16612.648705042768</v>
      </c>
      <c r="V1448" s="29" t="s">
        <v>2983</v>
      </c>
    </row>
    <row r="1449" spans="1:22" ht="15" customHeight="1" x14ac:dyDescent="0.25">
      <c r="A1449" t="s">
        <v>141</v>
      </c>
      <c r="B1449" t="s">
        <v>2681</v>
      </c>
      <c r="C1449" t="s">
        <v>2682</v>
      </c>
      <c r="D1449" t="s">
        <v>2683</v>
      </c>
      <c r="E1449" t="s">
        <v>2684</v>
      </c>
      <c r="F1449" s="5">
        <v>39.4</v>
      </c>
      <c r="G1449" t="s">
        <v>2685</v>
      </c>
      <c r="H1449" s="3">
        <v>100</v>
      </c>
      <c r="I1449" s="3">
        <v>500</v>
      </c>
      <c r="J1449" s="3">
        <v>0.17</v>
      </c>
      <c r="K1449" s="3">
        <v>2.4</v>
      </c>
      <c r="L1449">
        <f t="shared" si="229"/>
        <v>8.5000000000000006E-3</v>
      </c>
      <c r="M1449">
        <f t="shared" si="236"/>
        <v>7.99</v>
      </c>
      <c r="N1449" s="8">
        <v>940</v>
      </c>
      <c r="O1449" s="14">
        <f t="shared" si="230"/>
        <v>37036</v>
      </c>
      <c r="P1449" s="8">
        <v>40</v>
      </c>
      <c r="Q1449" s="8">
        <f t="shared" si="234"/>
        <v>23.5</v>
      </c>
      <c r="R1449" s="8">
        <f t="shared" si="235"/>
        <v>1253.3333333333333</v>
      </c>
      <c r="S1449" s="8">
        <f t="shared" si="231"/>
        <v>1276.8333333333333</v>
      </c>
      <c r="T1449" s="18">
        <f t="shared" si="228"/>
        <v>27.412955945049742</v>
      </c>
      <c r="U1449" s="20">
        <f t="shared" si="232"/>
        <v>16640.061660987816</v>
      </c>
      <c r="V1449" s="29" t="s">
        <v>2983</v>
      </c>
    </row>
    <row r="1450" spans="1:22" ht="15" customHeight="1" x14ac:dyDescent="0.25">
      <c r="A1450" t="s">
        <v>141</v>
      </c>
      <c r="B1450" t="s">
        <v>111</v>
      </c>
      <c r="C1450" t="s">
        <v>120</v>
      </c>
      <c r="D1450" t="s">
        <v>121</v>
      </c>
      <c r="E1450" t="s">
        <v>48</v>
      </c>
      <c r="F1450" s="5">
        <v>13.9</v>
      </c>
      <c r="G1450" t="s">
        <v>122</v>
      </c>
      <c r="H1450" s="3">
        <v>19</v>
      </c>
      <c r="I1450" s="3">
        <v>8</v>
      </c>
      <c r="J1450" s="3">
        <v>19</v>
      </c>
      <c r="K1450" s="3">
        <v>3</v>
      </c>
      <c r="L1450">
        <f t="shared" si="229"/>
        <v>2.8879999999999999E-3</v>
      </c>
      <c r="M1450">
        <f t="shared" si="236"/>
        <v>7.5087999999999999</v>
      </c>
      <c r="N1450" s="8">
        <v>2600</v>
      </c>
      <c r="O1450" s="14">
        <f t="shared" si="230"/>
        <v>36140</v>
      </c>
      <c r="P1450" s="8">
        <v>15</v>
      </c>
      <c r="Q1450" s="8">
        <f t="shared" si="234"/>
        <v>173.33333333333334</v>
      </c>
      <c r="R1450" s="8">
        <f t="shared" si="235"/>
        <v>1300</v>
      </c>
      <c r="S1450" s="8">
        <f t="shared" si="231"/>
        <v>1473.3333333333333</v>
      </c>
      <c r="T1450" s="18">
        <f t="shared" si="228"/>
        <v>26.749763145428709</v>
      </c>
      <c r="U1450" s="20">
        <f t="shared" si="232"/>
        <v>16666.811424133244</v>
      </c>
      <c r="V1450" s="29" t="s">
        <v>2983</v>
      </c>
    </row>
    <row r="1451" spans="1:22" ht="15" customHeight="1" x14ac:dyDescent="0.25">
      <c r="A1451" t="s">
        <v>141</v>
      </c>
      <c r="B1451" t="s">
        <v>45</v>
      </c>
      <c r="C1451" t="s">
        <v>87</v>
      </c>
      <c r="D1451" t="s">
        <v>88</v>
      </c>
      <c r="E1451" t="s">
        <v>48</v>
      </c>
      <c r="F1451" s="5">
        <v>8.39</v>
      </c>
      <c r="G1451" t="s">
        <v>64</v>
      </c>
      <c r="H1451" s="3">
        <v>3</v>
      </c>
      <c r="I1451" s="3">
        <v>55</v>
      </c>
      <c r="J1451" s="3">
        <v>120</v>
      </c>
      <c r="K1451" s="3">
        <v>5.9</v>
      </c>
      <c r="L1451">
        <f t="shared" si="229"/>
        <v>1.9800000000000002E-2</v>
      </c>
      <c r="M1451">
        <f t="shared" si="236"/>
        <v>78.408000000000001</v>
      </c>
      <c r="N1451" s="8">
        <v>3960</v>
      </c>
      <c r="O1451" s="14">
        <f t="shared" si="230"/>
        <v>33224.400000000001</v>
      </c>
      <c r="P1451" s="8">
        <v>15</v>
      </c>
      <c r="Q1451" s="8">
        <f t="shared" si="234"/>
        <v>264</v>
      </c>
      <c r="R1451" s="8">
        <f t="shared" si="235"/>
        <v>1980</v>
      </c>
      <c r="S1451" s="8">
        <f t="shared" si="231"/>
        <v>2244</v>
      </c>
      <c r="T1451" s="18">
        <f t="shared" si="228"/>
        <v>24.591721932733304</v>
      </c>
      <c r="U1451" s="20">
        <f t="shared" si="232"/>
        <v>16691.403146065979</v>
      </c>
      <c r="V1451" s="29" t="s">
        <v>2983</v>
      </c>
    </row>
    <row r="1452" spans="1:22" ht="15" customHeight="1" x14ac:dyDescent="0.25">
      <c r="A1452" t="s">
        <v>141</v>
      </c>
      <c r="B1452" t="s">
        <v>126</v>
      </c>
      <c r="C1452" t="s">
        <v>130</v>
      </c>
      <c r="D1452" t="s">
        <v>131</v>
      </c>
      <c r="E1452" t="s">
        <v>480</v>
      </c>
      <c r="F1452" s="5">
        <v>159.9</v>
      </c>
      <c r="G1452" t="s">
        <v>132</v>
      </c>
      <c r="H1452" s="3">
        <v>0.76</v>
      </c>
      <c r="I1452" s="3">
        <v>200</v>
      </c>
      <c r="J1452" s="3">
        <v>120</v>
      </c>
      <c r="K1452" s="3">
        <v>14</v>
      </c>
      <c r="L1452">
        <f t="shared" si="229"/>
        <v>1.8239999999999999E-2</v>
      </c>
      <c r="M1452">
        <f t="shared" si="236"/>
        <v>3.6479999999999997</v>
      </c>
      <c r="N1452" s="8">
        <v>200</v>
      </c>
      <c r="O1452" s="14">
        <f t="shared" si="230"/>
        <v>31980</v>
      </c>
      <c r="P1452" s="8">
        <v>30</v>
      </c>
      <c r="Q1452" s="8">
        <f t="shared" si="234"/>
        <v>6.666666666666667</v>
      </c>
      <c r="R1452" s="8">
        <f t="shared" si="235"/>
        <v>200</v>
      </c>
      <c r="S1452" s="8">
        <f t="shared" si="231"/>
        <v>206.66666666666666</v>
      </c>
      <c r="T1452" s="18">
        <f t="shared" si="228"/>
        <v>23.670653718616769</v>
      </c>
      <c r="U1452" s="20">
        <f t="shared" si="232"/>
        <v>16715.073799784597</v>
      </c>
      <c r="V1452" s="29" t="s">
        <v>2983</v>
      </c>
    </row>
    <row r="1453" spans="1:22" ht="15" customHeight="1" x14ac:dyDescent="0.25">
      <c r="A1453" t="s">
        <v>141</v>
      </c>
      <c r="B1453" t="s">
        <v>2660</v>
      </c>
      <c r="C1453" t="s">
        <v>2668</v>
      </c>
      <c r="D1453" t="s">
        <v>2669</v>
      </c>
      <c r="E1453" t="s">
        <v>234</v>
      </c>
      <c r="F1453" s="5">
        <v>20.9</v>
      </c>
      <c r="G1453" t="s">
        <v>2667</v>
      </c>
      <c r="H1453" s="3">
        <v>150</v>
      </c>
      <c r="I1453" s="3">
        <v>302</v>
      </c>
      <c r="J1453" s="3">
        <v>0.23</v>
      </c>
      <c r="K1453" s="3">
        <v>18</v>
      </c>
      <c r="L1453">
        <f t="shared" si="229"/>
        <v>1.0419000000000001E-2</v>
      </c>
      <c r="M1453">
        <f t="shared" si="236"/>
        <v>15.628500000000003</v>
      </c>
      <c r="N1453" s="8">
        <v>1500</v>
      </c>
      <c r="O1453" s="14">
        <f t="shared" si="230"/>
        <v>31349.999999999996</v>
      </c>
      <c r="P1453" s="8">
        <v>30</v>
      </c>
      <c r="Q1453" s="8">
        <f t="shared" si="234"/>
        <v>50</v>
      </c>
      <c r="R1453" s="8">
        <f t="shared" si="235"/>
        <v>1500</v>
      </c>
      <c r="S1453" s="8">
        <f t="shared" si="231"/>
        <v>1550</v>
      </c>
      <c r="T1453" s="18">
        <f t="shared" si="228"/>
        <v>23.204346281383227</v>
      </c>
      <c r="U1453" s="20">
        <f t="shared" si="232"/>
        <v>16738.278146065979</v>
      </c>
      <c r="V1453" s="29" t="s">
        <v>2983</v>
      </c>
    </row>
    <row r="1454" spans="1:22" ht="15" customHeight="1" x14ac:dyDescent="0.25">
      <c r="A1454" t="s">
        <v>141</v>
      </c>
      <c r="B1454" t="s">
        <v>2660</v>
      </c>
      <c r="C1454" t="s">
        <v>2668</v>
      </c>
      <c r="D1454" t="s">
        <v>2669</v>
      </c>
      <c r="E1454" t="s">
        <v>234</v>
      </c>
      <c r="F1454" s="5">
        <v>20.9</v>
      </c>
      <c r="G1454" t="s">
        <v>2667</v>
      </c>
      <c r="H1454" s="3">
        <v>150</v>
      </c>
      <c r="I1454" s="3">
        <v>302</v>
      </c>
      <c r="J1454" s="3">
        <v>0.23</v>
      </c>
      <c r="K1454" s="3">
        <v>18</v>
      </c>
      <c r="L1454">
        <f t="shared" si="229"/>
        <v>1.0419000000000001E-2</v>
      </c>
      <c r="M1454">
        <f t="shared" si="236"/>
        <v>15.628500000000003</v>
      </c>
      <c r="N1454" s="8">
        <v>1500</v>
      </c>
      <c r="O1454" s="14">
        <f t="shared" si="230"/>
        <v>31349.999999999996</v>
      </c>
      <c r="P1454" s="8">
        <v>30</v>
      </c>
      <c r="Q1454" s="8">
        <f t="shared" si="234"/>
        <v>50</v>
      </c>
      <c r="R1454" s="8">
        <f t="shared" si="235"/>
        <v>1500</v>
      </c>
      <c r="S1454" s="8">
        <f t="shared" si="231"/>
        <v>1550</v>
      </c>
      <c r="T1454" s="18">
        <f t="shared" si="228"/>
        <v>23.204346281383227</v>
      </c>
      <c r="U1454" s="20">
        <f t="shared" si="232"/>
        <v>16761.482492347361</v>
      </c>
      <c r="V1454" s="29" t="s">
        <v>2983</v>
      </c>
    </row>
    <row r="1455" spans="1:22" ht="15" customHeight="1" x14ac:dyDescent="0.25">
      <c r="A1455" t="s">
        <v>141</v>
      </c>
      <c r="B1455" t="s">
        <v>2597</v>
      </c>
      <c r="C1455" t="s">
        <v>2623</v>
      </c>
      <c r="D1455" t="s">
        <v>2624</v>
      </c>
      <c r="E1455" t="s">
        <v>13</v>
      </c>
      <c r="F1455" s="5">
        <v>750.9</v>
      </c>
      <c r="G1455" t="s">
        <v>2625</v>
      </c>
      <c r="H1455" s="3">
        <v>210</v>
      </c>
      <c r="I1455" s="3">
        <v>72</v>
      </c>
      <c r="J1455" s="3">
        <v>4</v>
      </c>
      <c r="K1455" s="3">
        <v>16</v>
      </c>
      <c r="L1455">
        <f t="shared" si="229"/>
        <v>6.0479999999999999E-2</v>
      </c>
      <c r="M1455">
        <f t="shared" si="236"/>
        <v>2.4192</v>
      </c>
      <c r="N1455" s="8">
        <v>40</v>
      </c>
      <c r="O1455" s="14">
        <f t="shared" si="230"/>
        <v>30036</v>
      </c>
      <c r="P1455" s="8">
        <v>20</v>
      </c>
      <c r="Q1455" s="8">
        <f t="shared" si="234"/>
        <v>2</v>
      </c>
      <c r="R1455" s="8">
        <f t="shared" si="235"/>
        <v>26.666666666666664</v>
      </c>
      <c r="S1455" s="8">
        <f t="shared" si="231"/>
        <v>28.666666666666664</v>
      </c>
      <c r="T1455" s="18">
        <f t="shared" si="228"/>
        <v>22.231762198010422</v>
      </c>
      <c r="U1455" s="20">
        <f t="shared" ref="U1455:U1486" si="237">U1454+T1455</f>
        <v>16783.714254545372</v>
      </c>
      <c r="V1455" s="29" t="s">
        <v>2983</v>
      </c>
    </row>
    <row r="1456" spans="1:22" ht="15" customHeight="1" x14ac:dyDescent="0.25">
      <c r="A1456" t="s">
        <v>141</v>
      </c>
      <c r="B1456" t="s">
        <v>45</v>
      </c>
      <c r="C1456" t="s">
        <v>83</v>
      </c>
      <c r="D1456" t="s">
        <v>84</v>
      </c>
      <c r="E1456" t="s">
        <v>48</v>
      </c>
      <c r="F1456" s="5">
        <v>7.39</v>
      </c>
      <c r="G1456" t="s">
        <v>64</v>
      </c>
      <c r="H1456" s="3">
        <v>3</v>
      </c>
      <c r="I1456" s="3">
        <v>55</v>
      </c>
      <c r="J1456" s="3">
        <v>120</v>
      </c>
      <c r="K1456" s="3">
        <v>5.9</v>
      </c>
      <c r="L1456">
        <f t="shared" si="229"/>
        <v>1.9800000000000002E-2</v>
      </c>
      <c r="M1456">
        <f t="shared" si="236"/>
        <v>78.408000000000001</v>
      </c>
      <c r="N1456" s="8">
        <v>3960</v>
      </c>
      <c r="O1456" s="14">
        <f t="shared" si="230"/>
        <v>29264.399999999998</v>
      </c>
      <c r="P1456" s="8">
        <v>15</v>
      </c>
      <c r="Q1456" s="8">
        <f t="shared" si="234"/>
        <v>264</v>
      </c>
      <c r="R1456" s="8">
        <f t="shared" si="235"/>
        <v>1980</v>
      </c>
      <c r="S1456" s="8">
        <f t="shared" si="231"/>
        <v>2244</v>
      </c>
      <c r="T1456" s="18">
        <f t="shared" si="228"/>
        <v>21.66064661297963</v>
      </c>
      <c r="U1456" s="20">
        <f t="shared" si="237"/>
        <v>16805.37490115835</v>
      </c>
      <c r="V1456" s="29" t="s">
        <v>2983</v>
      </c>
    </row>
    <row r="1457" spans="1:22" ht="15" customHeight="1" x14ac:dyDescent="0.25">
      <c r="A1457" t="s">
        <v>141</v>
      </c>
      <c r="B1457" t="s">
        <v>45</v>
      </c>
      <c r="C1457" t="s">
        <v>85</v>
      </c>
      <c r="D1457" t="s">
        <v>86</v>
      </c>
      <c r="E1457" t="s">
        <v>48</v>
      </c>
      <c r="F1457" s="5">
        <v>7.39</v>
      </c>
      <c r="G1457" t="s">
        <v>64</v>
      </c>
      <c r="H1457" s="3">
        <v>3</v>
      </c>
      <c r="I1457" s="3">
        <v>55</v>
      </c>
      <c r="J1457" s="3">
        <v>120</v>
      </c>
      <c r="K1457" s="3">
        <v>5.9</v>
      </c>
      <c r="L1457">
        <f t="shared" si="229"/>
        <v>1.9800000000000002E-2</v>
      </c>
      <c r="M1457">
        <f t="shared" si="236"/>
        <v>78.408000000000001</v>
      </c>
      <c r="N1457" s="8">
        <v>3960</v>
      </c>
      <c r="O1457" s="14">
        <f t="shared" si="230"/>
        <v>29264.399999999998</v>
      </c>
      <c r="P1457" s="8">
        <v>15</v>
      </c>
      <c r="Q1457" s="8">
        <f t="shared" si="234"/>
        <v>264</v>
      </c>
      <c r="R1457" s="8">
        <f t="shared" si="235"/>
        <v>1980</v>
      </c>
      <c r="S1457" s="8">
        <f t="shared" si="231"/>
        <v>2244</v>
      </c>
      <c r="T1457" s="18">
        <f t="shared" si="228"/>
        <v>21.66064661297963</v>
      </c>
      <c r="U1457" s="20">
        <f t="shared" si="237"/>
        <v>16827.035547771327</v>
      </c>
      <c r="V1457" s="29" t="s">
        <v>2983</v>
      </c>
    </row>
    <row r="1458" spans="1:22" ht="15" customHeight="1" x14ac:dyDescent="0.25">
      <c r="A1458" t="s">
        <v>141</v>
      </c>
      <c r="B1458" t="s">
        <v>45</v>
      </c>
      <c r="C1458" t="s">
        <v>81</v>
      </c>
      <c r="D1458" t="s">
        <v>82</v>
      </c>
      <c r="E1458" t="s">
        <v>48</v>
      </c>
      <c r="F1458" s="5">
        <v>7.32</v>
      </c>
      <c r="G1458" t="s">
        <v>49</v>
      </c>
      <c r="H1458" s="3">
        <v>2</v>
      </c>
      <c r="I1458" s="3">
        <v>42</v>
      </c>
      <c r="J1458" s="3">
        <v>25.3</v>
      </c>
      <c r="K1458" s="3">
        <v>2.9</v>
      </c>
      <c r="L1458">
        <f t="shared" si="229"/>
        <v>2.1252000000000003E-3</v>
      </c>
      <c r="M1458">
        <f t="shared" si="236"/>
        <v>8.4157920000000015</v>
      </c>
      <c r="N1458" s="8">
        <v>3960</v>
      </c>
      <c r="O1458" s="14">
        <f t="shared" si="230"/>
        <v>28987.200000000001</v>
      </c>
      <c r="P1458" s="8">
        <v>15</v>
      </c>
      <c r="Q1458" s="8">
        <f t="shared" si="234"/>
        <v>264</v>
      </c>
      <c r="R1458" s="8">
        <f t="shared" si="235"/>
        <v>1980</v>
      </c>
      <c r="S1458" s="8">
        <f t="shared" si="231"/>
        <v>2244</v>
      </c>
      <c r="T1458" s="18">
        <f t="shared" si="228"/>
        <v>21.455471340596876</v>
      </c>
      <c r="U1458" s="20">
        <f t="shared" si="237"/>
        <v>16848.491019111923</v>
      </c>
      <c r="V1458" s="29" t="s">
        <v>2983</v>
      </c>
    </row>
    <row r="1459" spans="1:22" ht="15" customHeight="1" x14ac:dyDescent="0.25">
      <c r="A1459" t="s">
        <v>141</v>
      </c>
      <c r="B1459" t="s">
        <v>45</v>
      </c>
      <c r="C1459" t="s">
        <v>79</v>
      </c>
      <c r="D1459" t="s">
        <v>80</v>
      </c>
      <c r="E1459" t="s">
        <v>48</v>
      </c>
      <c r="F1459" s="5">
        <v>7.17</v>
      </c>
      <c r="G1459" t="s">
        <v>49</v>
      </c>
      <c r="H1459" s="3">
        <v>2</v>
      </c>
      <c r="I1459" s="3">
        <v>42.5</v>
      </c>
      <c r="J1459" s="3">
        <v>26</v>
      </c>
      <c r="K1459" s="3">
        <v>2.9</v>
      </c>
      <c r="L1459">
        <f t="shared" si="229"/>
        <v>2.2100000000000002E-3</v>
      </c>
      <c r="M1459">
        <f t="shared" si="236"/>
        <v>8.7515999999999998</v>
      </c>
      <c r="N1459" s="8">
        <v>3960</v>
      </c>
      <c r="O1459" s="14">
        <f t="shared" si="230"/>
        <v>28393.200000000001</v>
      </c>
      <c r="P1459" s="8">
        <v>15</v>
      </c>
      <c r="Q1459" s="8">
        <f t="shared" si="234"/>
        <v>264</v>
      </c>
      <c r="R1459" s="8">
        <f t="shared" si="235"/>
        <v>1980</v>
      </c>
      <c r="S1459" s="8">
        <f t="shared" si="231"/>
        <v>2244</v>
      </c>
      <c r="T1459" s="18">
        <f t="shared" si="228"/>
        <v>21.015810042633824</v>
      </c>
      <c r="U1459" s="20">
        <f t="shared" si="237"/>
        <v>16869.506829154558</v>
      </c>
      <c r="V1459" s="29" t="s">
        <v>2983</v>
      </c>
    </row>
    <row r="1460" spans="1:22" ht="15" customHeight="1" x14ac:dyDescent="0.25">
      <c r="A1460" t="s">
        <v>141</v>
      </c>
      <c r="B1460" t="s">
        <v>2660</v>
      </c>
      <c r="C1460" t="s">
        <v>2665</v>
      </c>
      <c r="D1460" t="s">
        <v>2671</v>
      </c>
      <c r="E1460" t="s">
        <v>234</v>
      </c>
      <c r="F1460" s="5">
        <v>16.899999999999999</v>
      </c>
      <c r="G1460" t="s">
        <v>2667</v>
      </c>
      <c r="H1460" s="3">
        <v>150</v>
      </c>
      <c r="I1460" s="3">
        <v>302</v>
      </c>
      <c r="J1460" s="3">
        <v>0.23</v>
      </c>
      <c r="K1460" s="3">
        <v>19.2</v>
      </c>
      <c r="L1460">
        <f t="shared" si="229"/>
        <v>1.0419000000000001E-2</v>
      </c>
      <c r="M1460">
        <f t="shared" si="236"/>
        <v>15.628500000000003</v>
      </c>
      <c r="N1460" s="8">
        <v>1500</v>
      </c>
      <c r="O1460" s="14">
        <f t="shared" si="230"/>
        <v>25349.999999999996</v>
      </c>
      <c r="P1460" s="8">
        <v>30</v>
      </c>
      <c r="Q1460" s="8">
        <f t="shared" si="234"/>
        <v>50</v>
      </c>
      <c r="R1460" s="8">
        <f t="shared" si="235"/>
        <v>1500</v>
      </c>
      <c r="S1460" s="8">
        <f t="shared" si="231"/>
        <v>1550</v>
      </c>
      <c r="T1460" s="18">
        <f t="shared" si="228"/>
        <v>18.763323069635241</v>
      </c>
      <c r="U1460" s="20">
        <f t="shared" si="237"/>
        <v>16888.270152224191</v>
      </c>
      <c r="V1460" s="29" t="s">
        <v>2983</v>
      </c>
    </row>
    <row r="1461" spans="1:22" ht="15" customHeight="1" x14ac:dyDescent="0.25">
      <c r="A1461" t="s">
        <v>141</v>
      </c>
      <c r="B1461" t="s">
        <v>2660</v>
      </c>
      <c r="C1461" t="s">
        <v>2665</v>
      </c>
      <c r="D1461" t="s">
        <v>2671</v>
      </c>
      <c r="E1461" t="s">
        <v>234</v>
      </c>
      <c r="F1461" s="5">
        <v>16.899999999999999</v>
      </c>
      <c r="G1461" t="s">
        <v>2667</v>
      </c>
      <c r="H1461" s="3">
        <v>150</v>
      </c>
      <c r="I1461" s="3">
        <v>302</v>
      </c>
      <c r="J1461" s="3">
        <v>0.23</v>
      </c>
      <c r="K1461" s="3">
        <v>19.2</v>
      </c>
      <c r="L1461">
        <f t="shared" si="229"/>
        <v>1.0419000000000001E-2</v>
      </c>
      <c r="M1461">
        <f t="shared" si="236"/>
        <v>15.628500000000003</v>
      </c>
      <c r="N1461" s="8">
        <v>1500</v>
      </c>
      <c r="O1461" s="14">
        <f t="shared" si="230"/>
        <v>25349.999999999996</v>
      </c>
      <c r="P1461" s="8">
        <v>30</v>
      </c>
      <c r="Q1461" s="8">
        <f t="shared" si="234"/>
        <v>50</v>
      </c>
      <c r="R1461" s="8">
        <f t="shared" si="235"/>
        <v>1500</v>
      </c>
      <c r="S1461" s="8">
        <f t="shared" si="231"/>
        <v>1550</v>
      </c>
      <c r="T1461" s="18">
        <f t="shared" ref="T1461:T1524" si="238">O1461/O$1749</f>
        <v>18.763323069635241</v>
      </c>
      <c r="U1461" s="20">
        <f t="shared" si="237"/>
        <v>16907.033475293825</v>
      </c>
      <c r="V1461" s="29" t="s">
        <v>2983</v>
      </c>
    </row>
    <row r="1462" spans="1:22" ht="15" customHeight="1" x14ac:dyDescent="0.25">
      <c r="A1462" t="s">
        <v>141</v>
      </c>
      <c r="B1462" t="s">
        <v>2660</v>
      </c>
      <c r="C1462" t="s">
        <v>2665</v>
      </c>
      <c r="D1462" t="s">
        <v>2666</v>
      </c>
      <c r="E1462" t="s">
        <v>234</v>
      </c>
      <c r="F1462" s="5">
        <v>16.899999999999999</v>
      </c>
      <c r="G1462" t="s">
        <v>2667</v>
      </c>
      <c r="H1462" s="3">
        <v>150</v>
      </c>
      <c r="I1462" s="3">
        <v>302</v>
      </c>
      <c r="J1462" s="3">
        <v>0.23</v>
      </c>
      <c r="K1462" s="3">
        <v>18</v>
      </c>
      <c r="L1462">
        <f t="shared" si="229"/>
        <v>1.0419000000000001E-2</v>
      </c>
      <c r="M1462">
        <f t="shared" si="236"/>
        <v>15.628500000000003</v>
      </c>
      <c r="N1462" s="8">
        <v>1500</v>
      </c>
      <c r="O1462" s="14">
        <f t="shared" si="230"/>
        <v>25349.999999999996</v>
      </c>
      <c r="P1462" s="8">
        <v>30</v>
      </c>
      <c r="Q1462" s="8">
        <f t="shared" si="234"/>
        <v>50</v>
      </c>
      <c r="R1462" s="8">
        <f t="shared" si="235"/>
        <v>1500</v>
      </c>
      <c r="S1462" s="8">
        <f t="shared" si="231"/>
        <v>1550</v>
      </c>
      <c r="T1462" s="18">
        <f t="shared" si="238"/>
        <v>18.763323069635241</v>
      </c>
      <c r="U1462" s="20">
        <f t="shared" si="237"/>
        <v>16925.796798363459</v>
      </c>
      <c r="V1462" s="29" t="s">
        <v>2983</v>
      </c>
    </row>
    <row r="1463" spans="1:22" ht="15" customHeight="1" x14ac:dyDescent="0.25">
      <c r="A1463" t="s">
        <v>141</v>
      </c>
      <c r="B1463" t="s">
        <v>2660</v>
      </c>
      <c r="C1463" t="s">
        <v>2665</v>
      </c>
      <c r="D1463" t="s">
        <v>2666</v>
      </c>
      <c r="E1463" t="s">
        <v>234</v>
      </c>
      <c r="F1463" s="5">
        <v>16.899999999999999</v>
      </c>
      <c r="G1463" t="s">
        <v>2667</v>
      </c>
      <c r="H1463" s="3">
        <v>150</v>
      </c>
      <c r="I1463" s="3">
        <v>302</v>
      </c>
      <c r="J1463" s="3">
        <v>0.23</v>
      </c>
      <c r="K1463" s="3">
        <v>18</v>
      </c>
      <c r="L1463">
        <f t="shared" si="229"/>
        <v>1.0419000000000001E-2</v>
      </c>
      <c r="M1463">
        <f t="shared" si="236"/>
        <v>15.628500000000003</v>
      </c>
      <c r="N1463" s="8">
        <v>1500</v>
      </c>
      <c r="O1463" s="14">
        <f t="shared" si="230"/>
        <v>25349.999999999996</v>
      </c>
      <c r="P1463" s="8">
        <v>30</v>
      </c>
      <c r="Q1463" s="8">
        <f t="shared" si="234"/>
        <v>50</v>
      </c>
      <c r="R1463" s="8">
        <f t="shared" si="235"/>
        <v>1500</v>
      </c>
      <c r="S1463" s="8">
        <f t="shared" si="231"/>
        <v>1550</v>
      </c>
      <c r="T1463" s="18">
        <f t="shared" si="238"/>
        <v>18.763323069635241</v>
      </c>
      <c r="U1463" s="20">
        <f t="shared" si="237"/>
        <v>16944.560121433093</v>
      </c>
      <c r="V1463" s="29" t="s">
        <v>2983</v>
      </c>
    </row>
    <row r="1464" spans="1:22" ht="15" customHeight="1" x14ac:dyDescent="0.25">
      <c r="A1464" t="s">
        <v>141</v>
      </c>
      <c r="B1464" t="s">
        <v>2576</v>
      </c>
      <c r="C1464" t="s">
        <v>2580</v>
      </c>
      <c r="D1464" t="s">
        <v>2581</v>
      </c>
      <c r="E1464" t="s">
        <v>234</v>
      </c>
      <c r="F1464" s="5">
        <v>645</v>
      </c>
      <c r="G1464" t="s">
        <v>683</v>
      </c>
      <c r="H1464" s="3">
        <v>660</v>
      </c>
      <c r="I1464" s="3">
        <v>445</v>
      </c>
      <c r="J1464" s="3">
        <v>20</v>
      </c>
      <c r="K1464" s="3">
        <v>4.5</v>
      </c>
      <c r="L1464">
        <f t="shared" si="229"/>
        <v>5.8739999999999997</v>
      </c>
      <c r="M1464">
        <v>6.5</v>
      </c>
      <c r="N1464" s="8">
        <f>M1464*L1464</f>
        <v>38.180999999999997</v>
      </c>
      <c r="O1464" s="14">
        <f t="shared" si="230"/>
        <v>24626.744999999999</v>
      </c>
      <c r="P1464" s="8">
        <v>25</v>
      </c>
      <c r="Q1464" s="8">
        <f t="shared" si="234"/>
        <v>1.5272399999999999</v>
      </c>
      <c r="R1464" s="8">
        <f t="shared" si="235"/>
        <v>31.817499999999999</v>
      </c>
      <c r="S1464" s="8">
        <f t="shared" si="231"/>
        <v>33.344740000000002</v>
      </c>
      <c r="T1464" s="18">
        <f t="shared" si="238"/>
        <v>18.227991029133111</v>
      </c>
      <c r="U1464" s="20">
        <f t="shared" si="237"/>
        <v>16962.788112462225</v>
      </c>
      <c r="V1464" s="29" t="s">
        <v>2983</v>
      </c>
    </row>
    <row r="1465" spans="1:22" ht="15" customHeight="1" x14ac:dyDescent="0.25">
      <c r="A1465" t="s">
        <v>141</v>
      </c>
      <c r="B1465" t="s">
        <v>2576</v>
      </c>
      <c r="C1465" t="s">
        <v>2580</v>
      </c>
      <c r="D1465" t="s">
        <v>2581</v>
      </c>
      <c r="E1465" t="s">
        <v>234</v>
      </c>
      <c r="F1465" s="5">
        <v>645</v>
      </c>
      <c r="G1465" t="s">
        <v>683</v>
      </c>
      <c r="H1465" s="3">
        <v>660</v>
      </c>
      <c r="I1465" s="3">
        <v>445</v>
      </c>
      <c r="J1465" s="3">
        <v>20</v>
      </c>
      <c r="K1465" s="3">
        <v>4.5</v>
      </c>
      <c r="L1465">
        <f t="shared" si="229"/>
        <v>5.8739999999999997</v>
      </c>
      <c r="M1465">
        <v>6.5</v>
      </c>
      <c r="N1465" s="8">
        <f>M1465*L1465</f>
        <v>38.180999999999997</v>
      </c>
      <c r="O1465" s="14">
        <f t="shared" si="230"/>
        <v>24626.744999999999</v>
      </c>
      <c r="P1465" s="8">
        <v>25</v>
      </c>
      <c r="Q1465" s="8">
        <f t="shared" si="234"/>
        <v>1.5272399999999999</v>
      </c>
      <c r="R1465" s="8">
        <f t="shared" si="235"/>
        <v>31.817499999999999</v>
      </c>
      <c r="S1465" s="8">
        <f t="shared" si="231"/>
        <v>33.344740000000002</v>
      </c>
      <c r="T1465" s="18">
        <f t="shared" si="238"/>
        <v>18.227991029133111</v>
      </c>
      <c r="U1465" s="20">
        <f t="shared" si="237"/>
        <v>16981.016103491358</v>
      </c>
      <c r="V1465" s="29" t="s">
        <v>2983</v>
      </c>
    </row>
    <row r="1466" spans="1:22" ht="15" customHeight="1" x14ac:dyDescent="0.25">
      <c r="A1466" t="s">
        <v>141</v>
      </c>
      <c r="B1466" t="s">
        <v>45</v>
      </c>
      <c r="C1466" t="s">
        <v>107</v>
      </c>
      <c r="D1466" t="s">
        <v>108</v>
      </c>
      <c r="E1466" t="s">
        <v>48</v>
      </c>
      <c r="F1466" s="5">
        <v>6.12</v>
      </c>
      <c r="G1466" t="s">
        <v>64</v>
      </c>
      <c r="H1466" s="3">
        <v>2.5</v>
      </c>
      <c r="I1466" s="3">
        <v>41</v>
      </c>
      <c r="J1466" s="3">
        <v>23.5</v>
      </c>
      <c r="K1466" s="3">
        <v>3</v>
      </c>
      <c r="L1466">
        <f t="shared" si="229"/>
        <v>2.4087499999999999E-3</v>
      </c>
      <c r="M1466">
        <f t="shared" ref="M1466:M1501" si="239">L1466*N1466</f>
        <v>9.5386499999999987</v>
      </c>
      <c r="N1466" s="8">
        <v>3960</v>
      </c>
      <c r="O1466" s="14">
        <f t="shared" si="230"/>
        <v>24235.200000000001</v>
      </c>
      <c r="P1466" s="8">
        <v>15</v>
      </c>
      <c r="Q1466" s="8">
        <f t="shared" si="234"/>
        <v>264</v>
      </c>
      <c r="R1466" s="8">
        <f t="shared" si="235"/>
        <v>1980</v>
      </c>
      <c r="S1466" s="8">
        <f t="shared" si="231"/>
        <v>2244</v>
      </c>
      <c r="T1466" s="18">
        <f t="shared" si="238"/>
        <v>17.93818095689247</v>
      </c>
      <c r="U1466" s="20">
        <f t="shared" si="237"/>
        <v>16998.954284448249</v>
      </c>
      <c r="V1466" s="29" t="s">
        <v>2983</v>
      </c>
    </row>
    <row r="1467" spans="1:22" ht="15" customHeight="1" x14ac:dyDescent="0.25">
      <c r="A1467" t="s">
        <v>141</v>
      </c>
      <c r="B1467" t="s">
        <v>2597</v>
      </c>
      <c r="C1467" t="s">
        <v>2598</v>
      </c>
      <c r="D1467" t="s">
        <v>2599</v>
      </c>
      <c r="E1467" t="s">
        <v>13</v>
      </c>
      <c r="F1467" s="5">
        <v>299.89999999999998</v>
      </c>
      <c r="G1467" t="s">
        <v>2600</v>
      </c>
      <c r="H1467" s="3">
        <v>100</v>
      </c>
      <c r="I1467" s="3">
        <v>100</v>
      </c>
      <c r="J1467" s="3">
        <v>8.4</v>
      </c>
      <c r="K1467" s="3">
        <v>18</v>
      </c>
      <c r="L1467">
        <f t="shared" si="229"/>
        <v>8.4000000000000005E-2</v>
      </c>
      <c r="M1467">
        <f t="shared" si="239"/>
        <v>5.7120000000000006</v>
      </c>
      <c r="N1467" s="8">
        <v>68</v>
      </c>
      <c r="O1467" s="14">
        <f t="shared" si="230"/>
        <v>20393.199999999997</v>
      </c>
      <c r="P1467" s="8">
        <v>20</v>
      </c>
      <c r="Q1467" s="8">
        <f t="shared" si="234"/>
        <v>3.4</v>
      </c>
      <c r="R1467" s="8">
        <f t="shared" si="235"/>
        <v>45.333333333333329</v>
      </c>
      <c r="S1467" s="8">
        <f t="shared" si="231"/>
        <v>48.733333333333327</v>
      </c>
      <c r="T1467" s="18">
        <f t="shared" si="238"/>
        <v>15.094445760303172</v>
      </c>
      <c r="U1467" s="20">
        <f t="shared" si="237"/>
        <v>17014.048730208553</v>
      </c>
      <c r="V1467" s="29" t="s">
        <v>2983</v>
      </c>
    </row>
    <row r="1468" spans="1:22" ht="15" customHeight="1" x14ac:dyDescent="0.25">
      <c r="A1468" t="s">
        <v>141</v>
      </c>
      <c r="B1468" t="s">
        <v>2597</v>
      </c>
      <c r="C1468" t="s">
        <v>2598</v>
      </c>
      <c r="D1468" t="s">
        <v>2599</v>
      </c>
      <c r="E1468" t="s">
        <v>13</v>
      </c>
      <c r="F1468" s="5">
        <v>299.89999999999998</v>
      </c>
      <c r="G1468" t="s">
        <v>2600</v>
      </c>
      <c r="H1468" s="3">
        <v>100</v>
      </c>
      <c r="I1468" s="3">
        <v>100</v>
      </c>
      <c r="J1468" s="3">
        <v>8.4</v>
      </c>
      <c r="K1468" s="3">
        <v>18</v>
      </c>
      <c r="L1468">
        <f t="shared" si="229"/>
        <v>8.4000000000000005E-2</v>
      </c>
      <c r="M1468">
        <f t="shared" si="239"/>
        <v>5.7120000000000006</v>
      </c>
      <c r="N1468" s="8">
        <v>68</v>
      </c>
      <c r="O1468" s="14">
        <f t="shared" si="230"/>
        <v>20393.199999999997</v>
      </c>
      <c r="P1468" s="8">
        <v>20</v>
      </c>
      <c r="Q1468" s="8">
        <f t="shared" si="234"/>
        <v>3.4</v>
      </c>
      <c r="R1468" s="8">
        <f t="shared" si="235"/>
        <v>45.333333333333329</v>
      </c>
      <c r="S1468" s="8">
        <f t="shared" si="231"/>
        <v>48.733333333333327</v>
      </c>
      <c r="T1468" s="18">
        <f t="shared" si="238"/>
        <v>15.094445760303172</v>
      </c>
      <c r="U1468" s="20">
        <f t="shared" si="237"/>
        <v>17029.143175968857</v>
      </c>
      <c r="V1468" s="29" t="s">
        <v>2983</v>
      </c>
    </row>
    <row r="1469" spans="1:22" ht="15" customHeight="1" x14ac:dyDescent="0.25">
      <c r="A1469" t="s">
        <v>141</v>
      </c>
      <c r="B1469" t="s">
        <v>45</v>
      </c>
      <c r="C1469" t="s">
        <v>105</v>
      </c>
      <c r="D1469" t="s">
        <v>106</v>
      </c>
      <c r="E1469" t="s">
        <v>48</v>
      </c>
      <c r="F1469" s="5">
        <v>5.12</v>
      </c>
      <c r="G1469" t="s">
        <v>64</v>
      </c>
      <c r="H1469" s="3">
        <v>2.5</v>
      </c>
      <c r="I1469" s="3">
        <v>41</v>
      </c>
      <c r="J1469" s="3">
        <v>23.5</v>
      </c>
      <c r="K1469" s="3">
        <v>3</v>
      </c>
      <c r="L1469">
        <f t="shared" si="229"/>
        <v>2.4087499999999999E-3</v>
      </c>
      <c r="M1469">
        <f t="shared" si="239"/>
        <v>9.5386499999999987</v>
      </c>
      <c r="N1469" s="8">
        <v>3960</v>
      </c>
      <c r="O1469" s="14">
        <f t="shared" si="230"/>
        <v>20275.2</v>
      </c>
      <c r="P1469" s="8">
        <v>15</v>
      </c>
      <c r="Q1469" s="8">
        <f t="shared" si="234"/>
        <v>264</v>
      </c>
      <c r="R1469" s="8">
        <f t="shared" si="235"/>
        <v>1980</v>
      </c>
      <c r="S1469" s="8">
        <f t="shared" si="231"/>
        <v>2244</v>
      </c>
      <c r="T1469" s="18">
        <f t="shared" si="238"/>
        <v>15.007105637138798</v>
      </c>
      <c r="U1469" s="20">
        <f t="shared" si="237"/>
        <v>17044.150281605995</v>
      </c>
      <c r="V1469" s="29" t="s">
        <v>2983</v>
      </c>
    </row>
    <row r="1470" spans="1:22" ht="15" customHeight="1" x14ac:dyDescent="0.25">
      <c r="A1470" t="s">
        <v>141</v>
      </c>
      <c r="B1470" t="s">
        <v>2597</v>
      </c>
      <c r="C1470" t="s">
        <v>2606</v>
      </c>
      <c r="D1470" t="s">
        <v>2607</v>
      </c>
      <c r="E1470" t="s">
        <v>13</v>
      </c>
      <c r="F1470" s="5">
        <v>307.89999999999998</v>
      </c>
      <c r="G1470" t="s">
        <v>2603</v>
      </c>
      <c r="H1470" s="3">
        <v>60</v>
      </c>
      <c r="I1470" s="3">
        <v>80</v>
      </c>
      <c r="J1470" s="3">
        <v>9</v>
      </c>
      <c r="K1470" s="3">
        <v>24</v>
      </c>
      <c r="L1470">
        <f t="shared" si="229"/>
        <v>4.3200000000000002E-2</v>
      </c>
      <c r="M1470">
        <f t="shared" si="239"/>
        <v>2.8080000000000003</v>
      </c>
      <c r="N1470" s="8">
        <v>65</v>
      </c>
      <c r="O1470" s="14">
        <f t="shared" si="230"/>
        <v>20013.5</v>
      </c>
      <c r="P1470" s="8">
        <v>20</v>
      </c>
      <c r="Q1470" s="8">
        <f t="shared" si="234"/>
        <v>3.25</v>
      </c>
      <c r="R1470" s="8">
        <f t="shared" si="235"/>
        <v>43.333333333333329</v>
      </c>
      <c r="S1470" s="8">
        <f t="shared" si="231"/>
        <v>46.583333333333329</v>
      </c>
      <c r="T1470" s="18">
        <f t="shared" si="238"/>
        <v>14.813403008053056</v>
      </c>
      <c r="U1470" s="20">
        <f t="shared" si="237"/>
        <v>17058.963684614049</v>
      </c>
      <c r="V1470" s="29" t="s">
        <v>2983</v>
      </c>
    </row>
    <row r="1471" spans="1:22" ht="15" customHeight="1" x14ac:dyDescent="0.25">
      <c r="A1471" t="s">
        <v>141</v>
      </c>
      <c r="B1471" t="s">
        <v>2597</v>
      </c>
      <c r="C1471" t="s">
        <v>2606</v>
      </c>
      <c r="D1471" t="s">
        <v>2607</v>
      </c>
      <c r="E1471" t="s">
        <v>13</v>
      </c>
      <c r="F1471" s="5">
        <v>307.89999999999998</v>
      </c>
      <c r="G1471" t="s">
        <v>2603</v>
      </c>
      <c r="H1471" s="3">
        <v>60</v>
      </c>
      <c r="I1471" s="3">
        <v>80</v>
      </c>
      <c r="J1471" s="3">
        <v>9</v>
      </c>
      <c r="K1471" s="3">
        <v>24</v>
      </c>
      <c r="L1471">
        <f t="shared" si="229"/>
        <v>4.3200000000000002E-2</v>
      </c>
      <c r="M1471">
        <f t="shared" si="239"/>
        <v>2.8080000000000003</v>
      </c>
      <c r="N1471" s="8">
        <v>65</v>
      </c>
      <c r="O1471" s="14">
        <f t="shared" si="230"/>
        <v>20013.5</v>
      </c>
      <c r="P1471" s="8">
        <v>20</v>
      </c>
      <c r="Q1471" s="8">
        <f t="shared" si="234"/>
        <v>3.25</v>
      </c>
      <c r="R1471" s="8">
        <f t="shared" si="235"/>
        <v>43.333333333333329</v>
      </c>
      <c r="S1471" s="8">
        <f t="shared" si="231"/>
        <v>46.583333333333329</v>
      </c>
      <c r="T1471" s="18">
        <f t="shared" si="238"/>
        <v>14.813403008053056</v>
      </c>
      <c r="U1471" s="20">
        <f t="shared" si="237"/>
        <v>17073.777087622104</v>
      </c>
      <c r="V1471" s="29" t="s">
        <v>2983</v>
      </c>
    </row>
    <row r="1472" spans="1:22" ht="15" customHeight="1" x14ac:dyDescent="0.25">
      <c r="A1472" t="s">
        <v>141</v>
      </c>
      <c r="B1472" t="s">
        <v>111</v>
      </c>
      <c r="C1472" t="s">
        <v>123</v>
      </c>
      <c r="D1472" t="s">
        <v>124</v>
      </c>
      <c r="E1472" t="s">
        <v>48</v>
      </c>
      <c r="F1472" s="5">
        <v>23.5</v>
      </c>
      <c r="G1472" t="s">
        <v>125</v>
      </c>
      <c r="H1472" s="3">
        <v>19</v>
      </c>
      <c r="I1472" s="3">
        <v>8</v>
      </c>
      <c r="J1472" s="3">
        <v>19</v>
      </c>
      <c r="K1472" s="3">
        <v>2.31</v>
      </c>
      <c r="L1472">
        <f t="shared" si="229"/>
        <v>2.8879999999999999E-3</v>
      </c>
      <c r="M1472">
        <f t="shared" si="239"/>
        <v>2.3104</v>
      </c>
      <c r="N1472" s="8">
        <v>800</v>
      </c>
      <c r="O1472" s="14">
        <f t="shared" si="230"/>
        <v>18800</v>
      </c>
      <c r="P1472" s="8">
        <v>15</v>
      </c>
      <c r="Q1472" s="8">
        <f t="shared" si="234"/>
        <v>53.333333333333336</v>
      </c>
      <c r="R1472" s="8">
        <f t="shared" si="235"/>
        <v>400</v>
      </c>
      <c r="S1472" s="8">
        <f t="shared" si="231"/>
        <v>453.33333333333331</v>
      </c>
      <c r="T1472" s="18">
        <f t="shared" si="238"/>
        <v>13.915206063477026</v>
      </c>
      <c r="U1472" s="20">
        <f t="shared" si="237"/>
        <v>17087.692293685581</v>
      </c>
      <c r="V1472" s="29" t="s">
        <v>2983</v>
      </c>
    </row>
    <row r="1473" spans="1:22" ht="15" customHeight="1" x14ac:dyDescent="0.25">
      <c r="A1473" t="s">
        <v>141</v>
      </c>
      <c r="B1473" t="s">
        <v>45</v>
      </c>
      <c r="C1473" t="s">
        <v>73</v>
      </c>
      <c r="D1473" t="s">
        <v>74</v>
      </c>
      <c r="E1473" t="s">
        <v>48</v>
      </c>
      <c r="F1473" s="5">
        <v>7.25</v>
      </c>
      <c r="G1473" t="s">
        <v>49</v>
      </c>
      <c r="H1473" s="3">
        <v>2</v>
      </c>
      <c r="I1473" s="3">
        <v>42.2</v>
      </c>
      <c r="J1473" s="3">
        <v>25</v>
      </c>
      <c r="K1473" s="3">
        <v>3.8</v>
      </c>
      <c r="L1473">
        <f t="shared" si="229"/>
        <v>2.1099999999999999E-3</v>
      </c>
      <c r="M1473">
        <f t="shared" si="239"/>
        <v>5.2749999999999995</v>
      </c>
      <c r="N1473" s="8">
        <v>2500</v>
      </c>
      <c r="O1473" s="14">
        <f t="shared" si="230"/>
        <v>18125</v>
      </c>
      <c r="P1473" s="8">
        <v>15</v>
      </c>
      <c r="Q1473" s="8">
        <f t="shared" si="234"/>
        <v>166.66666666666666</v>
      </c>
      <c r="R1473" s="8">
        <f t="shared" si="235"/>
        <v>1250</v>
      </c>
      <c r="S1473" s="8">
        <f t="shared" si="231"/>
        <v>1416.6666666666667</v>
      </c>
      <c r="T1473" s="18">
        <f t="shared" si="238"/>
        <v>13.415590952155377</v>
      </c>
      <c r="U1473" s="20">
        <f t="shared" si="237"/>
        <v>17101.107884637735</v>
      </c>
      <c r="V1473" s="29" t="s">
        <v>2983</v>
      </c>
    </row>
    <row r="1474" spans="1:22" ht="15" customHeight="1" x14ac:dyDescent="0.25">
      <c r="A1474" t="s">
        <v>141</v>
      </c>
      <c r="B1474" t="s">
        <v>2681</v>
      </c>
      <c r="C1474" t="s">
        <v>2691</v>
      </c>
      <c r="D1474" t="s">
        <v>2693</v>
      </c>
      <c r="E1474" t="s">
        <v>2684</v>
      </c>
      <c r="F1474" s="5">
        <v>17.899999999999999</v>
      </c>
      <c r="G1474" t="s">
        <v>2690</v>
      </c>
      <c r="H1474" s="3">
        <v>0.4</v>
      </c>
      <c r="I1474" s="3">
        <v>1000</v>
      </c>
      <c r="J1474" s="3">
        <v>0.4</v>
      </c>
      <c r="K1474" s="3">
        <v>2.2000000000000002</v>
      </c>
      <c r="L1474">
        <f t="shared" ref="L1474:L1537" si="240">J1474*I1474*H1474/1000000</f>
        <v>1.6000000000000001E-4</v>
      </c>
      <c r="M1474">
        <f t="shared" si="239"/>
        <v>0.15040000000000001</v>
      </c>
      <c r="N1474" s="8">
        <v>940</v>
      </c>
      <c r="O1474" s="14">
        <f t="shared" ref="O1474:O1537" si="241">N1474*F1474</f>
        <v>16826</v>
      </c>
      <c r="P1474" s="8">
        <v>40</v>
      </c>
      <c r="Q1474" s="8">
        <f t="shared" si="234"/>
        <v>23.5</v>
      </c>
      <c r="R1474" s="8">
        <f t="shared" si="235"/>
        <v>1253.3333333333333</v>
      </c>
      <c r="S1474" s="8">
        <f t="shared" ref="S1474:S1537" si="242">Q1474+R1474</f>
        <v>1276.8333333333333</v>
      </c>
      <c r="T1474" s="18">
        <f t="shared" si="238"/>
        <v>12.454109426811938</v>
      </c>
      <c r="U1474" s="20">
        <f t="shared" si="237"/>
        <v>17113.561994064548</v>
      </c>
      <c r="V1474" s="29" t="s">
        <v>2983</v>
      </c>
    </row>
    <row r="1475" spans="1:22" ht="15" customHeight="1" x14ac:dyDescent="0.25">
      <c r="A1475" t="s">
        <v>141</v>
      </c>
      <c r="B1475" t="s">
        <v>2681</v>
      </c>
      <c r="C1475" t="s">
        <v>2691</v>
      </c>
      <c r="D1475" t="s">
        <v>2693</v>
      </c>
      <c r="E1475" t="s">
        <v>2684</v>
      </c>
      <c r="F1475" s="5">
        <v>17.899999999999999</v>
      </c>
      <c r="G1475" t="s">
        <v>2690</v>
      </c>
      <c r="H1475" s="3">
        <v>0.4</v>
      </c>
      <c r="I1475" s="3">
        <v>1000</v>
      </c>
      <c r="J1475" s="3">
        <v>0.4</v>
      </c>
      <c r="K1475" s="3">
        <v>2.2000000000000002</v>
      </c>
      <c r="L1475">
        <f t="shared" si="240"/>
        <v>1.6000000000000001E-4</v>
      </c>
      <c r="M1475">
        <f t="shared" si="239"/>
        <v>0.15040000000000001</v>
      </c>
      <c r="N1475" s="8">
        <v>940</v>
      </c>
      <c r="O1475" s="14">
        <f t="shared" si="241"/>
        <v>16826</v>
      </c>
      <c r="P1475" s="8">
        <v>40</v>
      </c>
      <c r="Q1475" s="8">
        <f t="shared" si="234"/>
        <v>23.5</v>
      </c>
      <c r="R1475" s="8">
        <f t="shared" si="235"/>
        <v>1253.3333333333333</v>
      </c>
      <c r="S1475" s="8">
        <f t="shared" si="242"/>
        <v>1276.8333333333333</v>
      </c>
      <c r="T1475" s="18">
        <f t="shared" si="238"/>
        <v>12.454109426811938</v>
      </c>
      <c r="U1475" s="20">
        <f t="shared" si="237"/>
        <v>17126.016103491362</v>
      </c>
      <c r="V1475" s="29" t="s">
        <v>2983</v>
      </c>
    </row>
    <row r="1476" spans="1:22" ht="15" customHeight="1" x14ac:dyDescent="0.25">
      <c r="A1476" t="s">
        <v>141</v>
      </c>
      <c r="B1476" t="s">
        <v>45</v>
      </c>
      <c r="C1476" t="s">
        <v>60</v>
      </c>
      <c r="D1476" t="s">
        <v>61</v>
      </c>
      <c r="E1476" t="s">
        <v>48</v>
      </c>
      <c r="F1476" s="5">
        <v>4.1900000000000004</v>
      </c>
      <c r="G1476" t="s">
        <v>49</v>
      </c>
      <c r="H1476" s="3">
        <v>2</v>
      </c>
      <c r="I1476" s="3">
        <v>41.5</v>
      </c>
      <c r="J1476" s="3">
        <v>22</v>
      </c>
      <c r="K1476" s="3">
        <v>3.3</v>
      </c>
      <c r="L1476">
        <f t="shared" si="240"/>
        <v>1.8259999999999999E-3</v>
      </c>
      <c r="M1476">
        <f t="shared" si="239"/>
        <v>7.2309599999999996</v>
      </c>
      <c r="N1476" s="8">
        <v>3960</v>
      </c>
      <c r="O1476" s="14">
        <f t="shared" si="241"/>
        <v>16592.400000000001</v>
      </c>
      <c r="P1476" s="8">
        <v>15</v>
      </c>
      <c r="Q1476" s="8">
        <f t="shared" si="234"/>
        <v>264</v>
      </c>
      <c r="R1476" s="8">
        <f t="shared" si="235"/>
        <v>1980</v>
      </c>
      <c r="S1476" s="8">
        <f t="shared" si="242"/>
        <v>2244</v>
      </c>
      <c r="T1476" s="18">
        <f t="shared" si="238"/>
        <v>12.281205589767884</v>
      </c>
      <c r="U1476" s="20">
        <f t="shared" si="237"/>
        <v>17138.297309081128</v>
      </c>
      <c r="V1476" s="29" t="s">
        <v>2983</v>
      </c>
    </row>
    <row r="1477" spans="1:22" ht="15" customHeight="1" x14ac:dyDescent="0.25">
      <c r="A1477" t="s">
        <v>141</v>
      </c>
      <c r="B1477" t="s">
        <v>45</v>
      </c>
      <c r="C1477" t="s">
        <v>109</v>
      </c>
      <c r="D1477" t="s">
        <v>110</v>
      </c>
      <c r="E1477" t="s">
        <v>48</v>
      </c>
      <c r="F1477" s="5">
        <v>4.13</v>
      </c>
      <c r="G1477" t="s">
        <v>49</v>
      </c>
      <c r="H1477" s="3">
        <v>2.6</v>
      </c>
      <c r="I1477" s="3">
        <v>40.5</v>
      </c>
      <c r="J1477" s="3">
        <v>25</v>
      </c>
      <c r="K1477" s="3">
        <v>3</v>
      </c>
      <c r="L1477">
        <f t="shared" si="240"/>
        <v>2.6324999999999999E-3</v>
      </c>
      <c r="M1477">
        <f t="shared" si="239"/>
        <v>10.4247</v>
      </c>
      <c r="N1477" s="8">
        <v>3960</v>
      </c>
      <c r="O1477" s="14">
        <f t="shared" si="241"/>
        <v>16354.8</v>
      </c>
      <c r="P1477" s="8">
        <v>15</v>
      </c>
      <c r="Q1477" s="8">
        <f t="shared" si="234"/>
        <v>264</v>
      </c>
      <c r="R1477" s="8">
        <f t="shared" si="235"/>
        <v>1980</v>
      </c>
      <c r="S1477" s="8">
        <f t="shared" si="242"/>
        <v>2244</v>
      </c>
      <c r="T1477" s="18">
        <f t="shared" si="238"/>
        <v>12.105341070582663</v>
      </c>
      <c r="U1477" s="20">
        <f t="shared" si="237"/>
        <v>17150.402650151711</v>
      </c>
      <c r="V1477" s="29" t="s">
        <v>2983</v>
      </c>
    </row>
    <row r="1478" spans="1:22" ht="15" customHeight="1" x14ac:dyDescent="0.25">
      <c r="A1478" t="s">
        <v>141</v>
      </c>
      <c r="B1478" t="s">
        <v>45</v>
      </c>
      <c r="C1478" t="s">
        <v>103</v>
      </c>
      <c r="D1478" t="s">
        <v>104</v>
      </c>
      <c r="E1478" t="s">
        <v>48</v>
      </c>
      <c r="F1478" s="5">
        <v>4.12</v>
      </c>
      <c r="G1478" t="s">
        <v>64</v>
      </c>
      <c r="H1478" s="3">
        <v>2.5</v>
      </c>
      <c r="I1478" s="3">
        <v>41</v>
      </c>
      <c r="J1478" s="3">
        <v>23.5</v>
      </c>
      <c r="K1478" s="3">
        <v>3</v>
      </c>
      <c r="L1478">
        <f t="shared" si="240"/>
        <v>2.4087499999999999E-3</v>
      </c>
      <c r="M1478">
        <f t="shared" si="239"/>
        <v>9.5386499999999987</v>
      </c>
      <c r="N1478" s="8">
        <v>3960</v>
      </c>
      <c r="O1478" s="14">
        <f t="shared" si="241"/>
        <v>16315.2</v>
      </c>
      <c r="P1478" s="8">
        <v>15</v>
      </c>
      <c r="Q1478" s="8">
        <f t="shared" si="234"/>
        <v>264</v>
      </c>
      <c r="R1478" s="8">
        <f t="shared" si="235"/>
        <v>1980</v>
      </c>
      <c r="S1478" s="8">
        <f t="shared" si="242"/>
        <v>2244</v>
      </c>
      <c r="T1478" s="18">
        <f t="shared" si="238"/>
        <v>12.076030317385126</v>
      </c>
      <c r="U1478" s="20">
        <f t="shared" si="237"/>
        <v>17162.478680469096</v>
      </c>
      <c r="V1478" s="29" t="s">
        <v>2983</v>
      </c>
    </row>
    <row r="1479" spans="1:22" ht="15" customHeight="1" x14ac:dyDescent="0.25">
      <c r="A1479" t="s">
        <v>141</v>
      </c>
      <c r="B1479" t="s">
        <v>45</v>
      </c>
      <c r="C1479" t="s">
        <v>50</v>
      </c>
      <c r="D1479" t="s">
        <v>51</v>
      </c>
      <c r="E1479" t="s">
        <v>48</v>
      </c>
      <c r="F1479" s="5">
        <v>3.34</v>
      </c>
      <c r="G1479" t="s">
        <v>49</v>
      </c>
      <c r="H1479" s="3">
        <v>2</v>
      </c>
      <c r="I1479" s="3">
        <v>41.8</v>
      </c>
      <c r="J1479" s="3">
        <v>24.9</v>
      </c>
      <c r="K1479" s="3">
        <v>3.3</v>
      </c>
      <c r="L1479">
        <f t="shared" si="240"/>
        <v>2.0816400000000001E-3</v>
      </c>
      <c r="M1479">
        <f t="shared" si="239"/>
        <v>8.2432943999999999</v>
      </c>
      <c r="N1479" s="8">
        <v>3960</v>
      </c>
      <c r="O1479" s="14">
        <f t="shared" si="241"/>
        <v>13226.4</v>
      </c>
      <c r="P1479" s="8">
        <v>15</v>
      </c>
      <c r="Q1479" s="8">
        <f t="shared" si="234"/>
        <v>264</v>
      </c>
      <c r="R1479" s="8">
        <f t="shared" si="235"/>
        <v>1980</v>
      </c>
      <c r="S1479" s="8">
        <f t="shared" si="242"/>
        <v>2244</v>
      </c>
      <c r="T1479" s="18">
        <f t="shared" si="238"/>
        <v>9.7897915679772627</v>
      </c>
      <c r="U1479" s="20">
        <f t="shared" si="237"/>
        <v>17172.268472037074</v>
      </c>
      <c r="V1479" s="29" t="s">
        <v>2983</v>
      </c>
    </row>
    <row r="1480" spans="1:22" ht="15" customHeight="1" x14ac:dyDescent="0.25">
      <c r="A1480" t="s">
        <v>141</v>
      </c>
      <c r="B1480" t="s">
        <v>126</v>
      </c>
      <c r="C1480" t="s">
        <v>127</v>
      </c>
      <c r="D1480" t="s">
        <v>128</v>
      </c>
      <c r="E1480" t="s">
        <v>480</v>
      </c>
      <c r="F1480" s="5">
        <v>219.9</v>
      </c>
      <c r="G1480" t="s">
        <v>129</v>
      </c>
      <c r="H1480" s="3">
        <v>0.94</v>
      </c>
      <c r="I1480" s="3">
        <v>200</v>
      </c>
      <c r="J1480" s="3">
        <v>152</v>
      </c>
      <c r="K1480" s="3">
        <v>18</v>
      </c>
      <c r="L1480">
        <f t="shared" si="240"/>
        <v>2.8576000000000001E-2</v>
      </c>
      <c r="M1480">
        <f t="shared" si="239"/>
        <v>1.7145600000000001</v>
      </c>
      <c r="N1480" s="8">
        <v>60</v>
      </c>
      <c r="O1480" s="14">
        <f t="shared" si="241"/>
        <v>13194</v>
      </c>
      <c r="P1480" s="8">
        <v>30</v>
      </c>
      <c r="Q1480" s="8">
        <f t="shared" si="234"/>
        <v>2</v>
      </c>
      <c r="R1480" s="8">
        <f t="shared" si="235"/>
        <v>60</v>
      </c>
      <c r="S1480" s="8">
        <f t="shared" si="242"/>
        <v>62</v>
      </c>
      <c r="T1480" s="18">
        <f t="shared" si="238"/>
        <v>9.7658100426338237</v>
      </c>
      <c r="U1480" s="20">
        <f t="shared" si="237"/>
        <v>17182.034282079709</v>
      </c>
      <c r="V1480" s="29" t="s">
        <v>2983</v>
      </c>
    </row>
    <row r="1481" spans="1:22" ht="15" customHeight="1" x14ac:dyDescent="0.25">
      <c r="A1481" t="s">
        <v>141</v>
      </c>
      <c r="B1481" t="s">
        <v>45</v>
      </c>
      <c r="C1481" t="s">
        <v>89</v>
      </c>
      <c r="D1481" t="s">
        <v>90</v>
      </c>
      <c r="E1481" t="s">
        <v>48</v>
      </c>
      <c r="F1481" s="5">
        <v>5.12</v>
      </c>
      <c r="G1481" t="s">
        <v>49</v>
      </c>
      <c r="H1481" s="3">
        <v>2</v>
      </c>
      <c r="I1481" s="3">
        <v>42.5</v>
      </c>
      <c r="J1481" s="3">
        <v>26</v>
      </c>
      <c r="K1481" s="3">
        <v>3.8</v>
      </c>
      <c r="L1481">
        <f t="shared" si="240"/>
        <v>2.2100000000000002E-3</v>
      </c>
      <c r="M1481">
        <f t="shared" si="239"/>
        <v>5.5250000000000004</v>
      </c>
      <c r="N1481" s="8">
        <v>2500</v>
      </c>
      <c r="O1481" s="14">
        <f t="shared" si="241"/>
        <v>12800</v>
      </c>
      <c r="P1481" s="8">
        <v>15</v>
      </c>
      <c r="Q1481" s="8">
        <f t="shared" si="234"/>
        <v>166.66666666666666</v>
      </c>
      <c r="R1481" s="8">
        <f t="shared" si="235"/>
        <v>1250</v>
      </c>
      <c r="S1481" s="8">
        <f t="shared" si="242"/>
        <v>1416.6666666666667</v>
      </c>
      <c r="T1481" s="18">
        <f t="shared" si="238"/>
        <v>9.4741828517290383</v>
      </c>
      <c r="U1481" s="20">
        <f t="shared" si="237"/>
        <v>17191.508464931438</v>
      </c>
      <c r="V1481" s="29" t="s">
        <v>2983</v>
      </c>
    </row>
    <row r="1482" spans="1:22" ht="15" customHeight="1" x14ac:dyDescent="0.25">
      <c r="A1482" t="s">
        <v>141</v>
      </c>
      <c r="B1482" t="s">
        <v>45</v>
      </c>
      <c r="C1482" t="s">
        <v>65</v>
      </c>
      <c r="D1482" t="s">
        <v>66</v>
      </c>
      <c r="E1482" t="s">
        <v>48</v>
      </c>
      <c r="F1482" s="5">
        <v>4.97</v>
      </c>
      <c r="G1482" t="s">
        <v>64</v>
      </c>
      <c r="H1482" s="3">
        <v>2</v>
      </c>
      <c r="I1482" s="3">
        <v>42</v>
      </c>
      <c r="J1482" s="3">
        <v>23</v>
      </c>
      <c r="K1482" s="3">
        <v>3.7</v>
      </c>
      <c r="L1482">
        <f t="shared" si="240"/>
        <v>1.9319999999999999E-3</v>
      </c>
      <c r="M1482">
        <f t="shared" si="239"/>
        <v>4.83</v>
      </c>
      <c r="N1482" s="8">
        <v>2500</v>
      </c>
      <c r="O1482" s="14">
        <f t="shared" si="241"/>
        <v>12425</v>
      </c>
      <c r="P1482" s="8">
        <v>15</v>
      </c>
      <c r="Q1482" s="8">
        <f t="shared" si="234"/>
        <v>166.66666666666666</v>
      </c>
      <c r="R1482" s="8">
        <f t="shared" si="235"/>
        <v>1250</v>
      </c>
      <c r="S1482" s="8">
        <f t="shared" si="242"/>
        <v>1416.6666666666667</v>
      </c>
      <c r="T1482" s="18">
        <f t="shared" si="238"/>
        <v>9.196618900994789</v>
      </c>
      <c r="U1482" s="20">
        <f t="shared" si="237"/>
        <v>17200.705083832432</v>
      </c>
      <c r="V1482" s="29" t="s">
        <v>2983</v>
      </c>
    </row>
    <row r="1483" spans="1:22" ht="15" customHeight="1" x14ac:dyDescent="0.25">
      <c r="A1483" t="s">
        <v>141</v>
      </c>
      <c r="B1483" t="s">
        <v>45</v>
      </c>
      <c r="C1483" t="s">
        <v>52</v>
      </c>
      <c r="D1483" t="s">
        <v>53</v>
      </c>
      <c r="E1483" t="s">
        <v>48</v>
      </c>
      <c r="F1483" s="5">
        <v>3.12</v>
      </c>
      <c r="G1483" t="s">
        <v>54</v>
      </c>
      <c r="H1483" s="3">
        <v>2</v>
      </c>
      <c r="I1483" s="3">
        <v>40.5</v>
      </c>
      <c r="J1483" s="3">
        <v>20</v>
      </c>
      <c r="K1483" s="3">
        <v>3</v>
      </c>
      <c r="L1483">
        <f t="shared" si="240"/>
        <v>1.6199999999999999E-3</v>
      </c>
      <c r="M1483">
        <f t="shared" si="239"/>
        <v>6.4151999999999996</v>
      </c>
      <c r="N1483" s="8">
        <v>3960</v>
      </c>
      <c r="O1483" s="14">
        <f t="shared" si="241"/>
        <v>12355.2</v>
      </c>
      <c r="P1483" s="8">
        <v>15</v>
      </c>
      <c r="Q1483" s="8">
        <f t="shared" si="234"/>
        <v>264</v>
      </c>
      <c r="R1483" s="8">
        <f t="shared" si="235"/>
        <v>1980</v>
      </c>
      <c r="S1483" s="8">
        <f t="shared" si="242"/>
        <v>2244</v>
      </c>
      <c r="T1483" s="18">
        <f t="shared" si="238"/>
        <v>9.144954997631455</v>
      </c>
      <c r="U1483" s="20">
        <f t="shared" si="237"/>
        <v>17209.850038830064</v>
      </c>
      <c r="V1483" s="29" t="s">
        <v>2983</v>
      </c>
    </row>
    <row r="1484" spans="1:22" ht="15" customHeight="1" x14ac:dyDescent="0.25">
      <c r="A1484" t="s">
        <v>141</v>
      </c>
      <c r="B1484" t="s">
        <v>2597</v>
      </c>
      <c r="C1484" t="s">
        <v>2620</v>
      </c>
      <c r="D1484" t="s">
        <v>2621</v>
      </c>
      <c r="E1484" t="s">
        <v>13</v>
      </c>
      <c r="F1484" s="5">
        <v>305.89999999999998</v>
      </c>
      <c r="G1484" t="s">
        <v>2622</v>
      </c>
      <c r="H1484" s="3">
        <v>210</v>
      </c>
      <c r="I1484" s="3">
        <v>72</v>
      </c>
      <c r="J1484" s="3">
        <v>3.5</v>
      </c>
      <c r="K1484" s="3">
        <v>13</v>
      </c>
      <c r="L1484">
        <f t="shared" si="240"/>
        <v>5.2920000000000002E-2</v>
      </c>
      <c r="M1484">
        <f t="shared" si="239"/>
        <v>2.1168</v>
      </c>
      <c r="N1484" s="8">
        <v>40</v>
      </c>
      <c r="O1484" s="14">
        <f t="shared" si="241"/>
        <v>12236</v>
      </c>
      <c r="P1484" s="8">
        <v>20</v>
      </c>
      <c r="Q1484" s="8">
        <f t="shared" si="234"/>
        <v>2</v>
      </c>
      <c r="R1484" s="8">
        <f t="shared" si="235"/>
        <v>26.666666666666664</v>
      </c>
      <c r="S1484" s="8">
        <f t="shared" si="242"/>
        <v>28.666666666666664</v>
      </c>
      <c r="T1484" s="18">
        <f t="shared" si="238"/>
        <v>9.0567266698247284</v>
      </c>
      <c r="U1484" s="20">
        <f t="shared" si="237"/>
        <v>17218.906765499887</v>
      </c>
      <c r="V1484" s="29" t="s">
        <v>2983</v>
      </c>
    </row>
    <row r="1485" spans="1:22" ht="15" customHeight="1" x14ac:dyDescent="0.25">
      <c r="A1485" t="s">
        <v>141</v>
      </c>
      <c r="B1485" t="s">
        <v>2597</v>
      </c>
      <c r="C1485" t="s">
        <v>2620</v>
      </c>
      <c r="D1485" t="s">
        <v>2621</v>
      </c>
      <c r="E1485" t="s">
        <v>13</v>
      </c>
      <c r="F1485" s="5">
        <v>305.89999999999998</v>
      </c>
      <c r="G1485" t="s">
        <v>2622</v>
      </c>
      <c r="H1485" s="3">
        <v>210</v>
      </c>
      <c r="I1485" s="3">
        <v>72</v>
      </c>
      <c r="J1485" s="3">
        <v>3.5</v>
      </c>
      <c r="K1485" s="3">
        <v>13</v>
      </c>
      <c r="L1485">
        <f t="shared" si="240"/>
        <v>5.2920000000000002E-2</v>
      </c>
      <c r="M1485">
        <f t="shared" si="239"/>
        <v>2.1168</v>
      </c>
      <c r="N1485" s="8">
        <v>40</v>
      </c>
      <c r="O1485" s="14">
        <f t="shared" si="241"/>
        <v>12236</v>
      </c>
      <c r="P1485" s="8">
        <v>20</v>
      </c>
      <c r="Q1485" s="8">
        <f t="shared" si="234"/>
        <v>2</v>
      </c>
      <c r="R1485" s="8">
        <f t="shared" si="235"/>
        <v>26.666666666666664</v>
      </c>
      <c r="S1485" s="8">
        <f t="shared" si="242"/>
        <v>28.666666666666664</v>
      </c>
      <c r="T1485" s="18">
        <f t="shared" si="238"/>
        <v>9.0567266698247284</v>
      </c>
      <c r="U1485" s="20">
        <f t="shared" si="237"/>
        <v>17227.963492169711</v>
      </c>
      <c r="V1485" s="29" t="s">
        <v>2983</v>
      </c>
    </row>
    <row r="1486" spans="1:22" ht="15" customHeight="1" x14ac:dyDescent="0.25">
      <c r="A1486" t="s">
        <v>141</v>
      </c>
      <c r="B1486" t="s">
        <v>45</v>
      </c>
      <c r="C1486" t="s">
        <v>71</v>
      </c>
      <c r="D1486" t="s">
        <v>72</v>
      </c>
      <c r="E1486" t="s">
        <v>48</v>
      </c>
      <c r="F1486" s="5">
        <v>4.87</v>
      </c>
      <c r="G1486" t="s">
        <v>49</v>
      </c>
      <c r="H1486" s="3">
        <v>2</v>
      </c>
      <c r="I1486" s="3">
        <v>42.2</v>
      </c>
      <c r="J1486" s="3">
        <v>25</v>
      </c>
      <c r="K1486" s="3">
        <v>3.8</v>
      </c>
      <c r="L1486">
        <f t="shared" si="240"/>
        <v>2.1099999999999999E-3</v>
      </c>
      <c r="M1486">
        <f t="shared" si="239"/>
        <v>5.2749999999999995</v>
      </c>
      <c r="N1486" s="8">
        <v>2500</v>
      </c>
      <c r="O1486" s="14">
        <f t="shared" si="241"/>
        <v>12175</v>
      </c>
      <c r="P1486" s="8">
        <v>15</v>
      </c>
      <c r="Q1486" s="8">
        <f t="shared" si="234"/>
        <v>166.66666666666666</v>
      </c>
      <c r="R1486" s="8">
        <f t="shared" si="235"/>
        <v>1250</v>
      </c>
      <c r="S1486" s="8">
        <f t="shared" si="242"/>
        <v>1416.6666666666667</v>
      </c>
      <c r="T1486" s="18">
        <f t="shared" si="238"/>
        <v>9.0115762671719573</v>
      </c>
      <c r="U1486" s="20">
        <f t="shared" si="237"/>
        <v>17236.975068436881</v>
      </c>
      <c r="V1486" s="29" t="s">
        <v>2983</v>
      </c>
    </row>
    <row r="1487" spans="1:22" ht="15" customHeight="1" x14ac:dyDescent="0.25">
      <c r="A1487" t="s">
        <v>141</v>
      </c>
      <c r="B1487" t="s">
        <v>45</v>
      </c>
      <c r="C1487" t="s">
        <v>46</v>
      </c>
      <c r="D1487" t="s">
        <v>47</v>
      </c>
      <c r="E1487" t="s">
        <v>48</v>
      </c>
      <c r="F1487" s="5">
        <v>2.98</v>
      </c>
      <c r="G1487" t="s">
        <v>49</v>
      </c>
      <c r="H1487" s="3">
        <v>2</v>
      </c>
      <c r="I1487" s="3">
        <v>41.4</v>
      </c>
      <c r="J1487" s="3">
        <v>24.7</v>
      </c>
      <c r="K1487" s="3">
        <v>3.2</v>
      </c>
      <c r="L1487">
        <f t="shared" si="240"/>
        <v>2.0451599999999999E-3</v>
      </c>
      <c r="M1487">
        <f t="shared" si="239"/>
        <v>8.098833599999999</v>
      </c>
      <c r="N1487" s="8">
        <v>3960</v>
      </c>
      <c r="O1487" s="14">
        <f t="shared" si="241"/>
        <v>11800.8</v>
      </c>
      <c r="P1487" s="8">
        <v>15</v>
      </c>
      <c r="Q1487" s="8">
        <f t="shared" si="234"/>
        <v>264</v>
      </c>
      <c r="R1487" s="8">
        <f t="shared" si="235"/>
        <v>1980</v>
      </c>
      <c r="S1487" s="8">
        <f t="shared" si="242"/>
        <v>2244</v>
      </c>
      <c r="T1487" s="18">
        <f t="shared" si="238"/>
        <v>8.7346044528659395</v>
      </c>
      <c r="U1487" s="20">
        <f t="shared" ref="U1487:U1518" si="243">U1486+T1487</f>
        <v>17245.709672889749</v>
      </c>
      <c r="V1487" s="29" t="s">
        <v>2983</v>
      </c>
    </row>
    <row r="1488" spans="1:22" ht="15" customHeight="1" x14ac:dyDescent="0.25">
      <c r="A1488" t="s">
        <v>141</v>
      </c>
      <c r="B1488" t="s">
        <v>12</v>
      </c>
      <c r="C1488" t="s">
        <v>2649</v>
      </c>
      <c r="D1488" t="s">
        <v>2650</v>
      </c>
      <c r="E1488" t="s">
        <v>13</v>
      </c>
      <c r="F1488" s="5">
        <v>50</v>
      </c>
      <c r="G1488" t="s">
        <v>11</v>
      </c>
      <c r="H1488" s="3">
        <v>0.42</v>
      </c>
      <c r="I1488" s="3">
        <v>300</v>
      </c>
      <c r="J1488" s="3">
        <v>200</v>
      </c>
      <c r="K1488" s="3">
        <v>9</v>
      </c>
      <c r="L1488">
        <f t="shared" si="240"/>
        <v>2.52E-2</v>
      </c>
      <c r="M1488" s="3">
        <f t="shared" si="239"/>
        <v>5.7960000000000003</v>
      </c>
      <c r="N1488" s="8">
        <v>230</v>
      </c>
      <c r="O1488" s="14">
        <f t="shared" si="241"/>
        <v>11500</v>
      </c>
      <c r="P1488" s="8">
        <v>40</v>
      </c>
      <c r="Q1488" s="8">
        <f t="shared" si="234"/>
        <v>5.75</v>
      </c>
      <c r="R1488" s="8">
        <f t="shared" si="235"/>
        <v>306.66666666666669</v>
      </c>
      <c r="S1488" s="8">
        <f t="shared" si="242"/>
        <v>312.41666666666669</v>
      </c>
      <c r="T1488" s="18">
        <f t="shared" si="238"/>
        <v>8.5119611558503081</v>
      </c>
      <c r="U1488" s="20">
        <f t="shared" si="243"/>
        <v>17254.2216340456</v>
      </c>
      <c r="V1488" s="29" t="s">
        <v>2983</v>
      </c>
    </row>
    <row r="1489" spans="1:22" ht="15" customHeight="1" x14ac:dyDescent="0.25">
      <c r="A1489" t="s">
        <v>141</v>
      </c>
      <c r="B1489" t="s">
        <v>12</v>
      </c>
      <c r="C1489" t="s">
        <v>18</v>
      </c>
      <c r="D1489" t="s">
        <v>2655</v>
      </c>
      <c r="E1489" t="s">
        <v>13</v>
      </c>
      <c r="F1489" s="5">
        <v>70.2</v>
      </c>
      <c r="G1489" t="s">
        <v>2012</v>
      </c>
      <c r="H1489" s="3">
        <v>600</v>
      </c>
      <c r="I1489" s="3">
        <v>700</v>
      </c>
      <c r="J1489" s="3">
        <v>2000</v>
      </c>
      <c r="K1489" s="3">
        <v>16</v>
      </c>
      <c r="L1489">
        <f t="shared" si="240"/>
        <v>840</v>
      </c>
      <c r="M1489" s="3">
        <f t="shared" si="239"/>
        <v>134400</v>
      </c>
      <c r="N1489" s="8">
        <v>160</v>
      </c>
      <c r="O1489" s="14">
        <f t="shared" si="241"/>
        <v>11232</v>
      </c>
      <c r="P1489" s="8">
        <v>40</v>
      </c>
      <c r="Q1489" s="8">
        <f t="shared" si="234"/>
        <v>4</v>
      </c>
      <c r="R1489" s="8">
        <f t="shared" si="235"/>
        <v>213.33333333333331</v>
      </c>
      <c r="S1489" s="8">
        <f t="shared" si="242"/>
        <v>217.33333333333331</v>
      </c>
      <c r="T1489" s="18">
        <f t="shared" si="238"/>
        <v>8.3135954523922315</v>
      </c>
      <c r="U1489" s="20">
        <f t="shared" si="243"/>
        <v>17262.535229497993</v>
      </c>
      <c r="V1489" s="29" t="s">
        <v>2983</v>
      </c>
    </row>
    <row r="1490" spans="1:22" ht="15" customHeight="1" x14ac:dyDescent="0.25">
      <c r="A1490" t="s">
        <v>141</v>
      </c>
      <c r="B1490" t="s">
        <v>2597</v>
      </c>
      <c r="C1490" t="s">
        <v>2614</v>
      </c>
      <c r="D1490" t="s">
        <v>2615</v>
      </c>
      <c r="E1490" t="s">
        <v>13</v>
      </c>
      <c r="F1490" s="5">
        <v>133.9</v>
      </c>
      <c r="G1490" t="s">
        <v>2616</v>
      </c>
      <c r="H1490" s="3">
        <v>210</v>
      </c>
      <c r="I1490" s="3">
        <v>80</v>
      </c>
      <c r="J1490" s="3">
        <v>6</v>
      </c>
      <c r="K1490" s="3">
        <v>25.8</v>
      </c>
      <c r="L1490">
        <f t="shared" si="240"/>
        <v>0.1008</v>
      </c>
      <c r="M1490">
        <f t="shared" si="239"/>
        <v>8.0640000000000001</v>
      </c>
      <c r="N1490" s="8">
        <v>80</v>
      </c>
      <c r="O1490" s="14">
        <f t="shared" si="241"/>
        <v>10712</v>
      </c>
      <c r="P1490" s="8">
        <v>20</v>
      </c>
      <c r="Q1490" s="8">
        <f t="shared" si="234"/>
        <v>4</v>
      </c>
      <c r="R1490" s="8">
        <f t="shared" si="235"/>
        <v>53.333333333333329</v>
      </c>
      <c r="S1490" s="8">
        <f t="shared" si="242"/>
        <v>57.333333333333329</v>
      </c>
      <c r="T1490" s="18">
        <f t="shared" si="238"/>
        <v>7.9287067740407391</v>
      </c>
      <c r="U1490" s="20">
        <f t="shared" si="243"/>
        <v>17270.463936272034</v>
      </c>
      <c r="V1490" s="29" t="s">
        <v>2983</v>
      </c>
    </row>
    <row r="1491" spans="1:22" ht="15" customHeight="1" x14ac:dyDescent="0.25">
      <c r="A1491" t="s">
        <v>141</v>
      </c>
      <c r="B1491" t="s">
        <v>2597</v>
      </c>
      <c r="C1491" t="s">
        <v>2614</v>
      </c>
      <c r="D1491" t="s">
        <v>2615</v>
      </c>
      <c r="E1491" t="s">
        <v>13</v>
      </c>
      <c r="F1491" s="5">
        <v>133.9</v>
      </c>
      <c r="G1491" t="s">
        <v>2616</v>
      </c>
      <c r="H1491" s="3">
        <v>210</v>
      </c>
      <c r="I1491" s="3">
        <v>80</v>
      </c>
      <c r="J1491" s="3">
        <v>6</v>
      </c>
      <c r="K1491" s="3">
        <v>25.8</v>
      </c>
      <c r="L1491">
        <f t="shared" si="240"/>
        <v>0.1008</v>
      </c>
      <c r="M1491">
        <f t="shared" si="239"/>
        <v>8.0640000000000001</v>
      </c>
      <c r="N1491" s="8">
        <v>80</v>
      </c>
      <c r="O1491" s="14">
        <f t="shared" si="241"/>
        <v>10712</v>
      </c>
      <c r="P1491" s="8">
        <v>20</v>
      </c>
      <c r="Q1491" s="8">
        <f t="shared" si="234"/>
        <v>4</v>
      </c>
      <c r="R1491" s="8">
        <f t="shared" si="235"/>
        <v>53.333333333333329</v>
      </c>
      <c r="S1491" s="8">
        <f t="shared" si="242"/>
        <v>57.333333333333329</v>
      </c>
      <c r="T1491" s="18">
        <f t="shared" si="238"/>
        <v>7.9287067740407391</v>
      </c>
      <c r="U1491" s="20">
        <f t="shared" si="243"/>
        <v>17278.392643046074</v>
      </c>
      <c r="V1491" s="29" t="s">
        <v>2983</v>
      </c>
    </row>
    <row r="1492" spans="1:22" ht="15" customHeight="1" x14ac:dyDescent="0.25">
      <c r="A1492" t="s">
        <v>141</v>
      </c>
      <c r="B1492" t="s">
        <v>45</v>
      </c>
      <c r="C1492" t="s">
        <v>77</v>
      </c>
      <c r="D1492" t="s">
        <v>78</v>
      </c>
      <c r="E1492" t="s">
        <v>48</v>
      </c>
      <c r="F1492" s="5">
        <v>2.59</v>
      </c>
      <c r="G1492" t="s">
        <v>57</v>
      </c>
      <c r="H1492" s="3">
        <v>2</v>
      </c>
      <c r="I1492" s="3">
        <v>43</v>
      </c>
      <c r="J1492" s="3">
        <v>27.1</v>
      </c>
      <c r="K1492" s="3">
        <v>3.1</v>
      </c>
      <c r="L1492">
        <f t="shared" si="240"/>
        <v>2.3305999999999999E-3</v>
      </c>
      <c r="M1492">
        <f t="shared" si="239"/>
        <v>9.2291759999999989</v>
      </c>
      <c r="N1492" s="8">
        <v>3960</v>
      </c>
      <c r="O1492" s="14">
        <f t="shared" si="241"/>
        <v>10256.4</v>
      </c>
      <c r="P1492" s="8">
        <v>15</v>
      </c>
      <c r="Q1492" s="8">
        <f t="shared" si="234"/>
        <v>264</v>
      </c>
      <c r="R1492" s="8">
        <f t="shared" si="235"/>
        <v>1980</v>
      </c>
      <c r="S1492" s="8">
        <f t="shared" si="242"/>
        <v>2244</v>
      </c>
      <c r="T1492" s="18">
        <f t="shared" si="238"/>
        <v>7.5914850781620089</v>
      </c>
      <c r="U1492" s="20">
        <f t="shared" si="243"/>
        <v>17285.984128124237</v>
      </c>
      <c r="V1492" s="29" t="s">
        <v>2983</v>
      </c>
    </row>
    <row r="1493" spans="1:22" ht="15" customHeight="1" x14ac:dyDescent="0.25">
      <c r="A1493" t="s">
        <v>141</v>
      </c>
      <c r="B1493" t="s">
        <v>45</v>
      </c>
      <c r="C1493" t="s">
        <v>97</v>
      </c>
      <c r="D1493" t="s">
        <v>98</v>
      </c>
      <c r="E1493" t="s">
        <v>48</v>
      </c>
      <c r="F1493" s="5">
        <v>2.59</v>
      </c>
      <c r="G1493" t="s">
        <v>57</v>
      </c>
      <c r="H1493" s="3">
        <v>2</v>
      </c>
      <c r="I1493" s="3">
        <v>41</v>
      </c>
      <c r="J1493" s="3">
        <v>22</v>
      </c>
      <c r="K1493" s="3">
        <v>3</v>
      </c>
      <c r="L1493">
        <f t="shared" si="240"/>
        <v>1.804E-3</v>
      </c>
      <c r="M1493">
        <f t="shared" si="239"/>
        <v>7.14384</v>
      </c>
      <c r="N1493" s="8">
        <v>3960</v>
      </c>
      <c r="O1493" s="14">
        <f t="shared" si="241"/>
        <v>10256.4</v>
      </c>
      <c r="P1493" s="8">
        <v>15</v>
      </c>
      <c r="Q1493" s="8">
        <f t="shared" si="234"/>
        <v>264</v>
      </c>
      <c r="R1493" s="8">
        <f t="shared" si="235"/>
        <v>1980</v>
      </c>
      <c r="S1493" s="8">
        <f t="shared" si="242"/>
        <v>2244</v>
      </c>
      <c r="T1493" s="18">
        <f t="shared" si="238"/>
        <v>7.5914850781620089</v>
      </c>
      <c r="U1493" s="20">
        <f t="shared" si="243"/>
        <v>17293.5756132024</v>
      </c>
      <c r="V1493" s="29" t="s">
        <v>2983</v>
      </c>
    </row>
    <row r="1494" spans="1:22" ht="15" customHeight="1" x14ac:dyDescent="0.25">
      <c r="A1494" t="s">
        <v>141</v>
      </c>
      <c r="B1494" t="s">
        <v>45</v>
      </c>
      <c r="C1494" t="s">
        <v>62</v>
      </c>
      <c r="D1494" t="s">
        <v>63</v>
      </c>
      <c r="E1494" t="s">
        <v>48</v>
      </c>
      <c r="F1494" s="5">
        <v>3.97</v>
      </c>
      <c r="G1494" t="s">
        <v>64</v>
      </c>
      <c r="H1494" s="3">
        <v>2</v>
      </c>
      <c r="I1494" s="3">
        <v>42</v>
      </c>
      <c r="J1494" s="3">
        <v>23</v>
      </c>
      <c r="K1494" s="3">
        <v>3.7</v>
      </c>
      <c r="L1494">
        <f t="shared" si="240"/>
        <v>1.9319999999999999E-3</v>
      </c>
      <c r="M1494">
        <f t="shared" si="239"/>
        <v>4.83</v>
      </c>
      <c r="N1494" s="8">
        <v>2500</v>
      </c>
      <c r="O1494" s="14">
        <f t="shared" si="241"/>
        <v>9925</v>
      </c>
      <c r="P1494" s="8">
        <v>15</v>
      </c>
      <c r="Q1494" s="8">
        <f t="shared" si="234"/>
        <v>166.66666666666666</v>
      </c>
      <c r="R1494" s="8">
        <f t="shared" si="235"/>
        <v>1250</v>
      </c>
      <c r="S1494" s="8">
        <f t="shared" si="242"/>
        <v>1416.6666666666667</v>
      </c>
      <c r="T1494" s="18">
        <f t="shared" si="238"/>
        <v>7.3461925627664613</v>
      </c>
      <c r="U1494" s="20">
        <f t="shared" si="243"/>
        <v>17300.921805765167</v>
      </c>
      <c r="V1494" s="29" t="s">
        <v>2983</v>
      </c>
    </row>
    <row r="1495" spans="1:22" ht="15" customHeight="1" x14ac:dyDescent="0.25">
      <c r="A1495" t="s">
        <v>141</v>
      </c>
      <c r="B1495" t="s">
        <v>45</v>
      </c>
      <c r="C1495" t="s">
        <v>99</v>
      </c>
      <c r="D1495" t="s">
        <v>100</v>
      </c>
      <c r="E1495" t="s">
        <v>48</v>
      </c>
      <c r="F1495" s="5">
        <v>3.95</v>
      </c>
      <c r="G1495" t="s">
        <v>49</v>
      </c>
      <c r="H1495" s="3">
        <v>2.2999999999999998</v>
      </c>
      <c r="I1495" s="3">
        <v>42.2</v>
      </c>
      <c r="J1495" s="3">
        <v>25</v>
      </c>
      <c r="K1495" s="3">
        <v>3.5</v>
      </c>
      <c r="L1495">
        <f t="shared" si="240"/>
        <v>2.4264999999999998E-3</v>
      </c>
      <c r="M1495">
        <f t="shared" si="239"/>
        <v>6.0662499999999993</v>
      </c>
      <c r="N1495" s="8">
        <v>2500</v>
      </c>
      <c r="O1495" s="14">
        <f t="shared" si="241"/>
        <v>9875</v>
      </c>
      <c r="P1495" s="8">
        <v>15</v>
      </c>
      <c r="Q1495" s="8">
        <f t="shared" si="234"/>
        <v>166.66666666666666</v>
      </c>
      <c r="R1495" s="8">
        <f t="shared" si="235"/>
        <v>1250</v>
      </c>
      <c r="S1495" s="8">
        <f t="shared" si="242"/>
        <v>1416.6666666666667</v>
      </c>
      <c r="T1495" s="18">
        <f t="shared" si="238"/>
        <v>7.3091840360018949</v>
      </c>
      <c r="U1495" s="20">
        <f t="shared" si="243"/>
        <v>17308.23098980117</v>
      </c>
      <c r="V1495" s="29" t="s">
        <v>2983</v>
      </c>
    </row>
    <row r="1496" spans="1:22" ht="15" customHeight="1" x14ac:dyDescent="0.25">
      <c r="A1496" t="s">
        <v>141</v>
      </c>
      <c r="B1496" t="s">
        <v>45</v>
      </c>
      <c r="C1496" t="s">
        <v>91</v>
      </c>
      <c r="D1496" t="s">
        <v>92</v>
      </c>
      <c r="E1496" t="s">
        <v>48</v>
      </c>
      <c r="F1496" s="5">
        <v>3.86</v>
      </c>
      <c r="G1496" t="s">
        <v>49</v>
      </c>
      <c r="H1496" s="3">
        <v>3</v>
      </c>
      <c r="I1496" s="3">
        <v>41</v>
      </c>
      <c r="J1496" s="3">
        <v>13</v>
      </c>
      <c r="K1496" s="3">
        <v>3.5</v>
      </c>
      <c r="L1496">
        <f t="shared" si="240"/>
        <v>1.5989999999999999E-3</v>
      </c>
      <c r="M1496">
        <f t="shared" si="239"/>
        <v>3.9975000000000001</v>
      </c>
      <c r="N1496" s="8">
        <v>2500</v>
      </c>
      <c r="O1496" s="14">
        <f t="shared" si="241"/>
        <v>9650</v>
      </c>
      <c r="P1496" s="8">
        <v>15</v>
      </c>
      <c r="Q1496" s="8">
        <f t="shared" si="234"/>
        <v>166.66666666666666</v>
      </c>
      <c r="R1496" s="8">
        <f t="shared" si="235"/>
        <v>1250</v>
      </c>
      <c r="S1496" s="8">
        <f t="shared" si="242"/>
        <v>1416.6666666666667</v>
      </c>
      <c r="T1496" s="18">
        <f t="shared" si="238"/>
        <v>7.1426456655613455</v>
      </c>
      <c r="U1496" s="20">
        <f t="shared" si="243"/>
        <v>17315.373635466731</v>
      </c>
      <c r="V1496" s="29" t="s">
        <v>2983</v>
      </c>
    </row>
    <row r="1497" spans="1:22" ht="15" customHeight="1" x14ac:dyDescent="0.25">
      <c r="A1497" t="s">
        <v>141</v>
      </c>
      <c r="B1497" t="s">
        <v>45</v>
      </c>
      <c r="C1497" t="s">
        <v>93</v>
      </c>
      <c r="D1497" t="s">
        <v>94</v>
      </c>
      <c r="E1497" t="s">
        <v>48</v>
      </c>
      <c r="F1497" s="5">
        <v>3.86</v>
      </c>
      <c r="G1497" t="s">
        <v>49</v>
      </c>
      <c r="H1497" s="3">
        <v>3</v>
      </c>
      <c r="I1497" s="3">
        <v>41</v>
      </c>
      <c r="J1497" s="3">
        <v>13</v>
      </c>
      <c r="K1497" s="3">
        <v>3.5</v>
      </c>
      <c r="L1497">
        <f t="shared" si="240"/>
        <v>1.5989999999999999E-3</v>
      </c>
      <c r="M1497">
        <f t="shared" si="239"/>
        <v>3.9975000000000001</v>
      </c>
      <c r="N1497" s="8">
        <v>2500</v>
      </c>
      <c r="O1497" s="14">
        <f t="shared" si="241"/>
        <v>9650</v>
      </c>
      <c r="P1497" s="8">
        <v>15</v>
      </c>
      <c r="Q1497" s="8">
        <f t="shared" si="234"/>
        <v>166.66666666666666</v>
      </c>
      <c r="R1497" s="8">
        <f t="shared" si="235"/>
        <v>1250</v>
      </c>
      <c r="S1497" s="8">
        <f t="shared" si="242"/>
        <v>1416.6666666666667</v>
      </c>
      <c r="T1497" s="18">
        <f t="shared" si="238"/>
        <v>7.1426456655613455</v>
      </c>
      <c r="U1497" s="20">
        <f t="shared" si="243"/>
        <v>17322.516281132292</v>
      </c>
      <c r="V1497" s="29" t="s">
        <v>2983</v>
      </c>
    </row>
    <row r="1498" spans="1:22" ht="15" customHeight="1" x14ac:dyDescent="0.25">
      <c r="A1498" t="s">
        <v>141</v>
      </c>
      <c r="B1498" t="s">
        <v>45</v>
      </c>
      <c r="C1498" t="s">
        <v>75</v>
      </c>
      <c r="D1498" t="s">
        <v>76</v>
      </c>
      <c r="E1498" t="s">
        <v>48</v>
      </c>
      <c r="F1498" s="5">
        <v>3.74</v>
      </c>
      <c r="G1498" t="s">
        <v>54</v>
      </c>
      <c r="H1498" s="3">
        <v>2</v>
      </c>
      <c r="I1498" s="3">
        <v>42.2</v>
      </c>
      <c r="J1498" s="3">
        <v>25</v>
      </c>
      <c r="K1498" s="3">
        <v>3.8</v>
      </c>
      <c r="L1498">
        <f t="shared" si="240"/>
        <v>2.1099999999999999E-3</v>
      </c>
      <c r="M1498">
        <f t="shared" si="239"/>
        <v>5.2749999999999995</v>
      </c>
      <c r="N1498" s="8">
        <v>2500</v>
      </c>
      <c r="O1498" s="14">
        <f t="shared" si="241"/>
        <v>9350</v>
      </c>
      <c r="P1498" s="8">
        <v>15</v>
      </c>
      <c r="Q1498" s="8">
        <f t="shared" si="234"/>
        <v>166.66666666666666</v>
      </c>
      <c r="R1498" s="8">
        <f t="shared" si="235"/>
        <v>1250</v>
      </c>
      <c r="S1498" s="8">
        <f t="shared" si="242"/>
        <v>1416.6666666666667</v>
      </c>
      <c r="T1498" s="18">
        <f t="shared" si="238"/>
        <v>6.9205945049739466</v>
      </c>
      <c r="U1498" s="20">
        <f t="shared" si="243"/>
        <v>17329.436875637264</v>
      </c>
      <c r="V1498" s="29" t="s">
        <v>2983</v>
      </c>
    </row>
    <row r="1499" spans="1:22" ht="15" customHeight="1" x14ac:dyDescent="0.25">
      <c r="A1499" t="s">
        <v>141</v>
      </c>
      <c r="B1499" t="s">
        <v>45</v>
      </c>
      <c r="C1499" t="s">
        <v>67</v>
      </c>
      <c r="D1499" t="s">
        <v>68</v>
      </c>
      <c r="E1499" t="s">
        <v>48</v>
      </c>
      <c r="F1499" s="5">
        <v>3.69</v>
      </c>
      <c r="G1499" t="s">
        <v>64</v>
      </c>
      <c r="H1499" s="3">
        <v>2</v>
      </c>
      <c r="I1499" s="3">
        <v>42</v>
      </c>
      <c r="J1499" s="3">
        <v>23</v>
      </c>
      <c r="K1499" s="3">
        <v>3.7</v>
      </c>
      <c r="L1499">
        <f t="shared" si="240"/>
        <v>1.9319999999999999E-3</v>
      </c>
      <c r="M1499">
        <f t="shared" si="239"/>
        <v>4.83</v>
      </c>
      <c r="N1499" s="8">
        <v>2500</v>
      </c>
      <c r="O1499" s="14">
        <f t="shared" si="241"/>
        <v>9225</v>
      </c>
      <c r="P1499" s="8">
        <v>15</v>
      </c>
      <c r="Q1499" s="8">
        <f t="shared" si="234"/>
        <v>166.66666666666666</v>
      </c>
      <c r="R1499" s="8">
        <f t="shared" si="235"/>
        <v>1250</v>
      </c>
      <c r="S1499" s="8">
        <f t="shared" si="242"/>
        <v>1416.6666666666667</v>
      </c>
      <c r="T1499" s="18">
        <f t="shared" si="238"/>
        <v>6.8280731880625298</v>
      </c>
      <c r="U1499" s="20">
        <f t="shared" si="243"/>
        <v>17336.264948825326</v>
      </c>
      <c r="V1499" s="29" t="s">
        <v>2983</v>
      </c>
    </row>
    <row r="1500" spans="1:22" ht="15" customHeight="1" x14ac:dyDescent="0.25">
      <c r="A1500" t="s">
        <v>141</v>
      </c>
      <c r="B1500" t="s">
        <v>12</v>
      </c>
      <c r="C1500" t="s">
        <v>17</v>
      </c>
      <c r="D1500" t="s">
        <v>2654</v>
      </c>
      <c r="E1500" t="s">
        <v>13</v>
      </c>
      <c r="F1500" s="5">
        <v>49.8</v>
      </c>
      <c r="G1500" t="s">
        <v>2012</v>
      </c>
      <c r="H1500" s="3">
        <v>600</v>
      </c>
      <c r="I1500" s="3">
        <v>700</v>
      </c>
      <c r="J1500" s="3">
        <v>2000</v>
      </c>
      <c r="K1500" s="3">
        <v>13</v>
      </c>
      <c r="L1500">
        <f t="shared" si="240"/>
        <v>840</v>
      </c>
      <c r="M1500" s="3">
        <f t="shared" si="239"/>
        <v>142800</v>
      </c>
      <c r="N1500" s="8">
        <v>170</v>
      </c>
      <c r="O1500" s="14">
        <f t="shared" si="241"/>
        <v>8466</v>
      </c>
      <c r="P1500" s="8">
        <v>40</v>
      </c>
      <c r="Q1500" s="8">
        <f t="shared" si="234"/>
        <v>4.25</v>
      </c>
      <c r="R1500" s="8">
        <f t="shared" si="235"/>
        <v>226.66666666666669</v>
      </c>
      <c r="S1500" s="8">
        <f t="shared" si="242"/>
        <v>230.91666666666669</v>
      </c>
      <c r="T1500" s="18">
        <f t="shared" si="238"/>
        <v>6.2662837517764096</v>
      </c>
      <c r="U1500" s="20">
        <f t="shared" si="243"/>
        <v>17342.531232577101</v>
      </c>
      <c r="V1500" s="29" t="s">
        <v>2983</v>
      </c>
    </row>
    <row r="1501" spans="1:22" ht="15" customHeight="1" x14ac:dyDescent="0.25">
      <c r="A1501" t="s">
        <v>141</v>
      </c>
      <c r="B1501" t="s">
        <v>45</v>
      </c>
      <c r="C1501" t="s">
        <v>58</v>
      </c>
      <c r="D1501" t="s">
        <v>59</v>
      </c>
      <c r="E1501" t="s">
        <v>48</v>
      </c>
      <c r="F1501" s="5">
        <v>3.17</v>
      </c>
      <c r="G1501" t="s">
        <v>49</v>
      </c>
      <c r="H1501" s="3">
        <v>2</v>
      </c>
      <c r="I1501" s="3">
        <v>42</v>
      </c>
      <c r="J1501" s="3">
        <v>23</v>
      </c>
      <c r="K1501" s="3">
        <v>3.7</v>
      </c>
      <c r="L1501">
        <f t="shared" si="240"/>
        <v>1.9319999999999999E-3</v>
      </c>
      <c r="M1501">
        <f t="shared" si="239"/>
        <v>4.83</v>
      </c>
      <c r="N1501" s="8">
        <v>2500</v>
      </c>
      <c r="O1501" s="14">
        <f t="shared" si="241"/>
        <v>7925</v>
      </c>
      <c r="P1501" s="8">
        <v>15</v>
      </c>
      <c r="Q1501" s="8">
        <f t="shared" si="234"/>
        <v>166.66666666666666</v>
      </c>
      <c r="R1501" s="8">
        <f t="shared" si="235"/>
        <v>1250</v>
      </c>
      <c r="S1501" s="8">
        <f t="shared" si="242"/>
        <v>1416.6666666666667</v>
      </c>
      <c r="T1501" s="18">
        <f t="shared" si="238"/>
        <v>5.8658514921837996</v>
      </c>
      <c r="U1501" s="20">
        <f t="shared" si="243"/>
        <v>17348.397084069285</v>
      </c>
      <c r="V1501" s="29" t="s">
        <v>2983</v>
      </c>
    </row>
    <row r="1502" spans="1:22" ht="15" customHeight="1" x14ac:dyDescent="0.25">
      <c r="A1502" t="s">
        <v>141</v>
      </c>
      <c r="B1502" t="s">
        <v>2576</v>
      </c>
      <c r="C1502" t="s">
        <v>2589</v>
      </c>
      <c r="D1502" t="s">
        <v>2590</v>
      </c>
      <c r="E1502" t="s">
        <v>234</v>
      </c>
      <c r="F1502" s="5">
        <v>3995</v>
      </c>
      <c r="G1502" t="s">
        <v>683</v>
      </c>
      <c r="H1502" s="3">
        <v>175</v>
      </c>
      <c r="I1502" s="3">
        <v>60</v>
      </c>
      <c r="J1502" s="3">
        <v>28</v>
      </c>
      <c r="K1502" s="3">
        <v>27.5</v>
      </c>
      <c r="L1502">
        <f t="shared" si="240"/>
        <v>0.29399999999999998</v>
      </c>
      <c r="M1502">
        <v>6.5</v>
      </c>
      <c r="N1502" s="8">
        <f>M1502*L1502</f>
        <v>1.9109999999999998</v>
      </c>
      <c r="O1502" s="14">
        <f t="shared" si="241"/>
        <v>7634.4449999999988</v>
      </c>
      <c r="P1502" s="8">
        <v>25</v>
      </c>
      <c r="Q1502" s="8">
        <f t="shared" si="234"/>
        <v>7.6439999999999994E-2</v>
      </c>
      <c r="R1502" s="8">
        <f t="shared" si="235"/>
        <v>1.5924999999999998</v>
      </c>
      <c r="S1502" s="8">
        <f t="shared" si="242"/>
        <v>1.6689399999999999</v>
      </c>
      <c r="T1502" s="18">
        <f t="shared" si="238"/>
        <v>5.6507912423022253</v>
      </c>
      <c r="U1502" s="20">
        <f t="shared" si="243"/>
        <v>17354.047875311589</v>
      </c>
      <c r="V1502" s="29" t="s">
        <v>2983</v>
      </c>
    </row>
    <row r="1503" spans="1:22" ht="15" customHeight="1" x14ac:dyDescent="0.25">
      <c r="A1503" t="s">
        <v>141</v>
      </c>
      <c r="B1503" t="s">
        <v>2576</v>
      </c>
      <c r="C1503" t="s">
        <v>2589</v>
      </c>
      <c r="D1503" t="s">
        <v>2590</v>
      </c>
      <c r="E1503" t="s">
        <v>234</v>
      </c>
      <c r="F1503" s="5">
        <v>3995</v>
      </c>
      <c r="G1503" t="s">
        <v>683</v>
      </c>
      <c r="H1503" s="3">
        <v>175</v>
      </c>
      <c r="I1503" s="3">
        <v>60</v>
      </c>
      <c r="J1503" s="3">
        <v>28</v>
      </c>
      <c r="K1503" s="3">
        <v>27.5</v>
      </c>
      <c r="L1503">
        <f t="shared" si="240"/>
        <v>0.29399999999999998</v>
      </c>
      <c r="M1503">
        <v>6.5</v>
      </c>
      <c r="N1503" s="8">
        <f>M1503*L1503</f>
        <v>1.9109999999999998</v>
      </c>
      <c r="O1503" s="14">
        <f t="shared" si="241"/>
        <v>7634.4449999999988</v>
      </c>
      <c r="P1503" s="8">
        <v>25</v>
      </c>
      <c r="Q1503" s="8">
        <f t="shared" ref="Q1503:Q1566" si="244">N1503/P1503</f>
        <v>7.6439999999999994E-2</v>
      </c>
      <c r="R1503" s="8">
        <f t="shared" ref="R1503:R1566" si="245">(N1503/30)*P1503</f>
        <v>1.5924999999999998</v>
      </c>
      <c r="S1503" s="8">
        <f t="shared" si="242"/>
        <v>1.6689399999999999</v>
      </c>
      <c r="T1503" s="18">
        <f t="shared" si="238"/>
        <v>5.6507912423022253</v>
      </c>
      <c r="U1503" s="20">
        <f t="shared" si="243"/>
        <v>17359.698666553893</v>
      </c>
      <c r="V1503" s="29" t="s">
        <v>2983</v>
      </c>
    </row>
    <row r="1504" spans="1:22" ht="15" customHeight="1" x14ac:dyDescent="0.25">
      <c r="A1504" t="s">
        <v>141</v>
      </c>
      <c r="B1504" t="s">
        <v>2597</v>
      </c>
      <c r="C1504" t="s">
        <v>2608</v>
      </c>
      <c r="D1504" t="s">
        <v>2609</v>
      </c>
      <c r="E1504" t="s">
        <v>13</v>
      </c>
      <c r="F1504" s="5">
        <v>189.9</v>
      </c>
      <c r="G1504" t="s">
        <v>2610</v>
      </c>
      <c r="H1504" s="3">
        <v>120</v>
      </c>
      <c r="I1504" s="3">
        <v>120</v>
      </c>
      <c r="J1504" s="3">
        <v>6</v>
      </c>
      <c r="K1504" s="3">
        <v>12.1</v>
      </c>
      <c r="L1504">
        <f t="shared" si="240"/>
        <v>8.6400000000000005E-2</v>
      </c>
      <c r="M1504">
        <f t="shared" ref="M1504:M1515" si="246">L1504*N1504</f>
        <v>3.4560000000000004</v>
      </c>
      <c r="N1504" s="8">
        <v>40</v>
      </c>
      <c r="O1504" s="14">
        <f t="shared" si="241"/>
        <v>7596</v>
      </c>
      <c r="P1504" s="8">
        <v>20</v>
      </c>
      <c r="Q1504" s="8">
        <f t="shared" si="244"/>
        <v>2</v>
      </c>
      <c r="R1504" s="8">
        <f t="shared" si="245"/>
        <v>26.666666666666664</v>
      </c>
      <c r="S1504" s="8">
        <f t="shared" si="242"/>
        <v>28.666666666666664</v>
      </c>
      <c r="T1504" s="18">
        <f t="shared" si="238"/>
        <v>5.622335386072951</v>
      </c>
      <c r="U1504" s="20">
        <f t="shared" si="243"/>
        <v>17365.321001939967</v>
      </c>
      <c r="V1504" s="29" t="s">
        <v>2983</v>
      </c>
    </row>
    <row r="1505" spans="1:22" ht="15" customHeight="1" x14ac:dyDescent="0.25">
      <c r="A1505" t="s">
        <v>141</v>
      </c>
      <c r="B1505" t="s">
        <v>2597</v>
      </c>
      <c r="C1505" t="s">
        <v>2608</v>
      </c>
      <c r="D1505" t="s">
        <v>2609</v>
      </c>
      <c r="E1505" t="s">
        <v>13</v>
      </c>
      <c r="F1505" s="5">
        <v>189.9</v>
      </c>
      <c r="G1505" t="s">
        <v>2610</v>
      </c>
      <c r="H1505" s="3">
        <v>120</v>
      </c>
      <c r="I1505" s="3">
        <v>120</v>
      </c>
      <c r="J1505" s="3">
        <v>6</v>
      </c>
      <c r="K1505" s="3">
        <v>12.1</v>
      </c>
      <c r="L1505">
        <f t="shared" si="240"/>
        <v>8.6400000000000005E-2</v>
      </c>
      <c r="M1505">
        <f t="shared" si="246"/>
        <v>3.4560000000000004</v>
      </c>
      <c r="N1505" s="8">
        <v>40</v>
      </c>
      <c r="O1505" s="14">
        <f t="shared" si="241"/>
        <v>7596</v>
      </c>
      <c r="P1505" s="8">
        <v>20</v>
      </c>
      <c r="Q1505" s="8">
        <f t="shared" si="244"/>
        <v>2</v>
      </c>
      <c r="R1505" s="8">
        <f t="shared" si="245"/>
        <v>26.666666666666664</v>
      </c>
      <c r="S1505" s="8">
        <f t="shared" si="242"/>
        <v>28.666666666666664</v>
      </c>
      <c r="T1505" s="18">
        <f t="shared" si="238"/>
        <v>5.622335386072951</v>
      </c>
      <c r="U1505" s="20">
        <f t="shared" si="243"/>
        <v>17370.94333732604</v>
      </c>
      <c r="V1505" s="29" t="s">
        <v>2983</v>
      </c>
    </row>
    <row r="1506" spans="1:22" ht="15" customHeight="1" x14ac:dyDescent="0.25">
      <c r="A1506" t="s">
        <v>141</v>
      </c>
      <c r="B1506" t="s">
        <v>126</v>
      </c>
      <c r="C1506" t="s">
        <v>138</v>
      </c>
      <c r="D1506" t="s">
        <v>139</v>
      </c>
      <c r="E1506" t="s">
        <v>480</v>
      </c>
      <c r="F1506" s="5">
        <v>129</v>
      </c>
      <c r="G1506" t="s">
        <v>140</v>
      </c>
      <c r="H1506" s="3">
        <v>33.5</v>
      </c>
      <c r="I1506" s="3">
        <v>11.8</v>
      </c>
      <c r="J1506" s="3">
        <v>15.8</v>
      </c>
      <c r="K1506" s="3">
        <v>17</v>
      </c>
      <c r="L1506">
        <f t="shared" si="240"/>
        <v>6.2457400000000005E-3</v>
      </c>
      <c r="M1506">
        <f t="shared" si="246"/>
        <v>0.36225292000000003</v>
      </c>
      <c r="N1506" s="8">
        <v>58</v>
      </c>
      <c r="O1506" s="14">
        <f t="shared" si="241"/>
        <v>7482</v>
      </c>
      <c r="P1506" s="8">
        <v>30</v>
      </c>
      <c r="Q1506" s="8">
        <f t="shared" si="244"/>
        <v>1.9333333333333333</v>
      </c>
      <c r="R1506" s="8">
        <f t="shared" si="245"/>
        <v>58</v>
      </c>
      <c r="S1506" s="8">
        <f t="shared" si="242"/>
        <v>59.93333333333333</v>
      </c>
      <c r="T1506" s="18">
        <f t="shared" si="238"/>
        <v>5.53795594504974</v>
      </c>
      <c r="U1506" s="20">
        <f t="shared" si="243"/>
        <v>17376.481293271088</v>
      </c>
      <c r="V1506" s="29" t="s">
        <v>2983</v>
      </c>
    </row>
    <row r="1507" spans="1:22" ht="15" customHeight="1" x14ac:dyDescent="0.25">
      <c r="A1507" t="s">
        <v>141</v>
      </c>
      <c r="B1507" t="s">
        <v>45</v>
      </c>
      <c r="C1507" t="s">
        <v>95</v>
      </c>
      <c r="D1507" t="s">
        <v>96</v>
      </c>
      <c r="E1507" t="s">
        <v>48</v>
      </c>
      <c r="F1507" s="5">
        <v>2.75</v>
      </c>
      <c r="G1507" t="s">
        <v>54</v>
      </c>
      <c r="H1507" s="3">
        <v>3</v>
      </c>
      <c r="I1507" s="3">
        <v>39.799999999999997</v>
      </c>
      <c r="J1507" s="3">
        <v>13.5</v>
      </c>
      <c r="K1507" s="3">
        <v>3.3</v>
      </c>
      <c r="L1507">
        <f t="shared" si="240"/>
        <v>1.6118999999999999E-3</v>
      </c>
      <c r="M1507">
        <f t="shared" si="246"/>
        <v>4.0297499999999999</v>
      </c>
      <c r="N1507" s="8">
        <v>2500</v>
      </c>
      <c r="O1507" s="14">
        <f t="shared" si="241"/>
        <v>6875</v>
      </c>
      <c r="P1507" s="8">
        <v>15</v>
      </c>
      <c r="Q1507" s="8">
        <f t="shared" si="244"/>
        <v>166.66666666666666</v>
      </c>
      <c r="R1507" s="8">
        <f t="shared" si="245"/>
        <v>1250</v>
      </c>
      <c r="S1507" s="8">
        <f t="shared" si="242"/>
        <v>1416.6666666666667</v>
      </c>
      <c r="T1507" s="18">
        <f t="shared" si="238"/>
        <v>5.088672430127902</v>
      </c>
      <c r="U1507" s="20">
        <f t="shared" si="243"/>
        <v>17381.569965701216</v>
      </c>
      <c r="V1507" s="29" t="s">
        <v>2983</v>
      </c>
    </row>
    <row r="1508" spans="1:22" ht="15" customHeight="1" x14ac:dyDescent="0.25">
      <c r="A1508" t="s">
        <v>141</v>
      </c>
      <c r="B1508" t="s">
        <v>45</v>
      </c>
      <c r="C1508" t="s">
        <v>69</v>
      </c>
      <c r="D1508" t="s">
        <v>70</v>
      </c>
      <c r="E1508" t="s">
        <v>48</v>
      </c>
      <c r="F1508" s="5">
        <v>2.4900000000000002</v>
      </c>
      <c r="G1508" t="s">
        <v>49</v>
      </c>
      <c r="H1508" s="3">
        <v>2</v>
      </c>
      <c r="I1508" s="3">
        <v>41.4</v>
      </c>
      <c r="J1508" s="3">
        <v>24.7</v>
      </c>
      <c r="K1508" s="3">
        <v>3.5</v>
      </c>
      <c r="L1508">
        <f t="shared" si="240"/>
        <v>2.0451599999999999E-3</v>
      </c>
      <c r="M1508">
        <f t="shared" si="246"/>
        <v>5.1128999999999998</v>
      </c>
      <c r="N1508" s="8">
        <v>2500</v>
      </c>
      <c r="O1508" s="14">
        <f t="shared" si="241"/>
        <v>6225.0000000000009</v>
      </c>
      <c r="P1508" s="8">
        <v>15</v>
      </c>
      <c r="Q1508" s="8">
        <f t="shared" si="244"/>
        <v>166.66666666666666</v>
      </c>
      <c r="R1508" s="8">
        <f t="shared" si="245"/>
        <v>1250</v>
      </c>
      <c r="S1508" s="8">
        <f t="shared" si="242"/>
        <v>1416.6666666666667</v>
      </c>
      <c r="T1508" s="18">
        <f t="shared" si="238"/>
        <v>4.607561582188537</v>
      </c>
      <c r="U1508" s="20">
        <f t="shared" si="243"/>
        <v>17386.177527283406</v>
      </c>
      <c r="V1508" s="29" t="s">
        <v>2983</v>
      </c>
    </row>
    <row r="1509" spans="1:22" ht="15" customHeight="1" x14ac:dyDescent="0.25">
      <c r="A1509" t="s">
        <v>141</v>
      </c>
      <c r="B1509" t="s">
        <v>2597</v>
      </c>
      <c r="C1509" t="s">
        <v>2601</v>
      </c>
      <c r="D1509" t="s">
        <v>2602</v>
      </c>
      <c r="E1509" t="s">
        <v>13</v>
      </c>
      <c r="F1509" s="5">
        <v>147.9</v>
      </c>
      <c r="G1509" t="s">
        <v>2603</v>
      </c>
      <c r="H1509" s="3">
        <v>60</v>
      </c>
      <c r="I1509" s="3">
        <v>60</v>
      </c>
      <c r="J1509" s="3">
        <v>14</v>
      </c>
      <c r="K1509" s="3">
        <v>14</v>
      </c>
      <c r="L1509">
        <f t="shared" si="240"/>
        <v>5.04E-2</v>
      </c>
      <c r="M1509">
        <f t="shared" si="246"/>
        <v>2.016</v>
      </c>
      <c r="N1509" s="8">
        <v>40</v>
      </c>
      <c r="O1509" s="14">
        <f t="shared" si="241"/>
        <v>5916</v>
      </c>
      <c r="P1509" s="8">
        <v>20</v>
      </c>
      <c r="Q1509" s="8">
        <f t="shared" si="244"/>
        <v>2</v>
      </c>
      <c r="R1509" s="8">
        <f t="shared" si="245"/>
        <v>26.666666666666664</v>
      </c>
      <c r="S1509" s="8">
        <f t="shared" si="242"/>
        <v>28.666666666666664</v>
      </c>
      <c r="T1509" s="18">
        <f t="shared" si="238"/>
        <v>4.3788488867835147</v>
      </c>
      <c r="U1509" s="20">
        <f t="shared" si="243"/>
        <v>17390.556376170189</v>
      </c>
      <c r="V1509" s="29" t="s">
        <v>2983</v>
      </c>
    </row>
    <row r="1510" spans="1:22" ht="15" customHeight="1" x14ac:dyDescent="0.25">
      <c r="A1510" t="s">
        <v>141</v>
      </c>
      <c r="B1510" t="s">
        <v>2597</v>
      </c>
      <c r="C1510" t="s">
        <v>2601</v>
      </c>
      <c r="D1510" t="s">
        <v>2602</v>
      </c>
      <c r="E1510" t="s">
        <v>13</v>
      </c>
      <c r="F1510" s="5">
        <v>147.9</v>
      </c>
      <c r="G1510" t="s">
        <v>2603</v>
      </c>
      <c r="H1510" s="3">
        <v>60</v>
      </c>
      <c r="I1510" s="3">
        <v>60</v>
      </c>
      <c r="J1510" s="3">
        <v>14</v>
      </c>
      <c r="K1510" s="3">
        <v>14</v>
      </c>
      <c r="L1510">
        <f t="shared" si="240"/>
        <v>5.04E-2</v>
      </c>
      <c r="M1510">
        <f t="shared" si="246"/>
        <v>2.016</v>
      </c>
      <c r="N1510" s="8">
        <v>40</v>
      </c>
      <c r="O1510" s="14">
        <f t="shared" si="241"/>
        <v>5916</v>
      </c>
      <c r="P1510" s="8">
        <v>20</v>
      </c>
      <c r="Q1510" s="8">
        <f t="shared" si="244"/>
        <v>2</v>
      </c>
      <c r="R1510" s="8">
        <f t="shared" si="245"/>
        <v>26.666666666666664</v>
      </c>
      <c r="S1510" s="8">
        <f t="shared" si="242"/>
        <v>28.666666666666664</v>
      </c>
      <c r="T1510" s="18">
        <f t="shared" si="238"/>
        <v>4.3788488867835147</v>
      </c>
      <c r="U1510" s="20">
        <f t="shared" si="243"/>
        <v>17394.935225056972</v>
      </c>
      <c r="V1510" s="29" t="s">
        <v>2983</v>
      </c>
    </row>
    <row r="1511" spans="1:22" ht="15" customHeight="1" x14ac:dyDescent="0.25">
      <c r="A1511" t="s">
        <v>141</v>
      </c>
      <c r="B1511" t="s">
        <v>45</v>
      </c>
      <c r="C1511" t="s">
        <v>55</v>
      </c>
      <c r="D1511" t="s">
        <v>56</v>
      </c>
      <c r="E1511" t="s">
        <v>48</v>
      </c>
      <c r="F1511" s="5">
        <v>2.19</v>
      </c>
      <c r="G1511" t="s">
        <v>57</v>
      </c>
      <c r="H1511" s="3">
        <v>2</v>
      </c>
      <c r="I1511" s="3">
        <v>43</v>
      </c>
      <c r="J1511" s="3">
        <v>22</v>
      </c>
      <c r="K1511" s="3">
        <v>3.9</v>
      </c>
      <c r="L1511">
        <f t="shared" si="240"/>
        <v>1.892E-3</v>
      </c>
      <c r="M1511">
        <f t="shared" si="246"/>
        <v>4.7300000000000004</v>
      </c>
      <c r="N1511" s="8">
        <v>2500</v>
      </c>
      <c r="O1511" s="14">
        <f t="shared" si="241"/>
        <v>5475</v>
      </c>
      <c r="P1511" s="8">
        <v>15</v>
      </c>
      <c r="Q1511" s="8">
        <f t="shared" si="244"/>
        <v>166.66666666666666</v>
      </c>
      <c r="R1511" s="8">
        <f t="shared" si="245"/>
        <v>1250</v>
      </c>
      <c r="S1511" s="8">
        <f t="shared" si="242"/>
        <v>1416.6666666666667</v>
      </c>
      <c r="T1511" s="18">
        <f t="shared" si="238"/>
        <v>4.0524336807200383</v>
      </c>
      <c r="U1511" s="20">
        <f t="shared" si="243"/>
        <v>17398.987658737693</v>
      </c>
      <c r="V1511" s="29" t="s">
        <v>2983</v>
      </c>
    </row>
    <row r="1512" spans="1:22" ht="15" customHeight="1" x14ac:dyDescent="0.25">
      <c r="A1512" t="s">
        <v>141</v>
      </c>
      <c r="B1512" t="s">
        <v>111</v>
      </c>
      <c r="C1512" t="s">
        <v>118</v>
      </c>
      <c r="D1512" t="s">
        <v>119</v>
      </c>
      <c r="E1512" t="s">
        <v>48</v>
      </c>
      <c r="F1512" s="5">
        <v>17.989999999999998</v>
      </c>
      <c r="G1512" t="s">
        <v>114</v>
      </c>
      <c r="H1512" s="3">
        <v>23</v>
      </c>
      <c r="I1512" s="3">
        <v>11.5</v>
      </c>
      <c r="J1512" s="3">
        <v>11.5</v>
      </c>
      <c r="K1512" s="3">
        <v>2.2999999999999998</v>
      </c>
      <c r="L1512">
        <f t="shared" si="240"/>
        <v>3.0417500000000002E-3</v>
      </c>
      <c r="M1512">
        <f t="shared" si="246"/>
        <v>0.91252500000000003</v>
      </c>
      <c r="N1512" s="8">
        <v>300</v>
      </c>
      <c r="O1512" s="14">
        <f t="shared" si="241"/>
        <v>5396.9999999999991</v>
      </c>
      <c r="P1512" s="8">
        <v>15</v>
      </c>
      <c r="Q1512" s="8">
        <f t="shared" si="244"/>
        <v>20</v>
      </c>
      <c r="R1512" s="8">
        <f t="shared" si="245"/>
        <v>150</v>
      </c>
      <c r="S1512" s="8">
        <f t="shared" si="242"/>
        <v>170</v>
      </c>
      <c r="T1512" s="18">
        <f t="shared" si="238"/>
        <v>3.9947003789673134</v>
      </c>
      <c r="U1512" s="20">
        <f t="shared" si="243"/>
        <v>17402.982359116661</v>
      </c>
      <c r="V1512" s="29" t="s">
        <v>2983</v>
      </c>
    </row>
    <row r="1513" spans="1:22" ht="15" customHeight="1" x14ac:dyDescent="0.25">
      <c r="A1513" t="s">
        <v>141</v>
      </c>
      <c r="B1513" t="s">
        <v>111</v>
      </c>
      <c r="C1513" t="s">
        <v>112</v>
      </c>
      <c r="D1513" t="s">
        <v>113</v>
      </c>
      <c r="E1513" t="s">
        <v>48</v>
      </c>
      <c r="F1513" s="5">
        <v>14.99</v>
      </c>
      <c r="G1513" t="s">
        <v>114</v>
      </c>
      <c r="H1513" s="3">
        <v>23</v>
      </c>
      <c r="I1513" s="3">
        <v>11.5</v>
      </c>
      <c r="J1513" s="3">
        <v>11.5</v>
      </c>
      <c r="K1513" s="3">
        <v>2.2999999999999998</v>
      </c>
      <c r="L1513">
        <f t="shared" si="240"/>
        <v>3.0417500000000002E-3</v>
      </c>
      <c r="M1513">
        <f t="shared" si="246"/>
        <v>0.91252500000000003</v>
      </c>
      <c r="N1513" s="8">
        <v>300</v>
      </c>
      <c r="O1513" s="14">
        <f t="shared" si="241"/>
        <v>4497</v>
      </c>
      <c r="P1513" s="8">
        <v>15</v>
      </c>
      <c r="Q1513" s="8">
        <f t="shared" si="244"/>
        <v>20</v>
      </c>
      <c r="R1513" s="8">
        <f t="shared" si="245"/>
        <v>150</v>
      </c>
      <c r="S1513" s="8">
        <f t="shared" si="242"/>
        <v>170</v>
      </c>
      <c r="T1513" s="18">
        <f t="shared" si="238"/>
        <v>3.3285468972051162</v>
      </c>
      <c r="U1513" s="20">
        <f t="shared" si="243"/>
        <v>17406.310906013867</v>
      </c>
      <c r="V1513" s="29" t="s">
        <v>2983</v>
      </c>
    </row>
    <row r="1514" spans="1:22" ht="15" customHeight="1" x14ac:dyDescent="0.25">
      <c r="A1514" t="s">
        <v>141</v>
      </c>
      <c r="B1514" t="s">
        <v>2597</v>
      </c>
      <c r="C1514" t="s">
        <v>2617</v>
      </c>
      <c r="D1514" t="s">
        <v>2618</v>
      </c>
      <c r="E1514" t="s">
        <v>13</v>
      </c>
      <c r="F1514" s="5">
        <v>61.4</v>
      </c>
      <c r="G1514" t="s">
        <v>2619</v>
      </c>
      <c r="H1514" s="3">
        <v>210</v>
      </c>
      <c r="I1514" s="3">
        <v>80</v>
      </c>
      <c r="J1514" s="3">
        <v>5</v>
      </c>
      <c r="K1514" s="3">
        <v>14.7</v>
      </c>
      <c r="L1514">
        <f t="shared" si="240"/>
        <v>8.4000000000000005E-2</v>
      </c>
      <c r="M1514">
        <f t="shared" si="246"/>
        <v>3.3600000000000003</v>
      </c>
      <c r="N1514" s="8">
        <v>40</v>
      </c>
      <c r="O1514" s="14">
        <f t="shared" si="241"/>
        <v>2456</v>
      </c>
      <c r="P1514" s="8">
        <v>20</v>
      </c>
      <c r="Q1514" s="8">
        <f t="shared" si="244"/>
        <v>2</v>
      </c>
      <c r="R1514" s="8">
        <f t="shared" si="245"/>
        <v>26.666666666666664</v>
      </c>
      <c r="S1514" s="8">
        <f t="shared" si="242"/>
        <v>28.666666666666664</v>
      </c>
      <c r="T1514" s="18">
        <f t="shared" si="238"/>
        <v>1.8178588346755093</v>
      </c>
      <c r="U1514" s="20">
        <f t="shared" si="243"/>
        <v>17408.128764848541</v>
      </c>
      <c r="V1514" s="29" t="s">
        <v>2983</v>
      </c>
    </row>
    <row r="1515" spans="1:22" ht="15" customHeight="1" x14ac:dyDescent="0.25">
      <c r="A1515" t="s">
        <v>141</v>
      </c>
      <c r="B1515" t="s">
        <v>2597</v>
      </c>
      <c r="C1515" t="s">
        <v>2617</v>
      </c>
      <c r="D1515" t="s">
        <v>2618</v>
      </c>
      <c r="E1515" t="s">
        <v>13</v>
      </c>
      <c r="F1515" s="5">
        <v>61.4</v>
      </c>
      <c r="G1515" t="s">
        <v>2619</v>
      </c>
      <c r="H1515" s="3">
        <v>210</v>
      </c>
      <c r="I1515" s="3">
        <v>80</v>
      </c>
      <c r="J1515" s="3">
        <v>5</v>
      </c>
      <c r="K1515" s="3">
        <v>14.7</v>
      </c>
      <c r="L1515">
        <f t="shared" si="240"/>
        <v>8.4000000000000005E-2</v>
      </c>
      <c r="M1515">
        <f t="shared" si="246"/>
        <v>3.3600000000000003</v>
      </c>
      <c r="N1515" s="8">
        <v>40</v>
      </c>
      <c r="O1515" s="14">
        <f t="shared" si="241"/>
        <v>2456</v>
      </c>
      <c r="P1515" s="8">
        <v>20</v>
      </c>
      <c r="Q1515" s="8">
        <f t="shared" si="244"/>
        <v>2</v>
      </c>
      <c r="R1515" s="8">
        <f t="shared" si="245"/>
        <v>26.666666666666664</v>
      </c>
      <c r="S1515" s="8">
        <f t="shared" si="242"/>
        <v>28.666666666666664</v>
      </c>
      <c r="T1515" s="18">
        <f t="shared" si="238"/>
        <v>1.8178588346755093</v>
      </c>
      <c r="U1515" s="20">
        <f t="shared" si="243"/>
        <v>17409.946623683216</v>
      </c>
      <c r="V1515" s="29" t="s">
        <v>2983</v>
      </c>
    </row>
    <row r="1516" spans="1:22" ht="15" customHeight="1" x14ac:dyDescent="0.25">
      <c r="A1516" t="s">
        <v>141</v>
      </c>
      <c r="B1516" t="s">
        <v>2576</v>
      </c>
      <c r="C1516" t="s">
        <v>2584</v>
      </c>
      <c r="D1516" t="s">
        <v>2587</v>
      </c>
      <c r="E1516" t="s">
        <v>234</v>
      </c>
      <c r="F1516" s="5">
        <v>962.5</v>
      </c>
      <c r="G1516" t="s">
        <v>2588</v>
      </c>
      <c r="H1516" s="3">
        <v>100</v>
      </c>
      <c r="I1516" s="3">
        <v>125</v>
      </c>
      <c r="J1516" s="3">
        <v>26</v>
      </c>
      <c r="K1516" s="3">
        <v>5</v>
      </c>
      <c r="L1516">
        <f t="shared" si="240"/>
        <v>0.32500000000000001</v>
      </c>
      <c r="M1516">
        <v>6.5</v>
      </c>
      <c r="N1516" s="8">
        <f>M1516*L1516</f>
        <v>2.1125000000000003</v>
      </c>
      <c r="O1516" s="14">
        <f t="shared" si="241"/>
        <v>2033.2812500000002</v>
      </c>
      <c r="P1516" s="8">
        <v>25</v>
      </c>
      <c r="Q1516" s="8">
        <f t="shared" si="244"/>
        <v>8.4500000000000006E-2</v>
      </c>
      <c r="R1516" s="8">
        <f t="shared" si="245"/>
        <v>1.7604166666666667</v>
      </c>
      <c r="S1516" s="8">
        <f t="shared" si="242"/>
        <v>1.8449166666666668</v>
      </c>
      <c r="T1516" s="18">
        <f t="shared" si="238"/>
        <v>1.504974871210327</v>
      </c>
      <c r="U1516" s="20">
        <f t="shared" si="243"/>
        <v>17411.451598554428</v>
      </c>
      <c r="V1516" s="29" t="s">
        <v>2983</v>
      </c>
    </row>
    <row r="1517" spans="1:22" ht="15" customHeight="1" x14ac:dyDescent="0.25">
      <c r="A1517" t="s">
        <v>141</v>
      </c>
      <c r="B1517" t="s">
        <v>2576</v>
      </c>
      <c r="C1517" t="s">
        <v>2584</v>
      </c>
      <c r="D1517" t="s">
        <v>2587</v>
      </c>
      <c r="E1517" t="s">
        <v>234</v>
      </c>
      <c r="F1517" s="5">
        <v>962.5</v>
      </c>
      <c r="G1517" t="s">
        <v>2588</v>
      </c>
      <c r="H1517" s="3">
        <v>100</v>
      </c>
      <c r="I1517" s="3">
        <v>125</v>
      </c>
      <c r="J1517" s="3">
        <v>26</v>
      </c>
      <c r="K1517" s="3">
        <v>5</v>
      </c>
      <c r="L1517">
        <f t="shared" si="240"/>
        <v>0.32500000000000001</v>
      </c>
      <c r="M1517">
        <v>6.5</v>
      </c>
      <c r="N1517" s="8">
        <f>M1517*L1517</f>
        <v>2.1125000000000003</v>
      </c>
      <c r="O1517" s="14">
        <f t="shared" si="241"/>
        <v>2033.2812500000002</v>
      </c>
      <c r="P1517" s="8">
        <v>25</v>
      </c>
      <c r="Q1517" s="8">
        <f t="shared" si="244"/>
        <v>8.4500000000000006E-2</v>
      </c>
      <c r="R1517" s="8">
        <f t="shared" si="245"/>
        <v>1.7604166666666667</v>
      </c>
      <c r="S1517" s="8">
        <f t="shared" si="242"/>
        <v>1.8449166666666668</v>
      </c>
      <c r="T1517" s="18">
        <f t="shared" si="238"/>
        <v>1.504974871210327</v>
      </c>
      <c r="U1517" s="20">
        <f t="shared" si="243"/>
        <v>17412.956573425639</v>
      </c>
      <c r="V1517" s="29" t="s">
        <v>2983</v>
      </c>
    </row>
    <row r="1518" spans="1:22" ht="15" customHeight="1" x14ac:dyDescent="0.25">
      <c r="A1518" t="s">
        <v>141</v>
      </c>
      <c r="B1518" t="s">
        <v>111</v>
      </c>
      <c r="C1518" t="s">
        <v>115</v>
      </c>
      <c r="D1518" t="s">
        <v>116</v>
      </c>
      <c r="E1518" t="s">
        <v>48</v>
      </c>
      <c r="F1518" s="5">
        <v>5.49</v>
      </c>
      <c r="G1518" t="s">
        <v>117</v>
      </c>
      <c r="H1518" s="3">
        <v>23</v>
      </c>
      <c r="I1518" s="3">
        <v>11.4</v>
      </c>
      <c r="J1518" s="3">
        <v>11.4</v>
      </c>
      <c r="K1518" s="3">
        <v>2.2999999999999998</v>
      </c>
      <c r="L1518">
        <f t="shared" si="240"/>
        <v>2.9890800000000003E-3</v>
      </c>
      <c r="M1518">
        <f>L1518*N1518</f>
        <v>0.89672400000000008</v>
      </c>
      <c r="N1518" s="8">
        <v>300</v>
      </c>
      <c r="O1518" s="14">
        <f t="shared" si="241"/>
        <v>1647</v>
      </c>
      <c r="P1518" s="8">
        <v>15</v>
      </c>
      <c r="Q1518" s="8">
        <f t="shared" si="244"/>
        <v>20</v>
      </c>
      <c r="R1518" s="8">
        <f t="shared" si="245"/>
        <v>150</v>
      </c>
      <c r="S1518" s="8">
        <f t="shared" si="242"/>
        <v>170</v>
      </c>
      <c r="T1518" s="18">
        <f t="shared" si="238"/>
        <v>1.2190608716248224</v>
      </c>
      <c r="U1518" s="20">
        <f t="shared" si="243"/>
        <v>17414.175634297266</v>
      </c>
      <c r="V1518" s="29" t="s">
        <v>2983</v>
      </c>
    </row>
    <row r="1519" spans="1:22" ht="15" customHeight="1" x14ac:dyDescent="0.25">
      <c r="A1519" t="s">
        <v>141</v>
      </c>
      <c r="B1519" t="s">
        <v>2576</v>
      </c>
      <c r="C1519" t="s">
        <v>2584</v>
      </c>
      <c r="D1519" t="s">
        <v>2585</v>
      </c>
      <c r="E1519" t="s">
        <v>234</v>
      </c>
      <c r="F1519" s="5">
        <v>595</v>
      </c>
      <c r="G1519" t="s">
        <v>2586</v>
      </c>
      <c r="H1519" s="3">
        <v>100</v>
      </c>
      <c r="I1519" s="3">
        <v>125</v>
      </c>
      <c r="J1519" s="3">
        <v>26</v>
      </c>
      <c r="K1519" s="3">
        <v>22.5</v>
      </c>
      <c r="L1519">
        <f t="shared" si="240"/>
        <v>0.32500000000000001</v>
      </c>
      <c r="M1519">
        <v>6.5</v>
      </c>
      <c r="N1519" s="8">
        <f>M1519*L1519</f>
        <v>2.1125000000000003</v>
      </c>
      <c r="O1519" s="14">
        <f t="shared" si="241"/>
        <v>1256.9375000000002</v>
      </c>
      <c r="P1519" s="8">
        <v>25</v>
      </c>
      <c r="Q1519" s="8">
        <f t="shared" si="244"/>
        <v>8.4500000000000006E-2</v>
      </c>
      <c r="R1519" s="8">
        <f t="shared" si="245"/>
        <v>1.7604166666666667</v>
      </c>
      <c r="S1519" s="8">
        <f t="shared" si="242"/>
        <v>1.8449166666666668</v>
      </c>
      <c r="T1519" s="18">
        <f t="shared" si="238"/>
        <v>0.93034810220274766</v>
      </c>
      <c r="U1519" s="20">
        <f t="shared" ref="U1519:U1534" si="247">U1518+T1519</f>
        <v>17415.105982399469</v>
      </c>
      <c r="V1519" s="29" t="s">
        <v>2983</v>
      </c>
    </row>
    <row r="1520" spans="1:22" ht="15" customHeight="1" x14ac:dyDescent="0.25">
      <c r="A1520" t="s">
        <v>141</v>
      </c>
      <c r="B1520" t="s">
        <v>2576</v>
      </c>
      <c r="C1520" t="s">
        <v>2584</v>
      </c>
      <c r="D1520" t="s">
        <v>2585</v>
      </c>
      <c r="E1520" t="s">
        <v>234</v>
      </c>
      <c r="F1520" s="5">
        <v>595</v>
      </c>
      <c r="G1520" t="s">
        <v>2586</v>
      </c>
      <c r="H1520" s="3">
        <v>100</v>
      </c>
      <c r="I1520" s="3">
        <v>125</v>
      </c>
      <c r="J1520" s="3">
        <v>26</v>
      </c>
      <c r="K1520" s="3">
        <v>22.5</v>
      </c>
      <c r="L1520">
        <f t="shared" si="240"/>
        <v>0.32500000000000001</v>
      </c>
      <c r="M1520">
        <v>6.5</v>
      </c>
      <c r="N1520" s="8">
        <f>M1520*L1520</f>
        <v>2.1125000000000003</v>
      </c>
      <c r="O1520" s="14">
        <f t="shared" si="241"/>
        <v>1256.9375000000002</v>
      </c>
      <c r="P1520" s="8">
        <v>25</v>
      </c>
      <c r="Q1520" s="8">
        <f t="shared" si="244"/>
        <v>8.4500000000000006E-2</v>
      </c>
      <c r="R1520" s="8">
        <f t="shared" si="245"/>
        <v>1.7604166666666667</v>
      </c>
      <c r="S1520" s="8">
        <f t="shared" si="242"/>
        <v>1.8449166666666668</v>
      </c>
      <c r="T1520" s="18">
        <f t="shared" si="238"/>
        <v>0.93034810220274766</v>
      </c>
      <c r="U1520" s="20">
        <f t="shared" si="247"/>
        <v>17416.036330501673</v>
      </c>
      <c r="V1520" s="29" t="s">
        <v>2983</v>
      </c>
    </row>
    <row r="1521" spans="1:22" ht="15" customHeight="1" x14ac:dyDescent="0.25">
      <c r="A1521" t="s">
        <v>141</v>
      </c>
      <c r="B1521" t="s">
        <v>12</v>
      </c>
      <c r="C1521" t="s">
        <v>2649</v>
      </c>
      <c r="D1521" t="s">
        <v>14</v>
      </c>
      <c r="E1521" t="s">
        <v>13</v>
      </c>
      <c r="F1521" s="5">
        <v>42</v>
      </c>
      <c r="G1521" t="s">
        <v>15</v>
      </c>
      <c r="H1521" s="3">
        <v>0.42</v>
      </c>
      <c r="I1521" s="3">
        <v>300</v>
      </c>
      <c r="J1521" s="3">
        <v>200</v>
      </c>
      <c r="K1521" s="3">
        <v>9</v>
      </c>
      <c r="L1521">
        <f t="shared" si="240"/>
        <v>2.52E-2</v>
      </c>
      <c r="M1521" s="3">
        <f>L1521*N1521</f>
        <v>0.504</v>
      </c>
      <c r="N1521" s="8">
        <v>20</v>
      </c>
      <c r="O1521" s="14">
        <f t="shared" si="241"/>
        <v>840</v>
      </c>
      <c r="P1521" s="8">
        <v>40</v>
      </c>
      <c r="Q1521" s="8">
        <f t="shared" si="244"/>
        <v>0.5</v>
      </c>
      <c r="R1521" s="8">
        <f t="shared" si="245"/>
        <v>26.666666666666664</v>
      </c>
      <c r="S1521" s="8">
        <f t="shared" si="242"/>
        <v>27.166666666666664</v>
      </c>
      <c r="T1521" s="18">
        <f t="shared" si="238"/>
        <v>0.62174324964471817</v>
      </c>
      <c r="U1521" s="20">
        <f t="shared" si="247"/>
        <v>17416.658073751318</v>
      </c>
      <c r="V1521" s="29" t="s">
        <v>2983</v>
      </c>
    </row>
    <row r="1522" spans="1:22" ht="15" customHeight="1" x14ac:dyDescent="0.25">
      <c r="A1522" t="s">
        <v>141</v>
      </c>
      <c r="B1522" t="s">
        <v>12</v>
      </c>
      <c r="C1522" t="s">
        <v>2659</v>
      </c>
      <c r="D1522" t="s">
        <v>21</v>
      </c>
      <c r="E1522" t="s">
        <v>2657</v>
      </c>
      <c r="F1522" s="5">
        <v>19.52</v>
      </c>
      <c r="G1522" t="s">
        <v>11</v>
      </c>
      <c r="H1522" s="3">
        <v>1600</v>
      </c>
      <c r="I1522" s="3">
        <v>1200</v>
      </c>
      <c r="J1522" s="3">
        <v>13</v>
      </c>
      <c r="K1522" s="3">
        <v>12.192</v>
      </c>
      <c r="L1522">
        <f t="shared" si="240"/>
        <v>24.96</v>
      </c>
      <c r="M1522" s="3">
        <f>L1522*N1522</f>
        <v>499.20000000000005</v>
      </c>
      <c r="N1522" s="8">
        <v>20</v>
      </c>
      <c r="O1522" s="14">
        <f t="shared" si="241"/>
        <v>390.4</v>
      </c>
      <c r="P1522" s="8">
        <v>40</v>
      </c>
      <c r="Q1522" s="8">
        <f t="shared" si="244"/>
        <v>0.5</v>
      </c>
      <c r="R1522" s="8">
        <f t="shared" si="245"/>
        <v>26.666666666666664</v>
      </c>
      <c r="S1522" s="8">
        <f t="shared" si="242"/>
        <v>27.166666666666664</v>
      </c>
      <c r="T1522" s="18">
        <f t="shared" si="238"/>
        <v>0.28896257697773564</v>
      </c>
      <c r="U1522" s="20">
        <f t="shared" si="247"/>
        <v>17416.947036328296</v>
      </c>
      <c r="V1522" s="29" t="s">
        <v>2983</v>
      </c>
    </row>
    <row r="1523" spans="1:22" ht="15" customHeight="1" x14ac:dyDescent="0.25">
      <c r="A1523" t="s">
        <v>141</v>
      </c>
      <c r="B1523" t="s">
        <v>2576</v>
      </c>
      <c r="C1523" t="s">
        <v>2589</v>
      </c>
      <c r="D1523" t="s">
        <v>2591</v>
      </c>
      <c r="E1523" t="s">
        <v>234</v>
      </c>
      <c r="F1523" s="5">
        <v>1270</v>
      </c>
      <c r="G1523" t="s">
        <v>683</v>
      </c>
      <c r="H1523" s="3">
        <v>62</v>
      </c>
      <c r="I1523" s="3">
        <v>45</v>
      </c>
      <c r="J1523" s="3">
        <v>15</v>
      </c>
      <c r="K1523" s="3">
        <v>20.5</v>
      </c>
      <c r="L1523">
        <f t="shared" si="240"/>
        <v>4.1849999999999998E-2</v>
      </c>
      <c r="M1523">
        <v>6.5</v>
      </c>
      <c r="N1523" s="8">
        <f>M1523*L1523</f>
        <v>0.27202499999999996</v>
      </c>
      <c r="O1523" s="14">
        <f t="shared" si="241"/>
        <v>345.47174999999993</v>
      </c>
      <c r="P1523" s="8">
        <v>25</v>
      </c>
      <c r="Q1523" s="8">
        <f t="shared" si="244"/>
        <v>1.0880999999999998E-2</v>
      </c>
      <c r="R1523" s="8">
        <f t="shared" si="245"/>
        <v>0.22668749999999999</v>
      </c>
      <c r="S1523" s="8">
        <f t="shared" si="242"/>
        <v>0.23756849999999999</v>
      </c>
      <c r="T1523" s="18">
        <f t="shared" si="238"/>
        <v>0.2557080101255329</v>
      </c>
      <c r="U1523" s="20">
        <f t="shared" si="247"/>
        <v>17417.202744338421</v>
      </c>
      <c r="V1523" s="29" t="s">
        <v>2983</v>
      </c>
    </row>
    <row r="1524" spans="1:22" ht="15" customHeight="1" x14ac:dyDescent="0.25">
      <c r="A1524" t="s">
        <v>141</v>
      </c>
      <c r="B1524" t="s">
        <v>2576</v>
      </c>
      <c r="C1524" t="s">
        <v>2589</v>
      </c>
      <c r="D1524" t="s">
        <v>2591</v>
      </c>
      <c r="E1524" t="s">
        <v>234</v>
      </c>
      <c r="F1524" s="5">
        <v>1270</v>
      </c>
      <c r="G1524" t="s">
        <v>683</v>
      </c>
      <c r="H1524" s="3">
        <v>62</v>
      </c>
      <c r="I1524" s="3">
        <v>45</v>
      </c>
      <c r="J1524" s="3">
        <v>15</v>
      </c>
      <c r="K1524" s="3">
        <v>20.5</v>
      </c>
      <c r="L1524">
        <f t="shared" si="240"/>
        <v>4.1849999999999998E-2</v>
      </c>
      <c r="M1524">
        <v>6.5</v>
      </c>
      <c r="N1524" s="8">
        <f>M1524*L1524</f>
        <v>0.27202499999999996</v>
      </c>
      <c r="O1524" s="14">
        <f t="shared" si="241"/>
        <v>345.47174999999993</v>
      </c>
      <c r="P1524" s="8">
        <v>25</v>
      </c>
      <c r="Q1524" s="8">
        <f t="shared" si="244"/>
        <v>1.0880999999999998E-2</v>
      </c>
      <c r="R1524" s="8">
        <f t="shared" si="245"/>
        <v>0.22668749999999999</v>
      </c>
      <c r="S1524" s="8">
        <f t="shared" si="242"/>
        <v>0.23756849999999999</v>
      </c>
      <c r="T1524" s="18">
        <f t="shared" si="238"/>
        <v>0.2557080101255329</v>
      </c>
      <c r="U1524" s="20">
        <f t="shared" si="247"/>
        <v>17417.458452348546</v>
      </c>
      <c r="V1524" s="29" t="s">
        <v>2983</v>
      </c>
    </row>
    <row r="1525" spans="1:22" ht="15" customHeight="1" x14ac:dyDescent="0.25">
      <c r="A1525" t="s">
        <v>141</v>
      </c>
      <c r="B1525" t="s">
        <v>12</v>
      </c>
      <c r="C1525" t="s">
        <v>2640</v>
      </c>
      <c r="D1525" t="s">
        <v>2641</v>
      </c>
      <c r="E1525" t="s">
        <v>13</v>
      </c>
      <c r="F1525" s="5">
        <v>21.95</v>
      </c>
      <c r="G1525" t="s">
        <v>11</v>
      </c>
      <c r="H1525" s="3">
        <v>0.8</v>
      </c>
      <c r="I1525" s="3">
        <v>1200</v>
      </c>
      <c r="J1525" s="3">
        <v>0.8</v>
      </c>
      <c r="K1525" s="3">
        <v>4.74</v>
      </c>
      <c r="L1525">
        <f t="shared" si="240"/>
        <v>7.6800000000000002E-4</v>
      </c>
      <c r="M1525" s="3">
        <f>L1525*N1525</f>
        <v>1.152E-3</v>
      </c>
      <c r="N1525" s="8">
        <v>1.5</v>
      </c>
      <c r="O1525" s="14">
        <f t="shared" si="241"/>
        <v>32.924999999999997</v>
      </c>
      <c r="P1525" s="8">
        <v>40</v>
      </c>
      <c r="Q1525" s="8">
        <f t="shared" si="244"/>
        <v>3.7499999999999999E-2</v>
      </c>
      <c r="R1525" s="8">
        <f t="shared" si="245"/>
        <v>2</v>
      </c>
      <c r="S1525" s="8">
        <f t="shared" si="242"/>
        <v>2.0375000000000001</v>
      </c>
      <c r="T1525" s="18">
        <f t="shared" ref="T1525:T1588" si="248">O1525/O$1749</f>
        <v>2.4370114874467077E-2</v>
      </c>
      <c r="U1525" s="20">
        <f t="shared" si="247"/>
        <v>17417.482822463422</v>
      </c>
      <c r="V1525" s="29" t="s">
        <v>2983</v>
      </c>
    </row>
    <row r="1526" spans="1:22" ht="15" customHeight="1" x14ac:dyDescent="0.25">
      <c r="A1526" t="s">
        <v>141</v>
      </c>
      <c r="B1526" t="s">
        <v>12</v>
      </c>
      <c r="C1526" t="s">
        <v>2638</v>
      </c>
      <c r="D1526" t="s">
        <v>2639</v>
      </c>
      <c r="E1526" t="s">
        <v>13</v>
      </c>
      <c r="F1526" s="5">
        <v>7.92</v>
      </c>
      <c r="G1526" t="s">
        <v>11</v>
      </c>
      <c r="H1526" s="3">
        <v>0.5</v>
      </c>
      <c r="I1526" s="3">
        <v>1200</v>
      </c>
      <c r="J1526" s="3">
        <v>0.5</v>
      </c>
      <c r="K1526" s="3">
        <v>1.85</v>
      </c>
      <c r="L1526">
        <f t="shared" si="240"/>
        <v>2.9999999999999997E-4</v>
      </c>
      <c r="M1526" s="3">
        <f>L1526*N1526</f>
        <v>5.9999999999999995E-4</v>
      </c>
      <c r="N1526" s="8">
        <v>2</v>
      </c>
      <c r="O1526" s="14">
        <f t="shared" si="241"/>
        <v>15.84</v>
      </c>
      <c r="P1526" s="8">
        <v>40</v>
      </c>
      <c r="Q1526" s="8">
        <f t="shared" si="244"/>
        <v>0.05</v>
      </c>
      <c r="R1526" s="8">
        <f t="shared" si="245"/>
        <v>2.6666666666666665</v>
      </c>
      <c r="S1526" s="8">
        <f t="shared" si="242"/>
        <v>2.7166666666666663</v>
      </c>
      <c r="T1526" s="18">
        <f t="shared" si="248"/>
        <v>1.1724301279014686E-2</v>
      </c>
      <c r="U1526" s="20">
        <f t="shared" si="247"/>
        <v>17417.494546764701</v>
      </c>
      <c r="V1526" s="29" t="s">
        <v>2983</v>
      </c>
    </row>
    <row r="1527" spans="1:22" ht="15" customHeight="1" x14ac:dyDescent="0.25">
      <c r="A1527" t="s">
        <v>141</v>
      </c>
      <c r="B1527" t="s">
        <v>2576</v>
      </c>
      <c r="C1527" t="s">
        <v>2595</v>
      </c>
      <c r="D1527" t="s">
        <v>2596</v>
      </c>
      <c r="E1527" t="s">
        <v>234</v>
      </c>
      <c r="F1527" s="5">
        <v>255</v>
      </c>
      <c r="G1527" t="s">
        <v>683</v>
      </c>
      <c r="H1527" s="3">
        <v>40</v>
      </c>
      <c r="I1527" s="3">
        <v>40</v>
      </c>
      <c r="J1527" s="3">
        <v>4</v>
      </c>
      <c r="K1527">
        <v>4.5</v>
      </c>
      <c r="L1527">
        <f t="shared" si="240"/>
        <v>6.4000000000000003E-3</v>
      </c>
      <c r="M1527">
        <v>6.5</v>
      </c>
      <c r="N1527" s="8">
        <f>M1527*L1527</f>
        <v>4.1600000000000005E-2</v>
      </c>
      <c r="O1527" s="14">
        <f t="shared" si="241"/>
        <v>10.608000000000001</v>
      </c>
      <c r="P1527" s="8">
        <v>25</v>
      </c>
      <c r="Q1527" s="8">
        <f t="shared" si="244"/>
        <v>1.6640000000000001E-3</v>
      </c>
      <c r="R1527" s="8">
        <f t="shared" si="245"/>
        <v>3.4666666666666672E-2</v>
      </c>
      <c r="S1527" s="8">
        <f t="shared" si="242"/>
        <v>3.6330666666666671E-2</v>
      </c>
      <c r="T1527" s="18">
        <f t="shared" si="248"/>
        <v>7.8517290383704405E-3</v>
      </c>
      <c r="U1527" s="20">
        <f t="shared" si="247"/>
        <v>17417.50239849374</v>
      </c>
      <c r="V1527" s="29" t="s">
        <v>2983</v>
      </c>
    </row>
    <row r="1528" spans="1:22" ht="15" customHeight="1" x14ac:dyDescent="0.25">
      <c r="A1528" t="s">
        <v>141</v>
      </c>
      <c r="B1528" t="s">
        <v>2576</v>
      </c>
      <c r="C1528" t="s">
        <v>2595</v>
      </c>
      <c r="D1528" t="s">
        <v>2596</v>
      </c>
      <c r="E1528" t="s">
        <v>234</v>
      </c>
      <c r="F1528" s="5">
        <v>255</v>
      </c>
      <c r="G1528" t="s">
        <v>683</v>
      </c>
      <c r="H1528" s="3">
        <v>40</v>
      </c>
      <c r="I1528" s="3">
        <v>40</v>
      </c>
      <c r="J1528" s="3">
        <v>4</v>
      </c>
      <c r="K1528">
        <v>4.5</v>
      </c>
      <c r="L1528">
        <f t="shared" si="240"/>
        <v>6.4000000000000003E-3</v>
      </c>
      <c r="M1528">
        <v>6.5</v>
      </c>
      <c r="N1528" s="8">
        <f>M1528*L1528</f>
        <v>4.1600000000000005E-2</v>
      </c>
      <c r="O1528" s="14">
        <f t="shared" si="241"/>
        <v>10.608000000000001</v>
      </c>
      <c r="P1528" s="8">
        <v>25</v>
      </c>
      <c r="Q1528" s="8">
        <f t="shared" si="244"/>
        <v>1.6640000000000001E-3</v>
      </c>
      <c r="R1528" s="8">
        <f t="shared" si="245"/>
        <v>3.4666666666666672E-2</v>
      </c>
      <c r="S1528" s="8">
        <f t="shared" si="242"/>
        <v>3.6330666666666671E-2</v>
      </c>
      <c r="T1528" s="18">
        <f t="shared" si="248"/>
        <v>7.8517290383704405E-3</v>
      </c>
      <c r="U1528" s="20">
        <f t="shared" si="247"/>
        <v>17417.510250222778</v>
      </c>
      <c r="V1528" s="29" t="s">
        <v>2983</v>
      </c>
    </row>
    <row r="1529" spans="1:22" ht="15" customHeight="1" x14ac:dyDescent="0.25">
      <c r="A1529" t="s">
        <v>141</v>
      </c>
      <c r="B1529" t="s">
        <v>2576</v>
      </c>
      <c r="C1529" t="s">
        <v>2592</v>
      </c>
      <c r="D1529" t="s">
        <v>2593</v>
      </c>
      <c r="E1529" t="s">
        <v>234</v>
      </c>
      <c r="F1529" s="5">
        <v>445</v>
      </c>
      <c r="G1529" t="s">
        <v>2594</v>
      </c>
      <c r="H1529" s="3">
        <v>42</v>
      </c>
      <c r="I1529" s="3">
        <v>44</v>
      </c>
      <c r="J1529" s="3">
        <v>0.4</v>
      </c>
      <c r="K1529" s="3">
        <v>5.5</v>
      </c>
      <c r="L1529">
        <f t="shared" si="240"/>
        <v>7.3920000000000008E-4</v>
      </c>
      <c r="M1529">
        <v>6.5</v>
      </c>
      <c r="N1529" s="8">
        <f>M1529*L1529</f>
        <v>4.8048000000000006E-3</v>
      </c>
      <c r="O1529" s="14">
        <f t="shared" si="241"/>
        <v>2.1381360000000003</v>
      </c>
      <c r="P1529" s="8">
        <v>25</v>
      </c>
      <c r="Q1529" s="8">
        <f t="shared" si="244"/>
        <v>1.9219200000000002E-4</v>
      </c>
      <c r="R1529" s="8">
        <f t="shared" si="245"/>
        <v>4.0040000000000006E-3</v>
      </c>
      <c r="S1529" s="8">
        <f t="shared" si="242"/>
        <v>4.1961920000000005E-3</v>
      </c>
      <c r="T1529" s="18">
        <f t="shared" si="248"/>
        <v>1.5825852676456659E-3</v>
      </c>
      <c r="U1529" s="20">
        <f t="shared" si="247"/>
        <v>17417.511832808046</v>
      </c>
      <c r="V1529" s="29" t="s">
        <v>2983</v>
      </c>
    </row>
    <row r="1530" spans="1:22" ht="15" customHeight="1" x14ac:dyDescent="0.25">
      <c r="A1530" t="s">
        <v>141</v>
      </c>
      <c r="B1530" t="s">
        <v>2576</v>
      </c>
      <c r="C1530" t="s">
        <v>2592</v>
      </c>
      <c r="D1530" t="s">
        <v>2593</v>
      </c>
      <c r="E1530" t="s">
        <v>234</v>
      </c>
      <c r="F1530" s="5">
        <v>445</v>
      </c>
      <c r="G1530" t="s">
        <v>2594</v>
      </c>
      <c r="H1530" s="3">
        <v>42</v>
      </c>
      <c r="I1530" s="3">
        <v>44</v>
      </c>
      <c r="J1530" s="3">
        <v>0.4</v>
      </c>
      <c r="K1530" s="3">
        <v>5.5</v>
      </c>
      <c r="L1530">
        <f t="shared" si="240"/>
        <v>7.3920000000000008E-4</v>
      </c>
      <c r="M1530">
        <v>6.5</v>
      </c>
      <c r="N1530" s="8">
        <f>M1530*L1530</f>
        <v>4.8048000000000006E-3</v>
      </c>
      <c r="O1530" s="14">
        <f t="shared" si="241"/>
        <v>2.1381360000000003</v>
      </c>
      <c r="P1530" s="8">
        <v>25</v>
      </c>
      <c r="Q1530" s="8">
        <f t="shared" si="244"/>
        <v>1.9219200000000002E-4</v>
      </c>
      <c r="R1530" s="8">
        <f t="shared" si="245"/>
        <v>4.0040000000000006E-3</v>
      </c>
      <c r="S1530" s="8">
        <f t="shared" si="242"/>
        <v>4.1961920000000005E-3</v>
      </c>
      <c r="T1530" s="18">
        <f t="shared" si="248"/>
        <v>1.5825852676456659E-3</v>
      </c>
      <c r="U1530" s="20">
        <f t="shared" si="247"/>
        <v>17417.513415393314</v>
      </c>
      <c r="V1530" s="29" t="s">
        <v>2983</v>
      </c>
    </row>
    <row r="1531" spans="1:22" ht="15" customHeight="1" x14ac:dyDescent="0.25">
      <c r="A1531" t="s">
        <v>141</v>
      </c>
      <c r="B1531" t="s">
        <v>12</v>
      </c>
      <c r="C1531" t="s">
        <v>2642</v>
      </c>
      <c r="D1531" t="s">
        <v>2643</v>
      </c>
      <c r="E1531" t="s">
        <v>13</v>
      </c>
      <c r="F1531" s="5">
        <v>32.630000000000003</v>
      </c>
      <c r="G1531" t="s">
        <v>11</v>
      </c>
      <c r="H1531" s="3">
        <v>1</v>
      </c>
      <c r="I1531" s="3">
        <v>1200</v>
      </c>
      <c r="J1531" s="3">
        <v>1</v>
      </c>
      <c r="K1531" s="3">
        <v>7.4</v>
      </c>
      <c r="L1531">
        <f t="shared" si="240"/>
        <v>1.1999999999999999E-3</v>
      </c>
      <c r="M1531" s="3">
        <f t="shared" ref="M1531:M1594" si="249">L1531*N1531</f>
        <v>2.3999999999999999E-6</v>
      </c>
      <c r="N1531" s="8">
        <v>2E-3</v>
      </c>
      <c r="O1531" s="14">
        <f t="shared" si="241"/>
        <v>6.5260000000000012E-2</v>
      </c>
      <c r="P1531" s="8">
        <v>40</v>
      </c>
      <c r="Q1531" s="8">
        <f t="shared" si="244"/>
        <v>5.0000000000000002E-5</v>
      </c>
      <c r="R1531" s="8">
        <f t="shared" si="245"/>
        <v>2.666666666666667E-3</v>
      </c>
      <c r="S1531" s="8">
        <f t="shared" si="242"/>
        <v>2.7166666666666671E-3</v>
      </c>
      <c r="T1531" s="18">
        <f t="shared" si="248"/>
        <v>4.830352913311228E-5</v>
      </c>
      <c r="U1531" s="20">
        <f t="shared" si="247"/>
        <v>17417.513463696843</v>
      </c>
      <c r="V1531" s="29" t="s">
        <v>2983</v>
      </c>
    </row>
    <row r="1532" spans="1:22" ht="15" customHeight="1" x14ac:dyDescent="0.25">
      <c r="A1532" t="s">
        <v>141</v>
      </c>
      <c r="B1532" t="s">
        <v>12</v>
      </c>
      <c r="C1532" t="s">
        <v>2658</v>
      </c>
      <c r="D1532" t="s">
        <v>20</v>
      </c>
      <c r="E1532" t="s">
        <v>2657</v>
      </c>
      <c r="F1532" s="5">
        <v>21.96</v>
      </c>
      <c r="G1532" t="s">
        <v>11</v>
      </c>
      <c r="H1532" s="3">
        <v>1200</v>
      </c>
      <c r="I1532" s="3">
        <v>1000</v>
      </c>
      <c r="J1532" s="3">
        <v>12</v>
      </c>
      <c r="K1532" s="3">
        <v>7.0880000000000001</v>
      </c>
      <c r="L1532">
        <f t="shared" si="240"/>
        <v>14.4</v>
      </c>
      <c r="M1532" s="3">
        <f t="shared" si="249"/>
        <v>2.8800000000000003E-2</v>
      </c>
      <c r="N1532" s="8">
        <v>2E-3</v>
      </c>
      <c r="O1532" s="14">
        <f t="shared" si="241"/>
        <v>4.3920000000000001E-2</v>
      </c>
      <c r="P1532" s="8">
        <v>40</v>
      </c>
      <c r="Q1532" s="8">
        <f t="shared" si="244"/>
        <v>5.0000000000000002E-5</v>
      </c>
      <c r="R1532" s="8">
        <f t="shared" si="245"/>
        <v>2.666666666666667E-3</v>
      </c>
      <c r="S1532" s="8">
        <f t="shared" si="242"/>
        <v>2.7166666666666671E-3</v>
      </c>
      <c r="T1532" s="18">
        <f t="shared" si="248"/>
        <v>3.2508289909995263E-5</v>
      </c>
      <c r="U1532" s="20">
        <f t="shared" si="247"/>
        <v>17417.513496205134</v>
      </c>
      <c r="V1532" s="29" t="s">
        <v>2983</v>
      </c>
    </row>
    <row r="1533" spans="1:22" ht="15" customHeight="1" x14ac:dyDescent="0.25">
      <c r="A1533" t="s">
        <v>141</v>
      </c>
      <c r="B1533" t="s">
        <v>12</v>
      </c>
      <c r="C1533" t="s">
        <v>2656</v>
      </c>
      <c r="D1533" t="s">
        <v>19</v>
      </c>
      <c r="E1533" t="s">
        <v>2657</v>
      </c>
      <c r="F1533" s="5">
        <v>14.64</v>
      </c>
      <c r="G1533" t="s">
        <v>11</v>
      </c>
      <c r="H1533" s="3">
        <v>800</v>
      </c>
      <c r="I1533" s="3">
        <v>800</v>
      </c>
      <c r="J1533" s="3">
        <v>12</v>
      </c>
      <c r="K1533" s="3">
        <v>5.88</v>
      </c>
      <c r="L1533">
        <f t="shared" si="240"/>
        <v>7.68</v>
      </c>
      <c r="M1533" s="3">
        <f t="shared" si="249"/>
        <v>1.9199999999999998E-2</v>
      </c>
      <c r="N1533" s="8">
        <v>2.5000000000000001E-3</v>
      </c>
      <c r="O1533" s="14">
        <f t="shared" si="241"/>
        <v>3.6600000000000001E-2</v>
      </c>
      <c r="P1533" s="8">
        <v>40</v>
      </c>
      <c r="Q1533" s="8">
        <f t="shared" si="244"/>
        <v>6.2500000000000001E-5</v>
      </c>
      <c r="R1533" s="8">
        <f t="shared" si="245"/>
        <v>3.3333333333333331E-3</v>
      </c>
      <c r="S1533" s="8">
        <f t="shared" si="242"/>
        <v>3.3958333333333332E-3</v>
      </c>
      <c r="T1533" s="18">
        <f t="shared" si="248"/>
        <v>2.7090241591662721E-5</v>
      </c>
      <c r="U1533" s="20">
        <f t="shared" si="247"/>
        <v>17417.513523295376</v>
      </c>
      <c r="V1533" s="29" t="s">
        <v>2983</v>
      </c>
    </row>
    <row r="1534" spans="1:22" ht="15" customHeight="1" x14ac:dyDescent="0.25">
      <c r="A1534" t="s">
        <v>141</v>
      </c>
      <c r="B1534" t="s">
        <v>12</v>
      </c>
      <c r="C1534" t="s">
        <v>2651</v>
      </c>
      <c r="D1534" t="s">
        <v>2652</v>
      </c>
      <c r="E1534" t="s">
        <v>13</v>
      </c>
      <c r="F1534" s="5">
        <v>0.34</v>
      </c>
      <c r="G1534" t="s">
        <v>11</v>
      </c>
      <c r="H1534" s="3">
        <v>0.42</v>
      </c>
      <c r="I1534" s="3">
        <v>7</v>
      </c>
      <c r="J1534" s="3">
        <v>17</v>
      </c>
      <c r="K1534" s="3">
        <v>5.8999999999999997E-2</v>
      </c>
      <c r="L1534">
        <f t="shared" si="240"/>
        <v>4.9979999999999999E-5</v>
      </c>
      <c r="M1534" s="3">
        <f t="shared" si="249"/>
        <v>9.9959999999999992E-7</v>
      </c>
      <c r="N1534" s="8">
        <v>0.02</v>
      </c>
      <c r="O1534" s="14">
        <f t="shared" si="241"/>
        <v>6.8000000000000005E-3</v>
      </c>
      <c r="P1534" s="8">
        <v>40</v>
      </c>
      <c r="Q1534" s="8">
        <f t="shared" si="244"/>
        <v>5.0000000000000001E-4</v>
      </c>
      <c r="R1534" s="8">
        <f t="shared" si="245"/>
        <v>2.6666666666666665E-2</v>
      </c>
      <c r="S1534" s="8">
        <f t="shared" si="242"/>
        <v>2.7166666666666665E-2</v>
      </c>
      <c r="T1534" s="18">
        <f t="shared" si="248"/>
        <v>5.0331596399810524E-6</v>
      </c>
      <c r="U1534" s="20">
        <f t="shared" si="247"/>
        <v>17417.513528328534</v>
      </c>
      <c r="V1534" s="29" t="s">
        <v>2983</v>
      </c>
    </row>
    <row r="1535" spans="1:22" ht="15" customHeight="1" x14ac:dyDescent="0.25">
      <c r="A1535" t="s">
        <v>287</v>
      </c>
      <c r="B1535" t="s">
        <v>288</v>
      </c>
      <c r="C1535" t="s">
        <v>2709</v>
      </c>
      <c r="D1535" t="s">
        <v>2710</v>
      </c>
      <c r="E1535" t="s">
        <v>284</v>
      </c>
      <c r="F1535" s="5">
        <v>2199</v>
      </c>
      <c r="G1535" t="s">
        <v>2708</v>
      </c>
      <c r="H1535" s="3">
        <v>30</v>
      </c>
      <c r="I1535" s="3">
        <v>138</v>
      </c>
      <c r="J1535" s="3">
        <v>188</v>
      </c>
      <c r="K1535" s="3">
        <v>39.4</v>
      </c>
      <c r="L1535">
        <f t="shared" si="240"/>
        <v>0.77832000000000001</v>
      </c>
      <c r="M1535">
        <f t="shared" si="249"/>
        <v>54.482399999999998</v>
      </c>
      <c r="N1535" s="8">
        <v>70</v>
      </c>
      <c r="O1535" s="14">
        <f t="shared" si="241"/>
        <v>153930</v>
      </c>
      <c r="P1535" s="8">
        <v>25</v>
      </c>
      <c r="Q1535" s="8">
        <f t="shared" si="244"/>
        <v>2.8</v>
      </c>
      <c r="R1535" s="8">
        <f t="shared" si="245"/>
        <v>58.333333333333336</v>
      </c>
      <c r="S1535" s="8">
        <f t="shared" si="242"/>
        <v>61.133333333333333</v>
      </c>
      <c r="T1535" s="18">
        <f t="shared" si="248"/>
        <v>113.93445049739461</v>
      </c>
      <c r="U1535" s="20">
        <f>T1535</f>
        <v>113.93445049739461</v>
      </c>
      <c r="V1535" s="25" t="s">
        <v>2987</v>
      </c>
    </row>
    <row r="1536" spans="1:22" ht="15" customHeight="1" x14ac:dyDescent="0.25">
      <c r="A1536" t="s">
        <v>287</v>
      </c>
      <c r="B1536" t="s">
        <v>407</v>
      </c>
      <c r="C1536" t="s">
        <v>427</v>
      </c>
      <c r="D1536" t="s">
        <v>429</v>
      </c>
      <c r="E1536" t="s">
        <v>234</v>
      </c>
      <c r="F1536" s="5">
        <v>764.9</v>
      </c>
      <c r="G1536" t="s">
        <v>387</v>
      </c>
      <c r="H1536" s="3">
        <v>221</v>
      </c>
      <c r="I1536" s="3">
        <v>47</v>
      </c>
      <c r="J1536" s="3">
        <v>70</v>
      </c>
      <c r="K1536" s="3">
        <v>55.6</v>
      </c>
      <c r="L1536">
        <f t="shared" si="240"/>
        <v>0.72709000000000001</v>
      </c>
      <c r="M1536">
        <f t="shared" si="249"/>
        <v>109.0635</v>
      </c>
      <c r="N1536" s="8">
        <v>150</v>
      </c>
      <c r="O1536" s="14">
        <f t="shared" si="241"/>
        <v>114735</v>
      </c>
      <c r="P1536" s="8">
        <v>40</v>
      </c>
      <c r="Q1536" s="8">
        <f t="shared" si="244"/>
        <v>3.75</v>
      </c>
      <c r="R1536" s="8">
        <f t="shared" si="245"/>
        <v>200</v>
      </c>
      <c r="S1536" s="8">
        <f t="shared" si="242"/>
        <v>203.75</v>
      </c>
      <c r="T1536" s="18">
        <f t="shared" si="248"/>
        <v>84.923466366650885</v>
      </c>
      <c r="U1536" s="20">
        <f t="shared" ref="U1536:U1599" si="250">U1535+T1536</f>
        <v>198.85791686404548</v>
      </c>
      <c r="V1536" s="25" t="s">
        <v>2987</v>
      </c>
    </row>
    <row r="1537" spans="1:22" ht="15" customHeight="1" x14ac:dyDescent="0.25">
      <c r="A1537" t="s">
        <v>287</v>
      </c>
      <c r="B1537" t="s">
        <v>288</v>
      </c>
      <c r="C1537" t="s">
        <v>2729</v>
      </c>
      <c r="D1537" t="s">
        <v>2730</v>
      </c>
      <c r="E1537" t="s">
        <v>284</v>
      </c>
      <c r="F1537" s="5">
        <v>1599</v>
      </c>
      <c r="G1537" t="s">
        <v>2703</v>
      </c>
      <c r="H1537" s="3">
        <v>28</v>
      </c>
      <c r="I1537" s="3">
        <v>138</v>
      </c>
      <c r="J1537" s="3">
        <v>188</v>
      </c>
      <c r="K1537" s="3">
        <v>120</v>
      </c>
      <c r="L1537">
        <f t="shared" si="240"/>
        <v>0.72643199999999997</v>
      </c>
      <c r="M1537">
        <f t="shared" si="249"/>
        <v>50.850239999999999</v>
      </c>
      <c r="N1537" s="8">
        <v>70</v>
      </c>
      <c r="O1537" s="14">
        <f t="shared" si="241"/>
        <v>111930</v>
      </c>
      <c r="P1537" s="8">
        <v>25</v>
      </c>
      <c r="Q1537" s="8">
        <f t="shared" si="244"/>
        <v>2.8</v>
      </c>
      <c r="R1537" s="8">
        <f t="shared" si="245"/>
        <v>58.333333333333336</v>
      </c>
      <c r="S1537" s="8">
        <f t="shared" si="242"/>
        <v>61.133333333333333</v>
      </c>
      <c r="T1537" s="18">
        <f t="shared" si="248"/>
        <v>82.847288015158696</v>
      </c>
      <c r="U1537" s="20">
        <f t="shared" si="250"/>
        <v>281.70520487920419</v>
      </c>
      <c r="V1537" s="25" t="s">
        <v>2987</v>
      </c>
    </row>
    <row r="1538" spans="1:22" ht="15" customHeight="1" x14ac:dyDescent="0.25">
      <c r="A1538" t="s">
        <v>287</v>
      </c>
      <c r="B1538" t="s">
        <v>288</v>
      </c>
      <c r="C1538" t="s">
        <v>2718</v>
      </c>
      <c r="D1538" t="s">
        <v>2719</v>
      </c>
      <c r="E1538" t="s">
        <v>284</v>
      </c>
      <c r="F1538" s="5">
        <v>1099</v>
      </c>
      <c r="G1538" t="s">
        <v>2708</v>
      </c>
      <c r="H1538" s="3">
        <v>26</v>
      </c>
      <c r="I1538" s="3">
        <v>138</v>
      </c>
      <c r="J1538" s="3">
        <v>188</v>
      </c>
      <c r="K1538" s="3">
        <v>26.7</v>
      </c>
      <c r="L1538">
        <f t="shared" ref="L1538:L1601" si="251">J1538*I1538*H1538/1000000</f>
        <v>0.67454400000000003</v>
      </c>
      <c r="M1538">
        <f t="shared" si="249"/>
        <v>60.708960000000005</v>
      </c>
      <c r="N1538" s="8">
        <v>90</v>
      </c>
      <c r="O1538" s="14">
        <f t="shared" ref="O1538:O1601" si="252">N1538*F1538</f>
        <v>98910</v>
      </c>
      <c r="P1538" s="8">
        <v>25</v>
      </c>
      <c r="Q1538" s="8">
        <f t="shared" si="244"/>
        <v>3.6</v>
      </c>
      <c r="R1538" s="8">
        <f t="shared" si="245"/>
        <v>75</v>
      </c>
      <c r="S1538" s="8">
        <f t="shared" ref="S1538:S1601" si="253">Q1538+R1538</f>
        <v>78.599999999999994</v>
      </c>
      <c r="T1538" s="18">
        <f t="shared" si="248"/>
        <v>73.210267645665567</v>
      </c>
      <c r="U1538" s="20">
        <f t="shared" si="250"/>
        <v>354.91547252486976</v>
      </c>
      <c r="V1538" s="25" t="s">
        <v>2987</v>
      </c>
    </row>
    <row r="1539" spans="1:22" ht="15" customHeight="1" x14ac:dyDescent="0.25">
      <c r="A1539" t="s">
        <v>287</v>
      </c>
      <c r="B1539" t="s">
        <v>288</v>
      </c>
      <c r="C1539" t="s">
        <v>2704</v>
      </c>
      <c r="D1539" t="s">
        <v>2705</v>
      </c>
      <c r="E1539" t="s">
        <v>284</v>
      </c>
      <c r="F1539" s="5">
        <v>1099</v>
      </c>
      <c r="G1539" t="s">
        <v>2703</v>
      </c>
      <c r="H1539" s="3">
        <v>25</v>
      </c>
      <c r="I1539" s="3">
        <v>138</v>
      </c>
      <c r="J1539" s="3">
        <v>188</v>
      </c>
      <c r="K1539" s="3">
        <v>25</v>
      </c>
      <c r="L1539">
        <f t="shared" si="251"/>
        <v>0.64859999999999995</v>
      </c>
      <c r="M1539">
        <f t="shared" si="249"/>
        <v>58.373999999999995</v>
      </c>
      <c r="N1539" s="8">
        <v>90</v>
      </c>
      <c r="O1539" s="14">
        <f t="shared" si="252"/>
        <v>98910</v>
      </c>
      <c r="P1539" s="8">
        <v>25</v>
      </c>
      <c r="Q1539" s="8">
        <f t="shared" si="244"/>
        <v>3.6</v>
      </c>
      <c r="R1539" s="8">
        <f t="shared" si="245"/>
        <v>75</v>
      </c>
      <c r="S1539" s="8">
        <f t="shared" si="253"/>
        <v>78.599999999999994</v>
      </c>
      <c r="T1539" s="18">
        <f t="shared" si="248"/>
        <v>73.210267645665567</v>
      </c>
      <c r="U1539" s="20">
        <f t="shared" si="250"/>
        <v>428.12574017053532</v>
      </c>
      <c r="V1539" s="25" t="s">
        <v>2987</v>
      </c>
    </row>
    <row r="1540" spans="1:22" ht="15" customHeight="1" x14ac:dyDescent="0.25">
      <c r="A1540" t="s">
        <v>287</v>
      </c>
      <c r="B1540" t="s">
        <v>407</v>
      </c>
      <c r="C1540" t="s">
        <v>427</v>
      </c>
      <c r="D1540" t="s">
        <v>433</v>
      </c>
      <c r="E1540" t="s">
        <v>234</v>
      </c>
      <c r="F1540" s="5">
        <v>634.9</v>
      </c>
      <c r="G1540" t="s">
        <v>387</v>
      </c>
      <c r="H1540" s="3">
        <v>221</v>
      </c>
      <c r="I1540" s="3">
        <v>47</v>
      </c>
      <c r="J1540" s="3">
        <v>70</v>
      </c>
      <c r="K1540" s="3">
        <v>52.65</v>
      </c>
      <c r="L1540">
        <f t="shared" si="251"/>
        <v>0.72709000000000001</v>
      </c>
      <c r="M1540">
        <f t="shared" si="249"/>
        <v>109.0635</v>
      </c>
      <c r="N1540" s="8">
        <v>150</v>
      </c>
      <c r="O1540" s="14">
        <f t="shared" si="252"/>
        <v>95235</v>
      </c>
      <c r="P1540" s="8">
        <v>40</v>
      </c>
      <c r="Q1540" s="8">
        <f t="shared" si="244"/>
        <v>3.75</v>
      </c>
      <c r="R1540" s="8">
        <f t="shared" si="245"/>
        <v>200</v>
      </c>
      <c r="S1540" s="8">
        <f t="shared" si="253"/>
        <v>203.75</v>
      </c>
      <c r="T1540" s="18">
        <f t="shared" si="248"/>
        <v>70.490140928469927</v>
      </c>
      <c r="U1540" s="20">
        <f t="shared" si="250"/>
        <v>498.61588109900526</v>
      </c>
      <c r="V1540" s="25" t="s">
        <v>2987</v>
      </c>
    </row>
    <row r="1541" spans="1:22" ht="15" customHeight="1" x14ac:dyDescent="0.25">
      <c r="A1541" t="s">
        <v>287</v>
      </c>
      <c r="B1541" t="s">
        <v>2824</v>
      </c>
      <c r="C1541" t="s">
        <v>2839</v>
      </c>
      <c r="D1541" t="s">
        <v>2844</v>
      </c>
      <c r="E1541" t="s">
        <v>480</v>
      </c>
      <c r="F1541" s="5">
        <v>2300</v>
      </c>
      <c r="G1541" t="s">
        <v>2845</v>
      </c>
      <c r="H1541" s="3">
        <v>1.05</v>
      </c>
      <c r="I1541" s="3">
        <v>1.71</v>
      </c>
      <c r="J1541" s="3">
        <v>0.84</v>
      </c>
      <c r="K1541">
        <v>51.22</v>
      </c>
      <c r="L1541">
        <f t="shared" si="251"/>
        <v>1.5082199999999999E-6</v>
      </c>
      <c r="M1541">
        <f t="shared" si="249"/>
        <v>6.0328799999999997E-5</v>
      </c>
      <c r="N1541" s="8">
        <v>40</v>
      </c>
      <c r="O1541" s="14">
        <f t="shared" si="252"/>
        <v>92000</v>
      </c>
      <c r="P1541" s="8">
        <v>40</v>
      </c>
      <c r="Q1541" s="8">
        <f t="shared" si="244"/>
        <v>1</v>
      </c>
      <c r="R1541" s="8">
        <f t="shared" si="245"/>
        <v>53.333333333333329</v>
      </c>
      <c r="S1541" s="8">
        <f t="shared" si="253"/>
        <v>54.333333333333329</v>
      </c>
      <c r="T1541" s="18">
        <f t="shared" si="248"/>
        <v>68.095689246802465</v>
      </c>
      <c r="U1541" s="20">
        <f t="shared" si="250"/>
        <v>566.71157034580779</v>
      </c>
      <c r="V1541" s="25" t="s">
        <v>2987</v>
      </c>
    </row>
    <row r="1542" spans="1:22" ht="15" customHeight="1" x14ac:dyDescent="0.25">
      <c r="A1542" t="s">
        <v>287</v>
      </c>
      <c r="B1542" t="s">
        <v>288</v>
      </c>
      <c r="C1542" t="s">
        <v>2706</v>
      </c>
      <c r="D1542" t="s">
        <v>2707</v>
      </c>
      <c r="E1542" t="s">
        <v>284</v>
      </c>
      <c r="F1542" s="5">
        <v>599</v>
      </c>
      <c r="G1542" t="s">
        <v>2708</v>
      </c>
      <c r="H1542" s="3">
        <v>17</v>
      </c>
      <c r="I1542" s="3">
        <v>138</v>
      </c>
      <c r="J1542" s="3">
        <v>188</v>
      </c>
      <c r="K1542" s="3">
        <v>15.8</v>
      </c>
      <c r="L1542">
        <f t="shared" si="251"/>
        <v>0.441048</v>
      </c>
      <c r="M1542">
        <f t="shared" si="249"/>
        <v>66.157200000000003</v>
      </c>
      <c r="N1542" s="8">
        <v>150</v>
      </c>
      <c r="O1542" s="14">
        <f t="shared" si="252"/>
        <v>89850</v>
      </c>
      <c r="P1542" s="8">
        <v>25</v>
      </c>
      <c r="Q1542" s="8">
        <f t="shared" si="244"/>
        <v>6</v>
      </c>
      <c r="R1542" s="8">
        <f t="shared" si="245"/>
        <v>125</v>
      </c>
      <c r="S1542" s="8">
        <f t="shared" si="253"/>
        <v>131</v>
      </c>
      <c r="T1542" s="18">
        <f t="shared" si="248"/>
        <v>66.504322595926098</v>
      </c>
      <c r="U1542" s="20">
        <f t="shared" si="250"/>
        <v>633.21589294173384</v>
      </c>
      <c r="V1542" s="25" t="s">
        <v>2987</v>
      </c>
    </row>
    <row r="1543" spans="1:22" ht="15" customHeight="1" x14ac:dyDescent="0.25">
      <c r="A1543" t="s">
        <v>287</v>
      </c>
      <c r="B1543" t="s">
        <v>288</v>
      </c>
      <c r="C1543" t="s">
        <v>2716</v>
      </c>
      <c r="D1543" t="s">
        <v>2717</v>
      </c>
      <c r="E1543" t="s">
        <v>284</v>
      </c>
      <c r="F1543" s="5">
        <v>549</v>
      </c>
      <c r="G1543" t="s">
        <v>2708</v>
      </c>
      <c r="H1543" s="3">
        <v>23</v>
      </c>
      <c r="I1543" s="3">
        <v>138</v>
      </c>
      <c r="J1543" s="3">
        <v>188</v>
      </c>
      <c r="K1543" s="3">
        <v>15.5</v>
      </c>
      <c r="L1543">
        <f t="shared" si="251"/>
        <v>0.59671200000000002</v>
      </c>
      <c r="M1543">
        <f t="shared" si="249"/>
        <v>89.506799999999998</v>
      </c>
      <c r="N1543" s="8">
        <v>150</v>
      </c>
      <c r="O1543" s="14">
        <f t="shared" si="252"/>
        <v>82350</v>
      </c>
      <c r="P1543" s="8">
        <v>25</v>
      </c>
      <c r="Q1543" s="8">
        <f t="shared" si="244"/>
        <v>6</v>
      </c>
      <c r="R1543" s="8">
        <f t="shared" si="245"/>
        <v>125</v>
      </c>
      <c r="S1543" s="8">
        <f t="shared" si="253"/>
        <v>131</v>
      </c>
      <c r="T1543" s="18">
        <f t="shared" si="248"/>
        <v>60.953043581241118</v>
      </c>
      <c r="U1543" s="20">
        <f t="shared" si="250"/>
        <v>694.16893652297495</v>
      </c>
      <c r="V1543" s="25" t="s">
        <v>2987</v>
      </c>
    </row>
    <row r="1544" spans="1:22" ht="15" customHeight="1" x14ac:dyDescent="0.25">
      <c r="A1544" t="s">
        <v>287</v>
      </c>
      <c r="B1544" t="s">
        <v>407</v>
      </c>
      <c r="C1544" t="s">
        <v>427</v>
      </c>
      <c r="D1544" t="s">
        <v>428</v>
      </c>
      <c r="E1544" t="s">
        <v>234</v>
      </c>
      <c r="F1544" s="5">
        <v>525.9</v>
      </c>
      <c r="G1544" t="s">
        <v>387</v>
      </c>
      <c r="H1544" s="3">
        <v>221</v>
      </c>
      <c r="I1544" s="3">
        <v>47</v>
      </c>
      <c r="J1544" s="3">
        <v>70</v>
      </c>
      <c r="K1544" s="3">
        <v>57.25</v>
      </c>
      <c r="L1544">
        <f t="shared" si="251"/>
        <v>0.72709000000000001</v>
      </c>
      <c r="M1544">
        <f t="shared" si="249"/>
        <v>109.0635</v>
      </c>
      <c r="N1544" s="8">
        <v>150</v>
      </c>
      <c r="O1544" s="14">
        <f t="shared" si="252"/>
        <v>78885</v>
      </c>
      <c r="P1544" s="8">
        <v>40</v>
      </c>
      <c r="Q1544" s="8">
        <f t="shared" si="244"/>
        <v>3.75</v>
      </c>
      <c r="R1544" s="8">
        <f t="shared" si="245"/>
        <v>200</v>
      </c>
      <c r="S1544" s="8">
        <f t="shared" si="253"/>
        <v>203.75</v>
      </c>
      <c r="T1544" s="18">
        <f t="shared" si="248"/>
        <v>58.388352676456655</v>
      </c>
      <c r="U1544" s="20">
        <f t="shared" si="250"/>
        <v>752.55728919943158</v>
      </c>
      <c r="V1544" s="25" t="s">
        <v>2987</v>
      </c>
    </row>
    <row r="1545" spans="1:22" ht="15" customHeight="1" x14ac:dyDescent="0.25">
      <c r="A1545" t="s">
        <v>287</v>
      </c>
      <c r="B1545" t="s">
        <v>407</v>
      </c>
      <c r="C1545" t="s">
        <v>427</v>
      </c>
      <c r="D1545" t="s">
        <v>430</v>
      </c>
      <c r="E1545" t="s">
        <v>234</v>
      </c>
      <c r="F1545" s="5">
        <v>489</v>
      </c>
      <c r="G1545" t="s">
        <v>387</v>
      </c>
      <c r="H1545" s="3">
        <v>221</v>
      </c>
      <c r="I1545" s="3">
        <v>52</v>
      </c>
      <c r="J1545" s="3">
        <v>70</v>
      </c>
      <c r="K1545" s="3">
        <v>50.8</v>
      </c>
      <c r="L1545">
        <f t="shared" si="251"/>
        <v>0.80444000000000004</v>
      </c>
      <c r="M1545">
        <f t="shared" si="249"/>
        <v>120.66600000000001</v>
      </c>
      <c r="N1545" s="8">
        <v>150</v>
      </c>
      <c r="O1545" s="14">
        <f t="shared" si="252"/>
        <v>73350</v>
      </c>
      <c r="P1545" s="8">
        <v>40</v>
      </c>
      <c r="Q1545" s="8">
        <f t="shared" si="244"/>
        <v>3.75</v>
      </c>
      <c r="R1545" s="8">
        <f t="shared" si="245"/>
        <v>200</v>
      </c>
      <c r="S1545" s="8">
        <f t="shared" si="253"/>
        <v>203.75</v>
      </c>
      <c r="T1545" s="18">
        <f t="shared" si="248"/>
        <v>54.291508763619142</v>
      </c>
      <c r="U1545" s="20">
        <f t="shared" si="250"/>
        <v>806.84879796305074</v>
      </c>
      <c r="V1545" s="25" t="s">
        <v>2987</v>
      </c>
    </row>
    <row r="1546" spans="1:22" ht="15" customHeight="1" x14ac:dyDescent="0.25">
      <c r="A1546" t="s">
        <v>287</v>
      </c>
      <c r="B1546" t="s">
        <v>288</v>
      </c>
      <c r="C1546" t="s">
        <v>2723</v>
      </c>
      <c r="D1546" t="s">
        <v>2724</v>
      </c>
      <c r="E1546" t="s">
        <v>284</v>
      </c>
      <c r="F1546" s="5">
        <v>790</v>
      </c>
      <c r="G1546" t="s">
        <v>2725</v>
      </c>
      <c r="H1546" s="3">
        <v>26</v>
      </c>
      <c r="I1546" s="3">
        <v>138</v>
      </c>
      <c r="J1546" s="3">
        <v>188</v>
      </c>
      <c r="K1546" s="3">
        <v>26.49</v>
      </c>
      <c r="L1546">
        <f t="shared" si="251"/>
        <v>0.67454400000000003</v>
      </c>
      <c r="M1546">
        <f t="shared" si="249"/>
        <v>60.708960000000005</v>
      </c>
      <c r="N1546" s="8">
        <v>90</v>
      </c>
      <c r="O1546" s="14">
        <f t="shared" si="252"/>
        <v>71100</v>
      </c>
      <c r="P1546" s="8">
        <v>25</v>
      </c>
      <c r="Q1546" s="8">
        <f t="shared" si="244"/>
        <v>3.6</v>
      </c>
      <c r="R1546" s="8">
        <f t="shared" si="245"/>
        <v>75</v>
      </c>
      <c r="S1546" s="8">
        <f t="shared" si="253"/>
        <v>78.599999999999994</v>
      </c>
      <c r="T1546" s="18">
        <f t="shared" si="248"/>
        <v>52.626125059213642</v>
      </c>
      <c r="U1546" s="20">
        <f t="shared" si="250"/>
        <v>859.47492302226442</v>
      </c>
      <c r="V1546" s="25" t="s">
        <v>2987</v>
      </c>
    </row>
    <row r="1547" spans="1:22" ht="15" customHeight="1" x14ac:dyDescent="0.25">
      <c r="A1547" t="s">
        <v>287</v>
      </c>
      <c r="B1547" t="s">
        <v>479</v>
      </c>
      <c r="C1547" t="s">
        <v>2812</v>
      </c>
      <c r="D1547" t="s">
        <v>2818</v>
      </c>
      <c r="E1547" t="s">
        <v>480</v>
      </c>
      <c r="F1547" s="5">
        <v>1449</v>
      </c>
      <c r="G1547" t="s">
        <v>504</v>
      </c>
      <c r="H1547" s="3">
        <v>123</v>
      </c>
      <c r="I1547" s="3">
        <v>75</v>
      </c>
      <c r="J1547" s="3">
        <v>123</v>
      </c>
      <c r="K1547" s="3">
        <v>42</v>
      </c>
      <c r="L1547">
        <f t="shared" si="251"/>
        <v>1.1346750000000001</v>
      </c>
      <c r="M1547">
        <f t="shared" si="249"/>
        <v>52.195050000000002</v>
      </c>
      <c r="N1547" s="8">
        <v>46</v>
      </c>
      <c r="O1547" s="14">
        <f t="shared" si="252"/>
        <v>66654</v>
      </c>
      <c r="P1547" s="8">
        <v>40</v>
      </c>
      <c r="Q1547" s="8">
        <f t="shared" si="244"/>
        <v>1.1499999999999999</v>
      </c>
      <c r="R1547" s="8">
        <f t="shared" si="245"/>
        <v>61.333333333333336</v>
      </c>
      <c r="S1547" s="8">
        <f t="shared" si="253"/>
        <v>62.483333333333334</v>
      </c>
      <c r="T1547" s="18">
        <f t="shared" si="248"/>
        <v>49.335326859308388</v>
      </c>
      <c r="U1547" s="20">
        <f t="shared" si="250"/>
        <v>908.81024988157276</v>
      </c>
      <c r="V1547" s="25" t="s">
        <v>2987</v>
      </c>
    </row>
    <row r="1548" spans="1:22" ht="15" customHeight="1" x14ac:dyDescent="0.25">
      <c r="A1548" t="s">
        <v>287</v>
      </c>
      <c r="B1548" t="s">
        <v>2824</v>
      </c>
      <c r="C1548" t="s">
        <v>2825</v>
      </c>
      <c r="D1548" t="s">
        <v>2838</v>
      </c>
      <c r="E1548" t="s">
        <v>480</v>
      </c>
      <c r="F1548" s="5">
        <v>790</v>
      </c>
      <c r="G1548" t="s">
        <v>2830</v>
      </c>
      <c r="H1548" s="3">
        <v>92</v>
      </c>
      <c r="I1548" s="3">
        <v>100</v>
      </c>
      <c r="J1548" s="3">
        <v>200</v>
      </c>
      <c r="K1548">
        <v>40</v>
      </c>
      <c r="L1548">
        <f t="shared" si="251"/>
        <v>1.84</v>
      </c>
      <c r="M1548">
        <f t="shared" si="249"/>
        <v>154.56</v>
      </c>
      <c r="N1548" s="8">
        <v>84</v>
      </c>
      <c r="O1548" s="14">
        <f t="shared" si="252"/>
        <v>66360</v>
      </c>
      <c r="P1548" s="8">
        <v>40</v>
      </c>
      <c r="Q1548" s="8">
        <f t="shared" si="244"/>
        <v>2.1</v>
      </c>
      <c r="R1548" s="8">
        <f t="shared" si="245"/>
        <v>112</v>
      </c>
      <c r="S1548" s="8">
        <f t="shared" si="253"/>
        <v>114.1</v>
      </c>
      <c r="T1548" s="18">
        <f t="shared" si="248"/>
        <v>49.117716721932737</v>
      </c>
      <c r="U1548" s="20">
        <f t="shared" si="250"/>
        <v>957.92796660350552</v>
      </c>
      <c r="V1548" s="25" t="s">
        <v>2987</v>
      </c>
    </row>
    <row r="1549" spans="1:22" ht="15" customHeight="1" x14ac:dyDescent="0.25">
      <c r="A1549" t="s">
        <v>287</v>
      </c>
      <c r="B1549" t="s">
        <v>288</v>
      </c>
      <c r="C1549" t="s">
        <v>2711</v>
      </c>
      <c r="D1549" t="s">
        <v>2712</v>
      </c>
      <c r="E1549" t="s">
        <v>284</v>
      </c>
      <c r="F1549" s="5">
        <v>659</v>
      </c>
      <c r="G1549" t="s">
        <v>2703</v>
      </c>
      <c r="H1549" s="3">
        <v>25</v>
      </c>
      <c r="I1549" s="3">
        <v>138</v>
      </c>
      <c r="J1549" s="3">
        <v>188</v>
      </c>
      <c r="K1549" s="3">
        <v>23</v>
      </c>
      <c r="L1549">
        <f t="shared" si="251"/>
        <v>0.64859999999999995</v>
      </c>
      <c r="M1549">
        <f t="shared" si="249"/>
        <v>58.373999999999995</v>
      </c>
      <c r="N1549" s="8">
        <v>90</v>
      </c>
      <c r="O1549" s="14">
        <f t="shared" si="252"/>
        <v>59310</v>
      </c>
      <c r="P1549" s="8">
        <v>25</v>
      </c>
      <c r="Q1549" s="8">
        <f t="shared" si="244"/>
        <v>3.6</v>
      </c>
      <c r="R1549" s="8">
        <f t="shared" si="245"/>
        <v>75</v>
      </c>
      <c r="S1549" s="8">
        <f t="shared" si="253"/>
        <v>78.599999999999994</v>
      </c>
      <c r="T1549" s="18">
        <f t="shared" si="248"/>
        <v>43.899514448128848</v>
      </c>
      <c r="U1549" s="20">
        <f t="shared" si="250"/>
        <v>1001.8274810516343</v>
      </c>
      <c r="V1549" s="25" t="s">
        <v>2987</v>
      </c>
    </row>
    <row r="1550" spans="1:22" ht="15" customHeight="1" x14ac:dyDescent="0.25">
      <c r="A1550" t="s">
        <v>287</v>
      </c>
      <c r="B1550" t="s">
        <v>288</v>
      </c>
      <c r="C1550" t="s">
        <v>2701</v>
      </c>
      <c r="D1550" t="s">
        <v>2702</v>
      </c>
      <c r="E1550" t="s">
        <v>284</v>
      </c>
      <c r="F1550" s="5">
        <v>740</v>
      </c>
      <c r="G1550" t="s">
        <v>2703</v>
      </c>
      <c r="H1550" s="3">
        <v>17</v>
      </c>
      <c r="I1550" s="3">
        <v>138</v>
      </c>
      <c r="J1550" s="3">
        <v>188</v>
      </c>
      <c r="K1550" s="3">
        <v>19</v>
      </c>
      <c r="L1550">
        <f t="shared" si="251"/>
        <v>0.441048</v>
      </c>
      <c r="M1550">
        <f t="shared" si="249"/>
        <v>35.283839999999998</v>
      </c>
      <c r="N1550" s="8">
        <v>80</v>
      </c>
      <c r="O1550" s="14">
        <f t="shared" si="252"/>
        <v>59200</v>
      </c>
      <c r="P1550" s="8">
        <v>25</v>
      </c>
      <c r="Q1550" s="8">
        <f t="shared" si="244"/>
        <v>3.2</v>
      </c>
      <c r="R1550" s="8">
        <f t="shared" si="245"/>
        <v>66.666666666666657</v>
      </c>
      <c r="S1550" s="8">
        <f t="shared" si="253"/>
        <v>69.86666666666666</v>
      </c>
      <c r="T1550" s="18">
        <f t="shared" si="248"/>
        <v>43.818095689246803</v>
      </c>
      <c r="U1550" s="20">
        <f t="shared" si="250"/>
        <v>1045.6455767408811</v>
      </c>
      <c r="V1550" s="25" t="s">
        <v>2987</v>
      </c>
    </row>
    <row r="1551" spans="1:22" ht="15" customHeight="1" x14ac:dyDescent="0.25">
      <c r="A1551" t="s">
        <v>287</v>
      </c>
      <c r="B1551" t="s">
        <v>2824</v>
      </c>
      <c r="C1551" t="s">
        <v>2839</v>
      </c>
      <c r="D1551" t="s">
        <v>2849</v>
      </c>
      <c r="E1551" t="s">
        <v>480</v>
      </c>
      <c r="F1551" s="5">
        <v>480</v>
      </c>
      <c r="G1551" t="s">
        <v>2850</v>
      </c>
      <c r="H1551" s="3">
        <v>55</v>
      </c>
      <c r="I1551" s="3">
        <v>68</v>
      </c>
      <c r="J1551" s="3">
        <v>64</v>
      </c>
      <c r="K1551">
        <v>10</v>
      </c>
      <c r="L1551">
        <f t="shared" si="251"/>
        <v>0.23935999999999999</v>
      </c>
      <c r="M1551">
        <f t="shared" si="249"/>
        <v>29.441279999999999</v>
      </c>
      <c r="N1551" s="8">
        <v>123</v>
      </c>
      <c r="O1551" s="14">
        <f t="shared" si="252"/>
        <v>59040</v>
      </c>
      <c r="P1551" s="8">
        <v>40</v>
      </c>
      <c r="Q1551" s="8">
        <f t="shared" si="244"/>
        <v>3.0750000000000002</v>
      </c>
      <c r="R1551" s="8">
        <f t="shared" si="245"/>
        <v>164</v>
      </c>
      <c r="S1551" s="8">
        <f t="shared" si="253"/>
        <v>167.07499999999999</v>
      </c>
      <c r="T1551" s="18">
        <f t="shared" si="248"/>
        <v>43.699668403600192</v>
      </c>
      <c r="U1551" s="20">
        <f t="shared" si="250"/>
        <v>1089.3452451444814</v>
      </c>
      <c r="V1551" s="25" t="s">
        <v>2987</v>
      </c>
    </row>
    <row r="1552" spans="1:22" ht="15" customHeight="1" x14ac:dyDescent="0.25">
      <c r="A1552" t="s">
        <v>287</v>
      </c>
      <c r="B1552" t="s">
        <v>288</v>
      </c>
      <c r="C1552" t="s">
        <v>2713</v>
      </c>
      <c r="D1552" t="s">
        <v>2714</v>
      </c>
      <c r="E1552" t="s">
        <v>284</v>
      </c>
      <c r="F1552" s="5">
        <v>649</v>
      </c>
      <c r="G1552" t="s">
        <v>2715</v>
      </c>
      <c r="H1552" s="3">
        <v>26</v>
      </c>
      <c r="I1552" s="3">
        <v>138</v>
      </c>
      <c r="J1552" s="3">
        <v>188</v>
      </c>
      <c r="K1552" s="3">
        <v>27</v>
      </c>
      <c r="L1552">
        <f t="shared" si="251"/>
        <v>0.67454400000000003</v>
      </c>
      <c r="M1552">
        <f t="shared" si="249"/>
        <v>60.708960000000005</v>
      </c>
      <c r="N1552" s="8">
        <v>90</v>
      </c>
      <c r="O1552" s="14">
        <f t="shared" si="252"/>
        <v>58410</v>
      </c>
      <c r="P1552" s="8">
        <v>25</v>
      </c>
      <c r="Q1552" s="8">
        <f t="shared" si="244"/>
        <v>3.6</v>
      </c>
      <c r="R1552" s="8">
        <f t="shared" si="245"/>
        <v>75</v>
      </c>
      <c r="S1552" s="8">
        <f t="shared" si="253"/>
        <v>78.599999999999994</v>
      </c>
      <c r="T1552" s="18">
        <f t="shared" si="248"/>
        <v>43.233360966366654</v>
      </c>
      <c r="U1552" s="20">
        <f t="shared" si="250"/>
        <v>1132.5786061108481</v>
      </c>
      <c r="V1552" s="25" t="s">
        <v>2987</v>
      </c>
    </row>
    <row r="1553" spans="1:22" ht="15" customHeight="1" x14ac:dyDescent="0.25">
      <c r="A1553" t="s">
        <v>287</v>
      </c>
      <c r="B1553" t="s">
        <v>288</v>
      </c>
      <c r="C1553" t="s">
        <v>2726</v>
      </c>
      <c r="D1553" t="s">
        <v>2727</v>
      </c>
      <c r="E1553" t="s">
        <v>284</v>
      </c>
      <c r="F1553" s="5">
        <v>699</v>
      </c>
      <c r="G1553" t="s">
        <v>2728</v>
      </c>
      <c r="H1553" s="3">
        <v>26</v>
      </c>
      <c r="I1553" s="3">
        <v>138</v>
      </c>
      <c r="J1553" s="3">
        <v>188</v>
      </c>
      <c r="K1553" s="3">
        <v>29</v>
      </c>
      <c r="L1553">
        <f t="shared" si="251"/>
        <v>0.67454400000000003</v>
      </c>
      <c r="M1553">
        <f t="shared" si="249"/>
        <v>53.963520000000003</v>
      </c>
      <c r="N1553" s="8">
        <v>80</v>
      </c>
      <c r="O1553" s="14">
        <f t="shared" si="252"/>
        <v>55920</v>
      </c>
      <c r="P1553" s="8">
        <v>25</v>
      </c>
      <c r="Q1553" s="8">
        <f t="shared" si="244"/>
        <v>3.2</v>
      </c>
      <c r="R1553" s="8">
        <f t="shared" si="245"/>
        <v>66.666666666666657</v>
      </c>
      <c r="S1553" s="8">
        <f t="shared" si="253"/>
        <v>69.86666666666666</v>
      </c>
      <c r="T1553" s="18">
        <f t="shared" si="248"/>
        <v>41.390336333491234</v>
      </c>
      <c r="U1553" s="20">
        <f t="shared" si="250"/>
        <v>1173.9689424443393</v>
      </c>
      <c r="V1553" s="25" t="s">
        <v>2987</v>
      </c>
    </row>
    <row r="1554" spans="1:22" ht="15" customHeight="1" x14ac:dyDescent="0.25">
      <c r="A1554" t="s">
        <v>287</v>
      </c>
      <c r="B1554" t="s">
        <v>2824</v>
      </c>
      <c r="C1554" t="s">
        <v>2839</v>
      </c>
      <c r="D1554" t="s">
        <v>2840</v>
      </c>
      <c r="E1554" t="s">
        <v>480</v>
      </c>
      <c r="F1554" s="5">
        <v>920</v>
      </c>
      <c r="G1554" t="s">
        <v>2841</v>
      </c>
      <c r="H1554" s="3">
        <v>77</v>
      </c>
      <c r="I1554" s="3">
        <v>78</v>
      </c>
      <c r="J1554" s="3">
        <v>77</v>
      </c>
      <c r="K1554">
        <v>24</v>
      </c>
      <c r="L1554">
        <f t="shared" si="251"/>
        <v>0.46246199999999998</v>
      </c>
      <c r="M1554">
        <f t="shared" si="249"/>
        <v>27.747719999999997</v>
      </c>
      <c r="N1554" s="8">
        <v>60</v>
      </c>
      <c r="O1554" s="14">
        <f t="shared" si="252"/>
        <v>55200</v>
      </c>
      <c r="P1554" s="8">
        <v>40</v>
      </c>
      <c r="Q1554" s="8">
        <f t="shared" si="244"/>
        <v>1.5</v>
      </c>
      <c r="R1554" s="8">
        <f t="shared" si="245"/>
        <v>80</v>
      </c>
      <c r="S1554" s="8">
        <f t="shared" si="253"/>
        <v>81.5</v>
      </c>
      <c r="T1554" s="18">
        <f t="shared" si="248"/>
        <v>40.857413548081482</v>
      </c>
      <c r="U1554" s="20">
        <f t="shared" si="250"/>
        <v>1214.8263559924208</v>
      </c>
      <c r="V1554" s="25" t="s">
        <v>2987</v>
      </c>
    </row>
    <row r="1555" spans="1:22" ht="15" customHeight="1" x14ac:dyDescent="0.25">
      <c r="A1555" t="s">
        <v>287</v>
      </c>
      <c r="B1555" t="s">
        <v>2824</v>
      </c>
      <c r="C1555" t="s">
        <v>2825</v>
      </c>
      <c r="D1555" t="s">
        <v>2835</v>
      </c>
      <c r="E1555" t="s">
        <v>480</v>
      </c>
      <c r="F1555" s="5">
        <v>1200</v>
      </c>
      <c r="G1555" t="s">
        <v>2828</v>
      </c>
      <c r="H1555" s="3">
        <v>79</v>
      </c>
      <c r="I1555" s="3">
        <v>91</v>
      </c>
      <c r="J1555" s="3">
        <v>220</v>
      </c>
      <c r="K1555">
        <v>67</v>
      </c>
      <c r="L1555">
        <f t="shared" si="251"/>
        <v>1.58158</v>
      </c>
      <c r="M1555">
        <f t="shared" si="249"/>
        <v>71.961889999999997</v>
      </c>
      <c r="N1555" s="8">
        <v>45.5</v>
      </c>
      <c r="O1555" s="14">
        <f t="shared" si="252"/>
        <v>54600</v>
      </c>
      <c r="P1555" s="8">
        <v>40</v>
      </c>
      <c r="Q1555" s="8">
        <f t="shared" si="244"/>
        <v>1.1375</v>
      </c>
      <c r="R1555" s="8">
        <f t="shared" si="245"/>
        <v>60.666666666666664</v>
      </c>
      <c r="S1555" s="8">
        <f t="shared" si="253"/>
        <v>61.804166666666667</v>
      </c>
      <c r="T1555" s="18">
        <f t="shared" si="248"/>
        <v>40.413311226906679</v>
      </c>
      <c r="U1555" s="20">
        <f t="shared" si="250"/>
        <v>1255.2396672193274</v>
      </c>
      <c r="V1555" s="25" t="s">
        <v>2987</v>
      </c>
    </row>
    <row r="1556" spans="1:22" ht="15" customHeight="1" x14ac:dyDescent="0.25">
      <c r="A1556" t="s">
        <v>287</v>
      </c>
      <c r="B1556" t="s">
        <v>904</v>
      </c>
      <c r="C1556" t="s">
        <v>2779</v>
      </c>
      <c r="D1556" t="s">
        <v>2853</v>
      </c>
      <c r="E1556" t="s">
        <v>480</v>
      </c>
      <c r="F1556" s="5">
        <v>1073.9000000000001</v>
      </c>
      <c r="G1556" t="s">
        <v>444</v>
      </c>
      <c r="H1556" s="3">
        <v>207</v>
      </c>
      <c r="I1556" s="3">
        <v>129</v>
      </c>
      <c r="J1556" s="3">
        <v>215</v>
      </c>
      <c r="K1556" s="3">
        <v>42</v>
      </c>
      <c r="L1556">
        <f t="shared" si="251"/>
        <v>5.7411450000000004</v>
      </c>
      <c r="M1556">
        <f t="shared" si="249"/>
        <v>287.05725000000001</v>
      </c>
      <c r="N1556" s="8">
        <v>50</v>
      </c>
      <c r="O1556" s="14">
        <f t="shared" si="252"/>
        <v>53695.000000000007</v>
      </c>
      <c r="P1556" s="8">
        <v>15</v>
      </c>
      <c r="Q1556" s="8">
        <f t="shared" si="244"/>
        <v>3.3333333333333335</v>
      </c>
      <c r="R1556" s="8">
        <f t="shared" si="245"/>
        <v>25</v>
      </c>
      <c r="S1556" s="8">
        <f t="shared" si="253"/>
        <v>28.333333333333332</v>
      </c>
      <c r="T1556" s="18">
        <f t="shared" si="248"/>
        <v>39.743456892468032</v>
      </c>
      <c r="U1556" s="20">
        <f t="shared" si="250"/>
        <v>1294.9831241117954</v>
      </c>
      <c r="V1556" s="25" t="s">
        <v>2987</v>
      </c>
    </row>
    <row r="1557" spans="1:22" ht="15" customHeight="1" x14ac:dyDescent="0.25">
      <c r="A1557" t="s">
        <v>287</v>
      </c>
      <c r="B1557" t="s">
        <v>288</v>
      </c>
      <c r="C1557" t="s">
        <v>2731</v>
      </c>
      <c r="D1557" t="s">
        <v>285</v>
      </c>
      <c r="E1557" t="s">
        <v>284</v>
      </c>
      <c r="F1557" s="5">
        <v>759</v>
      </c>
      <c r="G1557" t="s">
        <v>2703</v>
      </c>
      <c r="H1557" s="3">
        <v>24</v>
      </c>
      <c r="I1557" s="3">
        <v>138</v>
      </c>
      <c r="J1557" s="3">
        <v>188</v>
      </c>
      <c r="K1557" s="3">
        <v>100</v>
      </c>
      <c r="L1557">
        <f t="shared" si="251"/>
        <v>0.62265599999999999</v>
      </c>
      <c r="M1557">
        <f t="shared" si="249"/>
        <v>43.585920000000002</v>
      </c>
      <c r="N1557" s="8">
        <v>70</v>
      </c>
      <c r="O1557" s="14">
        <f t="shared" si="252"/>
        <v>53130</v>
      </c>
      <c r="P1557" s="8">
        <v>25</v>
      </c>
      <c r="Q1557" s="8">
        <f t="shared" si="244"/>
        <v>2.8</v>
      </c>
      <c r="R1557" s="8">
        <f t="shared" si="245"/>
        <v>58.333333333333336</v>
      </c>
      <c r="S1557" s="8">
        <f t="shared" si="253"/>
        <v>61.133333333333333</v>
      </c>
      <c r="T1557" s="18">
        <f t="shared" si="248"/>
        <v>39.325260540028424</v>
      </c>
      <c r="U1557" s="20">
        <f t="shared" si="250"/>
        <v>1334.3083846518239</v>
      </c>
      <c r="V1557" s="25" t="s">
        <v>2987</v>
      </c>
    </row>
    <row r="1558" spans="1:22" ht="15" customHeight="1" x14ac:dyDescent="0.25">
      <c r="A1558" t="s">
        <v>287</v>
      </c>
      <c r="B1558" t="s">
        <v>2778</v>
      </c>
      <c r="C1558" t="s">
        <v>2779</v>
      </c>
      <c r="D1558" t="s">
        <v>2783</v>
      </c>
      <c r="E1558" t="s">
        <v>480</v>
      </c>
      <c r="F1558" s="5">
        <v>439</v>
      </c>
      <c r="G1558" t="s">
        <v>2784</v>
      </c>
      <c r="H1558" s="3">
        <v>103</v>
      </c>
      <c r="I1558" s="3">
        <v>53</v>
      </c>
      <c r="J1558" s="3">
        <v>52</v>
      </c>
      <c r="K1558" s="3">
        <v>15</v>
      </c>
      <c r="L1558">
        <f t="shared" si="251"/>
        <v>0.28386800000000001</v>
      </c>
      <c r="M1558">
        <f t="shared" si="249"/>
        <v>34.064160000000001</v>
      </c>
      <c r="N1558" s="8">
        <v>120</v>
      </c>
      <c r="O1558" s="14">
        <f t="shared" si="252"/>
        <v>52680</v>
      </c>
      <c r="P1558" s="8">
        <v>40</v>
      </c>
      <c r="Q1558" s="8">
        <f t="shared" si="244"/>
        <v>3</v>
      </c>
      <c r="R1558" s="8">
        <f t="shared" si="245"/>
        <v>160</v>
      </c>
      <c r="S1558" s="8">
        <f t="shared" si="253"/>
        <v>163</v>
      </c>
      <c r="T1558" s="18">
        <f t="shared" si="248"/>
        <v>38.992183799147327</v>
      </c>
      <c r="U1558" s="20">
        <f t="shared" si="250"/>
        <v>1373.3005684509712</v>
      </c>
      <c r="V1558" s="25" t="s">
        <v>2987</v>
      </c>
    </row>
    <row r="1559" spans="1:22" ht="15" customHeight="1" x14ac:dyDescent="0.25">
      <c r="A1559" t="s">
        <v>287</v>
      </c>
      <c r="B1559" t="s">
        <v>479</v>
      </c>
      <c r="C1559" t="s">
        <v>2812</v>
      </c>
      <c r="D1559" t="s">
        <v>2817</v>
      </c>
      <c r="E1559" t="s">
        <v>480</v>
      </c>
      <c r="F1559" s="5">
        <v>1099.9000000000001</v>
      </c>
      <c r="G1559" t="s">
        <v>507</v>
      </c>
      <c r="H1559" s="3">
        <v>60</v>
      </c>
      <c r="I1559" s="3">
        <v>90</v>
      </c>
      <c r="J1559" s="3">
        <v>150</v>
      </c>
      <c r="K1559" s="3">
        <v>23</v>
      </c>
      <c r="L1559">
        <f t="shared" si="251"/>
        <v>0.81</v>
      </c>
      <c r="M1559">
        <f t="shared" si="249"/>
        <v>37.260000000000005</v>
      </c>
      <c r="N1559" s="8">
        <v>46</v>
      </c>
      <c r="O1559" s="14">
        <f t="shared" si="252"/>
        <v>50595.4</v>
      </c>
      <c r="P1559" s="8">
        <v>40</v>
      </c>
      <c r="Q1559" s="8">
        <f t="shared" si="244"/>
        <v>1.1499999999999999</v>
      </c>
      <c r="R1559" s="8">
        <f t="shared" si="245"/>
        <v>61.333333333333336</v>
      </c>
      <c r="S1559" s="8">
        <f t="shared" si="253"/>
        <v>62.483333333333334</v>
      </c>
      <c r="T1559" s="18">
        <f t="shared" si="248"/>
        <v>37.449224301279017</v>
      </c>
      <c r="U1559" s="20">
        <f t="shared" si="250"/>
        <v>1410.7497927522502</v>
      </c>
      <c r="V1559" s="25" t="s">
        <v>2987</v>
      </c>
    </row>
    <row r="1560" spans="1:22" ht="15" customHeight="1" x14ac:dyDescent="0.25">
      <c r="A1560" t="s">
        <v>287</v>
      </c>
      <c r="B1560" t="s">
        <v>407</v>
      </c>
      <c r="C1560" t="s">
        <v>427</v>
      </c>
      <c r="D1560" t="s">
        <v>434</v>
      </c>
      <c r="E1560" t="s">
        <v>234</v>
      </c>
      <c r="F1560" s="5">
        <v>714</v>
      </c>
      <c r="G1560" t="s">
        <v>387</v>
      </c>
      <c r="H1560" s="3">
        <v>224</v>
      </c>
      <c r="I1560" s="3">
        <v>31.6</v>
      </c>
      <c r="J1560" s="3">
        <v>70</v>
      </c>
      <c r="K1560" s="3">
        <v>45</v>
      </c>
      <c r="L1560">
        <f t="shared" si="251"/>
        <v>0.49548799999999998</v>
      </c>
      <c r="M1560">
        <f t="shared" si="249"/>
        <v>34.684159999999999</v>
      </c>
      <c r="N1560" s="8">
        <v>70</v>
      </c>
      <c r="O1560" s="14">
        <f t="shared" si="252"/>
        <v>49980</v>
      </c>
      <c r="P1560" s="8">
        <v>40</v>
      </c>
      <c r="Q1560" s="8">
        <f t="shared" si="244"/>
        <v>1.75</v>
      </c>
      <c r="R1560" s="8">
        <f t="shared" si="245"/>
        <v>93.333333333333343</v>
      </c>
      <c r="S1560" s="8">
        <f t="shared" si="253"/>
        <v>95.083333333333343</v>
      </c>
      <c r="T1560" s="18">
        <f t="shared" si="248"/>
        <v>36.99372335386073</v>
      </c>
      <c r="U1560" s="20">
        <f t="shared" si="250"/>
        <v>1447.743516106111</v>
      </c>
      <c r="V1560" s="25" t="s">
        <v>2987</v>
      </c>
    </row>
    <row r="1561" spans="1:22" ht="15" customHeight="1" x14ac:dyDescent="0.25">
      <c r="A1561" t="s">
        <v>287</v>
      </c>
      <c r="B1561" t="s">
        <v>2824</v>
      </c>
      <c r="C1561" t="s">
        <v>2825</v>
      </c>
      <c r="D1561" t="s">
        <v>2827</v>
      </c>
      <c r="E1561" t="s">
        <v>480</v>
      </c>
      <c r="F1561" s="5">
        <v>1200</v>
      </c>
      <c r="G1561" t="s">
        <v>2828</v>
      </c>
      <c r="H1561" s="3">
        <v>93</v>
      </c>
      <c r="I1561" s="3">
        <v>158</v>
      </c>
      <c r="J1561" s="3">
        <v>220</v>
      </c>
      <c r="K1561">
        <v>88</v>
      </c>
      <c r="L1561">
        <f t="shared" si="251"/>
        <v>3.2326800000000002</v>
      </c>
      <c r="M1561">
        <f t="shared" si="249"/>
        <v>129.30720000000002</v>
      </c>
      <c r="N1561" s="8">
        <v>40</v>
      </c>
      <c r="O1561" s="14">
        <f t="shared" si="252"/>
        <v>48000</v>
      </c>
      <c r="P1561" s="8">
        <v>40</v>
      </c>
      <c r="Q1561" s="8">
        <f t="shared" si="244"/>
        <v>1</v>
      </c>
      <c r="R1561" s="8">
        <f t="shared" si="245"/>
        <v>53.333333333333329</v>
      </c>
      <c r="S1561" s="8">
        <f t="shared" si="253"/>
        <v>54.333333333333329</v>
      </c>
      <c r="T1561" s="18">
        <f t="shared" si="248"/>
        <v>35.528185693983893</v>
      </c>
      <c r="U1561" s="20">
        <f t="shared" si="250"/>
        <v>1483.2717018000949</v>
      </c>
      <c r="V1561" s="25" t="s">
        <v>2987</v>
      </c>
    </row>
    <row r="1562" spans="1:22" ht="15" customHeight="1" x14ac:dyDescent="0.25">
      <c r="A1562" t="s">
        <v>287</v>
      </c>
      <c r="B1562" t="s">
        <v>479</v>
      </c>
      <c r="C1562" t="s">
        <v>2812</v>
      </c>
      <c r="D1562" t="s">
        <v>2816</v>
      </c>
      <c r="E1562" t="s">
        <v>480</v>
      </c>
      <c r="F1562" s="5">
        <v>999.9</v>
      </c>
      <c r="G1562" t="s">
        <v>504</v>
      </c>
      <c r="H1562" s="3">
        <v>125</v>
      </c>
      <c r="I1562" s="3">
        <v>75</v>
      </c>
      <c r="J1562" s="3">
        <v>125</v>
      </c>
      <c r="K1562" s="3">
        <v>33</v>
      </c>
      <c r="L1562">
        <f t="shared" si="251"/>
        <v>1.171875</v>
      </c>
      <c r="M1562">
        <f t="shared" si="249"/>
        <v>53.90625</v>
      </c>
      <c r="N1562" s="8">
        <v>46</v>
      </c>
      <c r="O1562" s="14">
        <f t="shared" si="252"/>
        <v>45995.4</v>
      </c>
      <c r="P1562" s="8">
        <v>40</v>
      </c>
      <c r="Q1562" s="8">
        <f t="shared" si="244"/>
        <v>1.1499999999999999</v>
      </c>
      <c r="R1562" s="8">
        <f t="shared" si="245"/>
        <v>61.333333333333336</v>
      </c>
      <c r="S1562" s="8">
        <f t="shared" si="253"/>
        <v>62.483333333333334</v>
      </c>
      <c r="T1562" s="18">
        <f t="shared" si="248"/>
        <v>34.044439838938892</v>
      </c>
      <c r="U1562" s="20">
        <f t="shared" si="250"/>
        <v>1517.3161416390337</v>
      </c>
      <c r="V1562" s="25" t="s">
        <v>2987</v>
      </c>
    </row>
    <row r="1563" spans="1:22" ht="15" customHeight="1" x14ac:dyDescent="0.25">
      <c r="A1563" t="s">
        <v>287</v>
      </c>
      <c r="B1563" t="s">
        <v>288</v>
      </c>
      <c r="C1563" t="s">
        <v>2720</v>
      </c>
      <c r="D1563" t="s">
        <v>2721</v>
      </c>
      <c r="E1563" t="s">
        <v>284</v>
      </c>
      <c r="F1563" s="5">
        <v>629</v>
      </c>
      <c r="G1563" t="s">
        <v>2722</v>
      </c>
      <c r="H1563" s="3">
        <v>22</v>
      </c>
      <c r="I1563" s="3">
        <v>138</v>
      </c>
      <c r="J1563" s="3">
        <v>188</v>
      </c>
      <c r="K1563" s="3">
        <v>30</v>
      </c>
      <c r="L1563">
        <f t="shared" si="251"/>
        <v>0.57076800000000005</v>
      </c>
      <c r="M1563">
        <f t="shared" si="249"/>
        <v>39.953760000000003</v>
      </c>
      <c r="N1563" s="8">
        <v>70</v>
      </c>
      <c r="O1563" s="14">
        <f t="shared" si="252"/>
        <v>44030</v>
      </c>
      <c r="P1563" s="8">
        <v>25</v>
      </c>
      <c r="Q1563" s="8">
        <f t="shared" si="244"/>
        <v>2.8</v>
      </c>
      <c r="R1563" s="8">
        <f t="shared" si="245"/>
        <v>58.333333333333336</v>
      </c>
      <c r="S1563" s="8">
        <f t="shared" si="253"/>
        <v>61.133333333333333</v>
      </c>
      <c r="T1563" s="18">
        <f t="shared" si="248"/>
        <v>32.589708668877307</v>
      </c>
      <c r="U1563" s="20">
        <f t="shared" si="250"/>
        <v>1549.9058503079111</v>
      </c>
      <c r="V1563" s="25" t="s">
        <v>2987</v>
      </c>
    </row>
    <row r="1564" spans="1:22" ht="15" customHeight="1" x14ac:dyDescent="0.25">
      <c r="A1564" t="s">
        <v>287</v>
      </c>
      <c r="B1564" t="s">
        <v>2824</v>
      </c>
      <c r="C1564" t="s">
        <v>2839</v>
      </c>
      <c r="D1564" t="s">
        <v>2843</v>
      </c>
      <c r="E1564" t="s">
        <v>480</v>
      </c>
      <c r="F1564" s="5">
        <v>1100</v>
      </c>
      <c r="G1564" t="s">
        <v>2841</v>
      </c>
      <c r="H1564" s="3">
        <v>105</v>
      </c>
      <c r="I1564" s="3">
        <v>65</v>
      </c>
      <c r="J1564" s="3">
        <v>88</v>
      </c>
      <c r="K1564">
        <v>33.4</v>
      </c>
      <c r="L1564">
        <f t="shared" si="251"/>
        <v>0.60060000000000002</v>
      </c>
      <c r="M1564">
        <f t="shared" si="249"/>
        <v>24.024000000000001</v>
      </c>
      <c r="N1564" s="8">
        <v>40</v>
      </c>
      <c r="O1564" s="14">
        <f t="shared" si="252"/>
        <v>44000</v>
      </c>
      <c r="P1564" s="8">
        <v>40</v>
      </c>
      <c r="Q1564" s="8">
        <f t="shared" si="244"/>
        <v>1</v>
      </c>
      <c r="R1564" s="8">
        <f t="shared" si="245"/>
        <v>53.333333333333329</v>
      </c>
      <c r="S1564" s="8">
        <f t="shared" si="253"/>
        <v>54.333333333333329</v>
      </c>
      <c r="T1564" s="18">
        <f t="shared" si="248"/>
        <v>32.567503552818572</v>
      </c>
      <c r="U1564" s="20">
        <f t="shared" si="250"/>
        <v>1582.4733538607297</v>
      </c>
      <c r="V1564" s="25" t="s">
        <v>2987</v>
      </c>
    </row>
    <row r="1565" spans="1:22" ht="15" customHeight="1" x14ac:dyDescent="0.25">
      <c r="A1565" t="s">
        <v>287</v>
      </c>
      <c r="B1565" t="s">
        <v>479</v>
      </c>
      <c r="C1565" t="s">
        <v>2819</v>
      </c>
      <c r="D1565" t="s">
        <v>2821</v>
      </c>
      <c r="E1565" t="s">
        <v>480</v>
      </c>
      <c r="F1565" s="5">
        <v>539</v>
      </c>
      <c r="G1565" t="s">
        <v>512</v>
      </c>
      <c r="H1565" s="3">
        <v>81</v>
      </c>
      <c r="I1565" s="3">
        <v>49</v>
      </c>
      <c r="J1565" s="3">
        <v>41</v>
      </c>
      <c r="K1565" s="3">
        <v>3.5</v>
      </c>
      <c r="L1565">
        <f t="shared" si="251"/>
        <v>0.16272900000000001</v>
      </c>
      <c r="M1565">
        <f t="shared" si="249"/>
        <v>11.228301</v>
      </c>
      <c r="N1565" s="8">
        <v>69</v>
      </c>
      <c r="O1565" s="14">
        <f t="shared" si="252"/>
        <v>37191</v>
      </c>
      <c r="P1565" s="8">
        <v>40</v>
      </c>
      <c r="Q1565" s="8">
        <f t="shared" si="244"/>
        <v>1.7250000000000001</v>
      </c>
      <c r="R1565" s="8">
        <f t="shared" si="245"/>
        <v>92</v>
      </c>
      <c r="S1565" s="8">
        <f t="shared" si="253"/>
        <v>93.724999999999994</v>
      </c>
      <c r="T1565" s="18">
        <f t="shared" si="248"/>
        <v>27.527682378019897</v>
      </c>
      <c r="U1565" s="20">
        <f t="shared" si="250"/>
        <v>1610.0010362387495</v>
      </c>
      <c r="V1565" s="25" t="s">
        <v>2987</v>
      </c>
    </row>
    <row r="1566" spans="1:22" ht="15" customHeight="1" x14ac:dyDescent="0.25">
      <c r="A1566" t="s">
        <v>287</v>
      </c>
      <c r="B1566" t="s">
        <v>904</v>
      </c>
      <c r="C1566" t="s">
        <v>2785</v>
      </c>
      <c r="D1566" t="s">
        <v>275</v>
      </c>
      <c r="E1566" t="s">
        <v>480</v>
      </c>
      <c r="F1566" s="5">
        <v>1199</v>
      </c>
      <c r="G1566" t="s">
        <v>2856</v>
      </c>
      <c r="H1566" s="3">
        <v>100</v>
      </c>
      <c r="I1566" s="3">
        <v>61</v>
      </c>
      <c r="J1566" s="3">
        <v>40</v>
      </c>
      <c r="K1566" s="3">
        <v>32</v>
      </c>
      <c r="L1566">
        <f t="shared" si="251"/>
        <v>0.24399999999999999</v>
      </c>
      <c r="M1566">
        <f t="shared" si="249"/>
        <v>7.32</v>
      </c>
      <c r="N1566" s="8">
        <v>30</v>
      </c>
      <c r="O1566" s="14">
        <f t="shared" si="252"/>
        <v>35970</v>
      </c>
      <c r="P1566" s="8">
        <v>15</v>
      </c>
      <c r="Q1566" s="8">
        <f t="shared" si="244"/>
        <v>2</v>
      </c>
      <c r="R1566" s="8">
        <f t="shared" si="245"/>
        <v>15</v>
      </c>
      <c r="S1566" s="8">
        <f t="shared" si="253"/>
        <v>17</v>
      </c>
      <c r="T1566" s="18">
        <f t="shared" si="248"/>
        <v>26.623934154429183</v>
      </c>
      <c r="U1566" s="20">
        <f t="shared" si="250"/>
        <v>1636.6249703931787</v>
      </c>
      <c r="V1566" s="25" t="s">
        <v>2987</v>
      </c>
    </row>
    <row r="1567" spans="1:22" ht="15" customHeight="1" x14ac:dyDescent="0.25">
      <c r="A1567" t="s">
        <v>287</v>
      </c>
      <c r="B1567" t="s">
        <v>2824</v>
      </c>
      <c r="C1567" t="s">
        <v>2825</v>
      </c>
      <c r="D1567" t="s">
        <v>2829</v>
      </c>
      <c r="E1567" t="s">
        <v>480</v>
      </c>
      <c r="F1567" s="5">
        <v>420</v>
      </c>
      <c r="G1567" t="s">
        <v>2830</v>
      </c>
      <c r="H1567" s="3">
        <v>92</v>
      </c>
      <c r="I1567" s="3">
        <v>90</v>
      </c>
      <c r="J1567" s="3">
        <v>148</v>
      </c>
      <c r="K1567">
        <v>32</v>
      </c>
      <c r="L1567">
        <f t="shared" si="251"/>
        <v>1.2254400000000001</v>
      </c>
      <c r="M1567">
        <f t="shared" si="249"/>
        <v>98.035200000000003</v>
      </c>
      <c r="N1567" s="8">
        <v>80</v>
      </c>
      <c r="O1567" s="14">
        <f t="shared" si="252"/>
        <v>33600</v>
      </c>
      <c r="P1567" s="8">
        <v>40</v>
      </c>
      <c r="Q1567" s="8">
        <f t="shared" ref="Q1567:Q1630" si="254">N1567/P1567</f>
        <v>2</v>
      </c>
      <c r="R1567" s="8">
        <f t="shared" ref="R1567:R1630" si="255">(N1567/30)*P1567</f>
        <v>106.66666666666666</v>
      </c>
      <c r="S1567" s="8">
        <f t="shared" si="253"/>
        <v>108.66666666666666</v>
      </c>
      <c r="T1567" s="18">
        <f t="shared" si="248"/>
        <v>24.869729985788727</v>
      </c>
      <c r="U1567" s="20">
        <f t="shared" si="250"/>
        <v>1661.4947003789675</v>
      </c>
      <c r="V1567" s="25" t="s">
        <v>2987</v>
      </c>
    </row>
    <row r="1568" spans="1:22" ht="15" customHeight="1" x14ac:dyDescent="0.25">
      <c r="A1568" t="s">
        <v>287</v>
      </c>
      <c r="B1568" t="s">
        <v>407</v>
      </c>
      <c r="C1568" t="s">
        <v>427</v>
      </c>
      <c r="D1568" t="s">
        <v>432</v>
      </c>
      <c r="E1568" t="s">
        <v>234</v>
      </c>
      <c r="F1568" s="5">
        <v>439</v>
      </c>
      <c r="G1568" t="s">
        <v>387</v>
      </c>
      <c r="H1568" s="3">
        <v>220</v>
      </c>
      <c r="I1568" s="3">
        <v>60</v>
      </c>
      <c r="J1568" s="3">
        <v>50</v>
      </c>
      <c r="K1568" s="3">
        <v>25</v>
      </c>
      <c r="L1568">
        <f t="shared" si="251"/>
        <v>0.66</v>
      </c>
      <c r="M1568">
        <f t="shared" si="249"/>
        <v>46.2</v>
      </c>
      <c r="N1568" s="8">
        <v>70</v>
      </c>
      <c r="O1568" s="14">
        <f t="shared" si="252"/>
        <v>30730</v>
      </c>
      <c r="P1568" s="8">
        <v>40</v>
      </c>
      <c r="Q1568" s="8">
        <f t="shared" si="254"/>
        <v>1.75</v>
      </c>
      <c r="R1568" s="8">
        <f t="shared" si="255"/>
        <v>93.333333333333343</v>
      </c>
      <c r="S1568" s="8">
        <f t="shared" si="253"/>
        <v>95.083333333333343</v>
      </c>
      <c r="T1568" s="18">
        <f t="shared" si="248"/>
        <v>22.745440549502607</v>
      </c>
      <c r="U1568" s="20">
        <f t="shared" si="250"/>
        <v>1684.2401409284701</v>
      </c>
      <c r="V1568" s="25" t="s">
        <v>2987</v>
      </c>
    </row>
    <row r="1569" spans="1:22" ht="15" customHeight="1" x14ac:dyDescent="0.25">
      <c r="A1569" t="s">
        <v>287</v>
      </c>
      <c r="B1569" t="s">
        <v>407</v>
      </c>
      <c r="C1569" t="s">
        <v>427</v>
      </c>
      <c r="D1569" t="s">
        <v>431</v>
      </c>
      <c r="E1569" t="s">
        <v>234</v>
      </c>
      <c r="F1569" s="5">
        <v>429.9</v>
      </c>
      <c r="G1569" t="s">
        <v>387</v>
      </c>
      <c r="H1569" s="3">
        <v>221</v>
      </c>
      <c r="I1569" s="3">
        <v>47</v>
      </c>
      <c r="J1569" s="3">
        <v>70</v>
      </c>
      <c r="K1569" s="3">
        <v>50.8</v>
      </c>
      <c r="L1569">
        <f t="shared" si="251"/>
        <v>0.72709000000000001</v>
      </c>
      <c r="M1569">
        <f t="shared" si="249"/>
        <v>50.896300000000004</v>
      </c>
      <c r="N1569" s="8">
        <v>70</v>
      </c>
      <c r="O1569" s="14">
        <f t="shared" si="252"/>
        <v>30093</v>
      </c>
      <c r="P1569" s="8">
        <v>40</v>
      </c>
      <c r="Q1569" s="8">
        <f t="shared" si="254"/>
        <v>1.75</v>
      </c>
      <c r="R1569" s="8">
        <f t="shared" si="255"/>
        <v>93.333333333333343</v>
      </c>
      <c r="S1569" s="8">
        <f t="shared" si="253"/>
        <v>95.083333333333343</v>
      </c>
      <c r="T1569" s="18">
        <f t="shared" si="248"/>
        <v>22.273951918522027</v>
      </c>
      <c r="U1569" s="20">
        <f t="shared" si="250"/>
        <v>1706.5140928469921</v>
      </c>
      <c r="V1569" s="25" t="s">
        <v>2987</v>
      </c>
    </row>
    <row r="1570" spans="1:22" ht="15" customHeight="1" x14ac:dyDescent="0.25">
      <c r="A1570" t="s">
        <v>287</v>
      </c>
      <c r="B1570" t="s">
        <v>2824</v>
      </c>
      <c r="C1570" t="s">
        <v>2839</v>
      </c>
      <c r="D1570" t="s">
        <v>2847</v>
      </c>
      <c r="E1570" t="s">
        <v>480</v>
      </c>
      <c r="F1570" s="5">
        <v>600</v>
      </c>
      <c r="G1570" t="s">
        <v>496</v>
      </c>
      <c r="H1570" s="3">
        <v>81</v>
      </c>
      <c r="I1570" s="3">
        <v>95</v>
      </c>
      <c r="J1570" s="3">
        <v>79</v>
      </c>
      <c r="K1570">
        <v>14</v>
      </c>
      <c r="L1570">
        <f t="shared" si="251"/>
        <v>0.60790500000000003</v>
      </c>
      <c r="M1570">
        <f t="shared" si="249"/>
        <v>30.395250000000001</v>
      </c>
      <c r="N1570" s="8">
        <v>50</v>
      </c>
      <c r="O1570" s="14">
        <f t="shared" si="252"/>
        <v>30000</v>
      </c>
      <c r="P1570" s="8">
        <v>40</v>
      </c>
      <c r="Q1570" s="8">
        <f t="shared" si="254"/>
        <v>1.25</v>
      </c>
      <c r="R1570" s="8">
        <f t="shared" si="255"/>
        <v>66.666666666666671</v>
      </c>
      <c r="S1570" s="8">
        <f t="shared" si="253"/>
        <v>67.916666666666671</v>
      </c>
      <c r="T1570" s="18">
        <f t="shared" si="248"/>
        <v>22.205116058739936</v>
      </c>
      <c r="U1570" s="20">
        <f t="shared" si="250"/>
        <v>1728.7192089057321</v>
      </c>
      <c r="V1570" s="25" t="s">
        <v>2987</v>
      </c>
    </row>
    <row r="1571" spans="1:22" ht="15" customHeight="1" x14ac:dyDescent="0.25">
      <c r="A1571" t="s">
        <v>287</v>
      </c>
      <c r="B1571" t="s">
        <v>288</v>
      </c>
      <c r="C1571" t="s">
        <v>2735</v>
      </c>
      <c r="D1571" t="s">
        <v>2736</v>
      </c>
      <c r="E1571" t="s">
        <v>284</v>
      </c>
      <c r="F1571" s="5">
        <v>329</v>
      </c>
      <c r="G1571" t="s">
        <v>2737</v>
      </c>
      <c r="H1571" s="3">
        <v>39</v>
      </c>
      <c r="I1571" s="3">
        <v>88</v>
      </c>
      <c r="J1571" s="3">
        <v>188</v>
      </c>
      <c r="K1571" s="3">
        <v>26</v>
      </c>
      <c r="L1571">
        <f t="shared" si="251"/>
        <v>0.64521600000000001</v>
      </c>
      <c r="M1571">
        <f t="shared" si="249"/>
        <v>58.06944</v>
      </c>
      <c r="N1571" s="8">
        <v>90</v>
      </c>
      <c r="O1571" s="14">
        <f t="shared" si="252"/>
        <v>29610</v>
      </c>
      <c r="P1571" s="8">
        <v>25</v>
      </c>
      <c r="Q1571" s="8">
        <f t="shared" si="254"/>
        <v>3.6</v>
      </c>
      <c r="R1571" s="8">
        <f t="shared" si="255"/>
        <v>75</v>
      </c>
      <c r="S1571" s="8">
        <f t="shared" si="253"/>
        <v>78.599999999999994</v>
      </c>
      <c r="T1571" s="18">
        <f t="shared" si="248"/>
        <v>21.916449549976313</v>
      </c>
      <c r="U1571" s="20">
        <f t="shared" si="250"/>
        <v>1750.6356584557084</v>
      </c>
      <c r="V1571" s="25" t="s">
        <v>2987</v>
      </c>
    </row>
    <row r="1572" spans="1:22" ht="15" customHeight="1" x14ac:dyDescent="0.25">
      <c r="A1572" t="s">
        <v>287</v>
      </c>
      <c r="B1572" t="s">
        <v>2778</v>
      </c>
      <c r="C1572" t="s">
        <v>2779</v>
      </c>
      <c r="D1572" t="s">
        <v>2782</v>
      </c>
      <c r="E1572" t="s">
        <v>480</v>
      </c>
      <c r="F1572" s="5">
        <v>729</v>
      </c>
      <c r="G1572" t="s">
        <v>504</v>
      </c>
      <c r="H1572" s="3">
        <v>82</v>
      </c>
      <c r="I1572" s="3">
        <v>34</v>
      </c>
      <c r="J1572" s="3">
        <v>65</v>
      </c>
      <c r="K1572" s="3">
        <v>21</v>
      </c>
      <c r="L1572">
        <f t="shared" si="251"/>
        <v>0.18121999999999999</v>
      </c>
      <c r="M1572">
        <f t="shared" si="249"/>
        <v>7.2487999999999992</v>
      </c>
      <c r="N1572" s="8">
        <v>40</v>
      </c>
      <c r="O1572" s="14">
        <f t="shared" si="252"/>
        <v>29160</v>
      </c>
      <c r="P1572" s="8">
        <v>40</v>
      </c>
      <c r="Q1572" s="8">
        <f t="shared" si="254"/>
        <v>1</v>
      </c>
      <c r="R1572" s="8">
        <f t="shared" si="255"/>
        <v>53.333333333333329</v>
      </c>
      <c r="S1572" s="8">
        <f t="shared" si="253"/>
        <v>54.333333333333329</v>
      </c>
      <c r="T1572" s="18">
        <f t="shared" si="248"/>
        <v>21.583372809095216</v>
      </c>
      <c r="U1572" s="20">
        <f t="shared" si="250"/>
        <v>1772.2190312648036</v>
      </c>
      <c r="V1572" s="25" t="s">
        <v>2987</v>
      </c>
    </row>
    <row r="1573" spans="1:22" ht="15" customHeight="1" x14ac:dyDescent="0.25">
      <c r="A1573" t="s">
        <v>287</v>
      </c>
      <c r="B1573" t="s">
        <v>2738</v>
      </c>
      <c r="C1573" t="s">
        <v>2758</v>
      </c>
      <c r="D1573" t="s">
        <v>458</v>
      </c>
      <c r="E1573" t="s">
        <v>480</v>
      </c>
      <c r="F1573" s="5">
        <v>1890</v>
      </c>
      <c r="G1573" t="s">
        <v>2763</v>
      </c>
      <c r="H1573" s="3">
        <v>224</v>
      </c>
      <c r="I1573" s="3">
        <v>144</v>
      </c>
      <c r="J1573" s="3">
        <v>53</v>
      </c>
      <c r="K1573" s="3">
        <v>127</v>
      </c>
      <c r="L1573">
        <f t="shared" si="251"/>
        <v>1.709568</v>
      </c>
      <c r="M1573">
        <f t="shared" si="249"/>
        <v>25.643519999999999</v>
      </c>
      <c r="N1573" s="8">
        <v>15</v>
      </c>
      <c r="O1573" s="14">
        <f t="shared" si="252"/>
        <v>28350</v>
      </c>
      <c r="P1573" s="8">
        <v>40</v>
      </c>
      <c r="Q1573" s="8">
        <f t="shared" si="254"/>
        <v>0.375</v>
      </c>
      <c r="R1573" s="8">
        <f t="shared" si="255"/>
        <v>20</v>
      </c>
      <c r="S1573" s="8">
        <f t="shared" si="253"/>
        <v>20.375</v>
      </c>
      <c r="T1573" s="18">
        <f t="shared" si="248"/>
        <v>20.98383467550924</v>
      </c>
      <c r="U1573" s="20">
        <f t="shared" si="250"/>
        <v>1793.2028659403129</v>
      </c>
      <c r="V1573" s="25" t="s">
        <v>2987</v>
      </c>
    </row>
    <row r="1574" spans="1:22" ht="15" customHeight="1" x14ac:dyDescent="0.25">
      <c r="A1574" t="s">
        <v>287</v>
      </c>
      <c r="B1574" t="s">
        <v>2824</v>
      </c>
      <c r="C1574" t="s">
        <v>2839</v>
      </c>
      <c r="D1574" t="s">
        <v>2846</v>
      </c>
      <c r="E1574" t="s">
        <v>480</v>
      </c>
      <c r="F1574" s="5">
        <v>230</v>
      </c>
      <c r="G1574" t="s">
        <v>2841</v>
      </c>
      <c r="H1574" s="3">
        <v>70</v>
      </c>
      <c r="I1574" s="3">
        <v>69</v>
      </c>
      <c r="J1574" s="3">
        <v>60</v>
      </c>
      <c r="K1574">
        <v>10.5</v>
      </c>
      <c r="L1574">
        <f t="shared" si="251"/>
        <v>0.2898</v>
      </c>
      <c r="M1574">
        <f t="shared" si="249"/>
        <v>35.355600000000003</v>
      </c>
      <c r="N1574" s="8">
        <v>122</v>
      </c>
      <c r="O1574" s="14">
        <f t="shared" si="252"/>
        <v>28060</v>
      </c>
      <c r="P1574" s="8">
        <v>40</v>
      </c>
      <c r="Q1574" s="8">
        <f t="shared" si="254"/>
        <v>3.05</v>
      </c>
      <c r="R1574" s="8">
        <f t="shared" si="255"/>
        <v>162.66666666666666</v>
      </c>
      <c r="S1574" s="8">
        <f t="shared" si="253"/>
        <v>165.71666666666667</v>
      </c>
      <c r="T1574" s="18">
        <f t="shared" si="248"/>
        <v>20.769185220274753</v>
      </c>
      <c r="U1574" s="20">
        <f t="shared" si="250"/>
        <v>1813.9720511605876</v>
      </c>
      <c r="V1574" s="25" t="s">
        <v>2987</v>
      </c>
    </row>
    <row r="1575" spans="1:22" ht="15" customHeight="1" x14ac:dyDescent="0.25">
      <c r="A1575" t="s">
        <v>287</v>
      </c>
      <c r="B1575" t="s">
        <v>2738</v>
      </c>
      <c r="C1575" t="s">
        <v>2758</v>
      </c>
      <c r="D1575" t="s">
        <v>460</v>
      </c>
      <c r="E1575" t="s">
        <v>480</v>
      </c>
      <c r="F1575" s="5">
        <v>1860</v>
      </c>
      <c r="G1575" t="s">
        <v>2763</v>
      </c>
      <c r="H1575" s="3">
        <v>232</v>
      </c>
      <c r="I1575" s="3">
        <v>246</v>
      </c>
      <c r="J1575" s="3">
        <v>50</v>
      </c>
      <c r="K1575" s="3">
        <v>196</v>
      </c>
      <c r="L1575">
        <f t="shared" si="251"/>
        <v>2.8536000000000001</v>
      </c>
      <c r="M1575">
        <f t="shared" si="249"/>
        <v>42.804000000000002</v>
      </c>
      <c r="N1575" s="8">
        <v>15</v>
      </c>
      <c r="O1575" s="14">
        <f t="shared" si="252"/>
        <v>27900</v>
      </c>
      <c r="P1575" s="8">
        <v>40</v>
      </c>
      <c r="Q1575" s="8">
        <f t="shared" si="254"/>
        <v>0.375</v>
      </c>
      <c r="R1575" s="8">
        <f t="shared" si="255"/>
        <v>20</v>
      </c>
      <c r="S1575" s="8">
        <f t="shared" si="253"/>
        <v>20.375</v>
      </c>
      <c r="T1575" s="18">
        <f t="shared" si="248"/>
        <v>20.650757934628139</v>
      </c>
      <c r="U1575" s="20">
        <f t="shared" si="250"/>
        <v>1834.6228090952159</v>
      </c>
      <c r="V1575" s="25" t="s">
        <v>2987</v>
      </c>
    </row>
    <row r="1576" spans="1:22" ht="15" customHeight="1" x14ac:dyDescent="0.25">
      <c r="A1576" t="s">
        <v>287</v>
      </c>
      <c r="B1576" t="s">
        <v>407</v>
      </c>
      <c r="C1576" t="s">
        <v>427</v>
      </c>
      <c r="D1576" t="s">
        <v>2700</v>
      </c>
      <c r="E1576" t="s">
        <v>234</v>
      </c>
      <c r="F1576" s="5">
        <v>395</v>
      </c>
      <c r="G1576" t="s">
        <v>387</v>
      </c>
      <c r="H1576" s="3">
        <v>220</v>
      </c>
      <c r="I1576" s="3">
        <v>27</v>
      </c>
      <c r="J1576" s="3">
        <v>70</v>
      </c>
      <c r="K1576" s="3">
        <v>41.6</v>
      </c>
      <c r="L1576">
        <f t="shared" si="251"/>
        <v>0.4158</v>
      </c>
      <c r="M1576">
        <f t="shared" si="249"/>
        <v>29.106000000000002</v>
      </c>
      <c r="N1576" s="8">
        <v>70</v>
      </c>
      <c r="O1576" s="14">
        <f t="shared" si="252"/>
        <v>27650</v>
      </c>
      <c r="P1576" s="8">
        <v>40</v>
      </c>
      <c r="Q1576" s="8">
        <f t="shared" si="254"/>
        <v>1.75</v>
      </c>
      <c r="R1576" s="8">
        <f t="shared" si="255"/>
        <v>93.333333333333343</v>
      </c>
      <c r="S1576" s="8">
        <f t="shared" si="253"/>
        <v>95.083333333333343</v>
      </c>
      <c r="T1576" s="18">
        <f t="shared" si="248"/>
        <v>20.465715300805307</v>
      </c>
      <c r="U1576" s="20">
        <f t="shared" si="250"/>
        <v>1855.0885243960213</v>
      </c>
      <c r="V1576" s="25" t="s">
        <v>2987</v>
      </c>
    </row>
    <row r="1577" spans="1:22" ht="15" customHeight="1" x14ac:dyDescent="0.25">
      <c r="A1577" t="s">
        <v>287</v>
      </c>
      <c r="B1577" t="s">
        <v>2778</v>
      </c>
      <c r="C1577" t="s">
        <v>2779</v>
      </c>
      <c r="D1577" t="s">
        <v>2780</v>
      </c>
      <c r="E1577" t="s">
        <v>480</v>
      </c>
      <c r="F1577" s="5">
        <v>389</v>
      </c>
      <c r="G1577" t="s">
        <v>2781</v>
      </c>
      <c r="H1577" s="3">
        <v>130</v>
      </c>
      <c r="I1577" s="3">
        <v>70</v>
      </c>
      <c r="J1577" s="3">
        <v>60</v>
      </c>
      <c r="K1577" s="3">
        <v>41</v>
      </c>
      <c r="L1577">
        <f t="shared" si="251"/>
        <v>0.54600000000000004</v>
      </c>
      <c r="M1577">
        <f t="shared" si="249"/>
        <v>38.220000000000006</v>
      </c>
      <c r="N1577" s="8">
        <v>70</v>
      </c>
      <c r="O1577" s="14">
        <f t="shared" si="252"/>
        <v>27230</v>
      </c>
      <c r="P1577" s="8">
        <v>40</v>
      </c>
      <c r="Q1577" s="8">
        <f t="shared" si="254"/>
        <v>1.75</v>
      </c>
      <c r="R1577" s="8">
        <f t="shared" si="255"/>
        <v>93.333333333333343</v>
      </c>
      <c r="S1577" s="8">
        <f t="shared" si="253"/>
        <v>95.083333333333343</v>
      </c>
      <c r="T1577" s="18">
        <f t="shared" si="248"/>
        <v>20.154843675982946</v>
      </c>
      <c r="U1577" s="20">
        <f t="shared" si="250"/>
        <v>1875.2433680720042</v>
      </c>
      <c r="V1577" s="25" t="s">
        <v>2987</v>
      </c>
    </row>
    <row r="1578" spans="1:22" ht="15" customHeight="1" x14ac:dyDescent="0.25">
      <c r="A1578" t="s">
        <v>287</v>
      </c>
      <c r="B1578" t="s">
        <v>904</v>
      </c>
      <c r="C1578" t="s">
        <v>2785</v>
      </c>
      <c r="D1578" t="s">
        <v>2860</v>
      </c>
      <c r="E1578" t="s">
        <v>480</v>
      </c>
      <c r="F1578" s="5">
        <v>891.65</v>
      </c>
      <c r="G1578" t="s">
        <v>446</v>
      </c>
      <c r="H1578" s="3">
        <v>74</v>
      </c>
      <c r="I1578" s="3">
        <v>94</v>
      </c>
      <c r="J1578" s="3">
        <v>94</v>
      </c>
      <c r="K1578" s="3">
        <v>30.2</v>
      </c>
      <c r="L1578">
        <f t="shared" si="251"/>
        <v>0.653864</v>
      </c>
      <c r="M1578">
        <f t="shared" si="249"/>
        <v>19.615919999999999</v>
      </c>
      <c r="N1578" s="8">
        <v>30</v>
      </c>
      <c r="O1578" s="14">
        <f t="shared" si="252"/>
        <v>26749.5</v>
      </c>
      <c r="P1578" s="8">
        <v>15</v>
      </c>
      <c r="Q1578" s="8">
        <f t="shared" si="254"/>
        <v>2</v>
      </c>
      <c r="R1578" s="8">
        <f t="shared" si="255"/>
        <v>15</v>
      </c>
      <c r="S1578" s="8">
        <f t="shared" si="253"/>
        <v>17</v>
      </c>
      <c r="T1578" s="18">
        <f t="shared" si="248"/>
        <v>19.799191733775462</v>
      </c>
      <c r="U1578" s="20">
        <f t="shared" si="250"/>
        <v>1895.0425598057795</v>
      </c>
      <c r="V1578" s="25" t="s">
        <v>2987</v>
      </c>
    </row>
    <row r="1579" spans="1:22" ht="15" customHeight="1" x14ac:dyDescent="0.25">
      <c r="A1579" t="s">
        <v>287</v>
      </c>
      <c r="B1579" t="s">
        <v>2738</v>
      </c>
      <c r="C1579" t="s">
        <v>2758</v>
      </c>
      <c r="D1579" t="s">
        <v>454</v>
      </c>
      <c r="E1579" t="s">
        <v>480</v>
      </c>
      <c r="F1579" s="5">
        <v>1688</v>
      </c>
      <c r="G1579" t="s">
        <v>2762</v>
      </c>
      <c r="H1579" s="3">
        <v>218</v>
      </c>
      <c r="I1579" s="3">
        <v>203</v>
      </c>
      <c r="J1579" s="3">
        <v>47</v>
      </c>
      <c r="K1579" s="3">
        <v>144</v>
      </c>
      <c r="L1579">
        <f t="shared" si="251"/>
        <v>2.0799379999999998</v>
      </c>
      <c r="M1579">
        <f t="shared" si="249"/>
        <v>31.199069999999999</v>
      </c>
      <c r="N1579" s="8">
        <v>15</v>
      </c>
      <c r="O1579" s="14">
        <f t="shared" si="252"/>
        <v>25320</v>
      </c>
      <c r="P1579" s="8">
        <v>40</v>
      </c>
      <c r="Q1579" s="8">
        <f t="shared" si="254"/>
        <v>0.375</v>
      </c>
      <c r="R1579" s="8">
        <f t="shared" si="255"/>
        <v>20</v>
      </c>
      <c r="S1579" s="8">
        <f t="shared" si="253"/>
        <v>20.375</v>
      </c>
      <c r="T1579" s="18">
        <f t="shared" si="248"/>
        <v>18.741117953576506</v>
      </c>
      <c r="U1579" s="20">
        <f t="shared" si="250"/>
        <v>1913.7836777593561</v>
      </c>
      <c r="V1579" s="25" t="s">
        <v>2987</v>
      </c>
    </row>
    <row r="1580" spans="1:22" ht="15" customHeight="1" x14ac:dyDescent="0.25">
      <c r="A1580" t="s">
        <v>287</v>
      </c>
      <c r="B1580" t="s">
        <v>2824</v>
      </c>
      <c r="C1580" t="s">
        <v>2825</v>
      </c>
      <c r="D1580" t="s">
        <v>2831</v>
      </c>
      <c r="E1580" t="s">
        <v>480</v>
      </c>
      <c r="F1580" s="5">
        <v>500</v>
      </c>
      <c r="G1580" t="s">
        <v>2832</v>
      </c>
      <c r="H1580" s="3">
        <v>84</v>
      </c>
      <c r="I1580" s="3">
        <v>85</v>
      </c>
      <c r="J1580" s="3">
        <v>216</v>
      </c>
      <c r="K1580">
        <v>59</v>
      </c>
      <c r="L1580">
        <f t="shared" si="251"/>
        <v>1.5422400000000001</v>
      </c>
      <c r="M1580">
        <f t="shared" si="249"/>
        <v>77.112000000000009</v>
      </c>
      <c r="N1580" s="8">
        <v>50</v>
      </c>
      <c r="O1580" s="14">
        <f t="shared" si="252"/>
        <v>25000</v>
      </c>
      <c r="P1580" s="8">
        <v>40</v>
      </c>
      <c r="Q1580" s="8">
        <f t="shared" si="254"/>
        <v>1.25</v>
      </c>
      <c r="R1580" s="8">
        <f t="shared" si="255"/>
        <v>66.666666666666671</v>
      </c>
      <c r="S1580" s="8">
        <f t="shared" si="253"/>
        <v>67.916666666666671</v>
      </c>
      <c r="T1580" s="18">
        <f t="shared" si="248"/>
        <v>18.504263382283277</v>
      </c>
      <c r="U1580" s="20">
        <f t="shared" si="250"/>
        <v>1932.2879411416393</v>
      </c>
      <c r="V1580" s="25" t="s">
        <v>2987</v>
      </c>
    </row>
    <row r="1581" spans="1:22" ht="15" customHeight="1" x14ac:dyDescent="0.25">
      <c r="A1581" t="s">
        <v>287</v>
      </c>
      <c r="B1581" t="s">
        <v>407</v>
      </c>
      <c r="C1581" t="s">
        <v>408</v>
      </c>
      <c r="D1581" t="s">
        <v>417</v>
      </c>
      <c r="E1581" t="s">
        <v>234</v>
      </c>
      <c r="F1581" s="5">
        <v>348.78</v>
      </c>
      <c r="G1581" t="s">
        <v>387</v>
      </c>
      <c r="H1581" s="3">
        <v>66</v>
      </c>
      <c r="I1581" s="3">
        <v>31</v>
      </c>
      <c r="J1581" s="3">
        <v>90</v>
      </c>
      <c r="K1581" s="3">
        <v>30</v>
      </c>
      <c r="L1581">
        <f t="shared" si="251"/>
        <v>0.18414</v>
      </c>
      <c r="M1581">
        <f t="shared" si="249"/>
        <v>12.889799999999999</v>
      </c>
      <c r="N1581" s="8">
        <v>70</v>
      </c>
      <c r="O1581" s="14">
        <f t="shared" si="252"/>
        <v>24414.6</v>
      </c>
      <c r="P1581" s="8">
        <v>40</v>
      </c>
      <c r="Q1581" s="8">
        <f t="shared" si="254"/>
        <v>1.75</v>
      </c>
      <c r="R1581" s="8">
        <f t="shared" si="255"/>
        <v>93.333333333333343</v>
      </c>
      <c r="S1581" s="8">
        <f t="shared" si="253"/>
        <v>95.083333333333343</v>
      </c>
      <c r="T1581" s="18">
        <f t="shared" si="248"/>
        <v>18.070967550923733</v>
      </c>
      <c r="U1581" s="20">
        <f t="shared" si="250"/>
        <v>1950.3589086925631</v>
      </c>
      <c r="V1581" s="25" t="s">
        <v>2987</v>
      </c>
    </row>
    <row r="1582" spans="1:22" ht="15" customHeight="1" x14ac:dyDescent="0.25">
      <c r="A1582" t="s">
        <v>287</v>
      </c>
      <c r="B1582" t="s">
        <v>2824</v>
      </c>
      <c r="C1582" t="s">
        <v>2825</v>
      </c>
      <c r="D1582" t="s">
        <v>2833</v>
      </c>
      <c r="E1582" t="s">
        <v>480</v>
      </c>
      <c r="F1582" s="5">
        <v>600</v>
      </c>
      <c r="G1582" t="s">
        <v>496</v>
      </c>
      <c r="H1582" s="3">
        <v>90</v>
      </c>
      <c r="I1582" s="3">
        <v>102</v>
      </c>
      <c r="J1582" s="3">
        <v>200</v>
      </c>
      <c r="K1582">
        <v>72.2</v>
      </c>
      <c r="L1582">
        <f t="shared" si="251"/>
        <v>1.8360000000000001</v>
      </c>
      <c r="M1582">
        <f t="shared" si="249"/>
        <v>73.44</v>
      </c>
      <c r="N1582" s="8">
        <v>40</v>
      </c>
      <c r="O1582" s="14">
        <f t="shared" si="252"/>
        <v>24000</v>
      </c>
      <c r="P1582" s="8">
        <v>40</v>
      </c>
      <c r="Q1582" s="8">
        <f t="shared" si="254"/>
        <v>1</v>
      </c>
      <c r="R1582" s="8">
        <f t="shared" si="255"/>
        <v>53.333333333333329</v>
      </c>
      <c r="S1582" s="8">
        <f t="shared" si="253"/>
        <v>54.333333333333329</v>
      </c>
      <c r="T1582" s="18">
        <f t="shared" si="248"/>
        <v>17.764092846991947</v>
      </c>
      <c r="U1582" s="20">
        <f t="shared" si="250"/>
        <v>1968.1230015395549</v>
      </c>
      <c r="V1582" s="25" t="s">
        <v>2987</v>
      </c>
    </row>
    <row r="1583" spans="1:22" ht="15" customHeight="1" x14ac:dyDescent="0.25">
      <c r="A1583" t="s">
        <v>287</v>
      </c>
      <c r="B1583" t="s">
        <v>2824</v>
      </c>
      <c r="C1583" t="s">
        <v>2825</v>
      </c>
      <c r="D1583" t="s">
        <v>2826</v>
      </c>
      <c r="E1583" t="s">
        <v>480</v>
      </c>
      <c r="F1583" s="5">
        <v>300</v>
      </c>
      <c r="G1583" t="s">
        <v>2728</v>
      </c>
      <c r="H1583" s="3">
        <v>92</v>
      </c>
      <c r="I1583" s="3">
        <v>86</v>
      </c>
      <c r="J1583" s="3">
        <v>186</v>
      </c>
      <c r="K1583">
        <v>32</v>
      </c>
      <c r="L1583">
        <f t="shared" si="251"/>
        <v>1.4716320000000001</v>
      </c>
      <c r="M1583">
        <f t="shared" si="249"/>
        <v>117.73056</v>
      </c>
      <c r="N1583" s="8">
        <v>80</v>
      </c>
      <c r="O1583" s="14">
        <f t="shared" si="252"/>
        <v>24000</v>
      </c>
      <c r="P1583" s="8">
        <v>40</v>
      </c>
      <c r="Q1583" s="8">
        <f t="shared" si="254"/>
        <v>2</v>
      </c>
      <c r="R1583" s="8">
        <f t="shared" si="255"/>
        <v>106.66666666666666</v>
      </c>
      <c r="S1583" s="8">
        <f t="shared" si="253"/>
        <v>108.66666666666666</v>
      </c>
      <c r="T1583" s="18">
        <f t="shared" si="248"/>
        <v>17.764092846991947</v>
      </c>
      <c r="U1583" s="20">
        <f t="shared" si="250"/>
        <v>1985.8870943865468</v>
      </c>
      <c r="V1583" s="25" t="s">
        <v>2987</v>
      </c>
    </row>
    <row r="1584" spans="1:22" ht="15" customHeight="1" x14ac:dyDescent="0.25">
      <c r="A1584" t="s">
        <v>287</v>
      </c>
      <c r="B1584" t="s">
        <v>904</v>
      </c>
      <c r="C1584" t="s">
        <v>2779</v>
      </c>
      <c r="D1584" t="s">
        <v>2857</v>
      </c>
      <c r="E1584" t="s">
        <v>480</v>
      </c>
      <c r="F1584" s="5">
        <v>479</v>
      </c>
      <c r="G1584" t="s">
        <v>2856</v>
      </c>
      <c r="H1584" s="3">
        <v>60</v>
      </c>
      <c r="I1584" s="3">
        <v>60</v>
      </c>
      <c r="J1584" s="3">
        <v>85</v>
      </c>
      <c r="K1584" s="3">
        <v>7</v>
      </c>
      <c r="L1584">
        <f t="shared" si="251"/>
        <v>0.30599999999999999</v>
      </c>
      <c r="M1584">
        <f t="shared" si="249"/>
        <v>15.299999999999999</v>
      </c>
      <c r="N1584" s="8">
        <v>50</v>
      </c>
      <c r="O1584" s="14">
        <f t="shared" si="252"/>
        <v>23950</v>
      </c>
      <c r="P1584" s="8">
        <v>15</v>
      </c>
      <c r="Q1584" s="8">
        <f t="shared" si="254"/>
        <v>3.3333333333333335</v>
      </c>
      <c r="R1584" s="8">
        <f t="shared" si="255"/>
        <v>25</v>
      </c>
      <c r="S1584" s="8">
        <f t="shared" si="253"/>
        <v>28.333333333333332</v>
      </c>
      <c r="T1584" s="18">
        <f t="shared" si="248"/>
        <v>17.72708432022738</v>
      </c>
      <c r="U1584" s="20">
        <f t="shared" si="250"/>
        <v>2003.6141787067741</v>
      </c>
      <c r="V1584" s="25" t="s">
        <v>2987</v>
      </c>
    </row>
    <row r="1585" spans="1:22" ht="15" customHeight="1" x14ac:dyDescent="0.25">
      <c r="A1585" t="s">
        <v>287</v>
      </c>
      <c r="B1585" t="s">
        <v>904</v>
      </c>
      <c r="C1585" t="s">
        <v>2779</v>
      </c>
      <c r="D1585" t="s">
        <v>2855</v>
      </c>
      <c r="E1585" t="s">
        <v>480</v>
      </c>
      <c r="F1585" s="5">
        <v>790</v>
      </c>
      <c r="G1585" t="s">
        <v>2856</v>
      </c>
      <c r="H1585" s="3">
        <v>56</v>
      </c>
      <c r="I1585" s="3">
        <v>70</v>
      </c>
      <c r="J1585" s="3">
        <v>89</v>
      </c>
      <c r="K1585" s="3">
        <v>14</v>
      </c>
      <c r="L1585">
        <f t="shared" si="251"/>
        <v>0.34888000000000002</v>
      </c>
      <c r="M1585">
        <f t="shared" si="249"/>
        <v>10.4664</v>
      </c>
      <c r="N1585" s="8">
        <v>30</v>
      </c>
      <c r="O1585" s="14">
        <f t="shared" si="252"/>
        <v>23700</v>
      </c>
      <c r="P1585" s="8">
        <v>15</v>
      </c>
      <c r="Q1585" s="8">
        <f t="shared" si="254"/>
        <v>2</v>
      </c>
      <c r="R1585" s="8">
        <f t="shared" si="255"/>
        <v>15</v>
      </c>
      <c r="S1585" s="8">
        <f t="shared" si="253"/>
        <v>17</v>
      </c>
      <c r="T1585" s="18">
        <f t="shared" si="248"/>
        <v>17.542041686404549</v>
      </c>
      <c r="U1585" s="20">
        <f t="shared" si="250"/>
        <v>2021.1562203931785</v>
      </c>
      <c r="V1585" s="25" t="s">
        <v>2987</v>
      </c>
    </row>
    <row r="1586" spans="1:22" ht="15" customHeight="1" x14ac:dyDescent="0.25">
      <c r="A1586" t="s">
        <v>287</v>
      </c>
      <c r="B1586" t="s">
        <v>904</v>
      </c>
      <c r="C1586" t="s">
        <v>2785</v>
      </c>
      <c r="D1586" t="s">
        <v>2862</v>
      </c>
      <c r="E1586" t="s">
        <v>480</v>
      </c>
      <c r="F1586" s="5">
        <v>789</v>
      </c>
      <c r="G1586" t="s">
        <v>2863</v>
      </c>
      <c r="H1586" s="3">
        <v>70.8</v>
      </c>
      <c r="I1586" s="3">
        <v>7.6</v>
      </c>
      <c r="J1586" s="3">
        <v>122.4</v>
      </c>
      <c r="K1586" s="3">
        <v>16.399999999999999</v>
      </c>
      <c r="L1586">
        <f t="shared" si="251"/>
        <v>6.5860991999999993E-2</v>
      </c>
      <c r="M1586">
        <f t="shared" si="249"/>
        <v>1.9758297599999999</v>
      </c>
      <c r="N1586" s="8">
        <v>30</v>
      </c>
      <c r="O1586" s="14">
        <f t="shared" si="252"/>
        <v>23670</v>
      </c>
      <c r="P1586" s="8">
        <v>15</v>
      </c>
      <c r="Q1586" s="8">
        <f t="shared" si="254"/>
        <v>2</v>
      </c>
      <c r="R1586" s="8">
        <f t="shared" si="255"/>
        <v>15</v>
      </c>
      <c r="S1586" s="8">
        <f t="shared" si="253"/>
        <v>17</v>
      </c>
      <c r="T1586" s="18">
        <f t="shared" si="248"/>
        <v>17.519836570345809</v>
      </c>
      <c r="U1586" s="20">
        <f t="shared" si="250"/>
        <v>2038.6760569635244</v>
      </c>
      <c r="V1586" s="25" t="s">
        <v>2987</v>
      </c>
    </row>
    <row r="1587" spans="1:22" ht="15" customHeight="1" x14ac:dyDescent="0.25">
      <c r="A1587" t="s">
        <v>287</v>
      </c>
      <c r="B1587" t="s">
        <v>407</v>
      </c>
      <c r="C1587" t="s">
        <v>408</v>
      </c>
      <c r="D1587" t="s">
        <v>420</v>
      </c>
      <c r="E1587" t="s">
        <v>234</v>
      </c>
      <c r="F1587" s="5">
        <v>335.9</v>
      </c>
      <c r="G1587" t="s">
        <v>387</v>
      </c>
      <c r="H1587" s="3">
        <v>66</v>
      </c>
      <c r="I1587" s="3">
        <v>31.8</v>
      </c>
      <c r="J1587" s="3">
        <v>120</v>
      </c>
      <c r="K1587" s="3">
        <v>28.6</v>
      </c>
      <c r="L1587">
        <f t="shared" si="251"/>
        <v>0.25185600000000002</v>
      </c>
      <c r="M1587">
        <f t="shared" si="249"/>
        <v>17.629920000000002</v>
      </c>
      <c r="N1587" s="8">
        <v>70</v>
      </c>
      <c r="O1587" s="14">
        <f t="shared" si="252"/>
        <v>23513</v>
      </c>
      <c r="P1587" s="8">
        <v>40</v>
      </c>
      <c r="Q1587" s="8">
        <f t="shared" si="254"/>
        <v>1.75</v>
      </c>
      <c r="R1587" s="8">
        <f t="shared" si="255"/>
        <v>93.333333333333343</v>
      </c>
      <c r="S1587" s="8">
        <f t="shared" si="253"/>
        <v>95.083333333333343</v>
      </c>
      <c r="T1587" s="18">
        <f t="shared" si="248"/>
        <v>17.403629796305069</v>
      </c>
      <c r="U1587" s="20">
        <f t="shared" si="250"/>
        <v>2056.0796867598297</v>
      </c>
      <c r="V1587" s="25" t="s">
        <v>2987</v>
      </c>
    </row>
    <row r="1588" spans="1:22" ht="15" customHeight="1" x14ac:dyDescent="0.25">
      <c r="A1588" t="s">
        <v>287</v>
      </c>
      <c r="B1588" t="s">
        <v>407</v>
      </c>
      <c r="C1588" t="s">
        <v>421</v>
      </c>
      <c r="D1588" t="s">
        <v>424</v>
      </c>
      <c r="E1588" t="s">
        <v>234</v>
      </c>
      <c r="F1588" s="5">
        <v>283.89999999999998</v>
      </c>
      <c r="G1588" t="s">
        <v>387</v>
      </c>
      <c r="H1588" s="3">
        <v>120</v>
      </c>
      <c r="I1588" s="3">
        <v>45.3</v>
      </c>
      <c r="J1588" s="3">
        <v>68</v>
      </c>
      <c r="K1588" s="3">
        <v>23.5</v>
      </c>
      <c r="L1588">
        <f t="shared" si="251"/>
        <v>0.36964799999999992</v>
      </c>
      <c r="M1588">
        <f t="shared" si="249"/>
        <v>29.571839999999995</v>
      </c>
      <c r="N1588" s="8">
        <v>80</v>
      </c>
      <c r="O1588" s="14">
        <f t="shared" si="252"/>
        <v>22712</v>
      </c>
      <c r="P1588" s="8">
        <v>40</v>
      </c>
      <c r="Q1588" s="8">
        <f t="shared" si="254"/>
        <v>2</v>
      </c>
      <c r="R1588" s="8">
        <f t="shared" si="255"/>
        <v>106.66666666666666</v>
      </c>
      <c r="S1588" s="8">
        <f t="shared" si="253"/>
        <v>108.66666666666666</v>
      </c>
      <c r="T1588" s="18">
        <f t="shared" si="248"/>
        <v>16.810753197536712</v>
      </c>
      <c r="U1588" s="20">
        <f t="shared" si="250"/>
        <v>2072.8904399573662</v>
      </c>
      <c r="V1588" s="25" t="s">
        <v>2987</v>
      </c>
    </row>
    <row r="1589" spans="1:22" ht="15" customHeight="1" x14ac:dyDescent="0.25">
      <c r="A1589" t="s">
        <v>287</v>
      </c>
      <c r="B1589" t="s">
        <v>2824</v>
      </c>
      <c r="C1589" t="s">
        <v>2825</v>
      </c>
      <c r="D1589" t="s">
        <v>2836</v>
      </c>
      <c r="E1589" t="s">
        <v>480</v>
      </c>
      <c r="F1589" s="5">
        <v>450</v>
      </c>
      <c r="G1589" t="s">
        <v>2830</v>
      </c>
      <c r="H1589" s="3">
        <v>88</v>
      </c>
      <c r="I1589" s="3">
        <v>88</v>
      </c>
      <c r="J1589" s="3">
        <v>204</v>
      </c>
      <c r="K1589">
        <v>40</v>
      </c>
      <c r="L1589">
        <f t="shared" si="251"/>
        <v>1.5797760000000001</v>
      </c>
      <c r="M1589">
        <f t="shared" si="249"/>
        <v>78.988799999999998</v>
      </c>
      <c r="N1589" s="8">
        <v>50</v>
      </c>
      <c r="O1589" s="14">
        <f t="shared" si="252"/>
        <v>22500</v>
      </c>
      <c r="P1589" s="8">
        <v>40</v>
      </c>
      <c r="Q1589" s="8">
        <f t="shared" si="254"/>
        <v>1.25</v>
      </c>
      <c r="R1589" s="8">
        <f t="shared" si="255"/>
        <v>66.666666666666671</v>
      </c>
      <c r="S1589" s="8">
        <f t="shared" si="253"/>
        <v>67.916666666666671</v>
      </c>
      <c r="T1589" s="18">
        <f t="shared" ref="T1589:T1652" si="256">O1589/O$1749</f>
        <v>16.653837044054949</v>
      </c>
      <c r="U1589" s="20">
        <f t="shared" si="250"/>
        <v>2089.5442770014211</v>
      </c>
      <c r="V1589" s="25" t="s">
        <v>2987</v>
      </c>
    </row>
    <row r="1590" spans="1:22" ht="15" customHeight="1" x14ac:dyDescent="0.25">
      <c r="A1590" t="s">
        <v>287</v>
      </c>
      <c r="B1590" t="s">
        <v>2738</v>
      </c>
      <c r="C1590" t="s">
        <v>2758</v>
      </c>
      <c r="D1590" t="s">
        <v>463</v>
      </c>
      <c r="E1590" t="s">
        <v>480</v>
      </c>
      <c r="F1590" s="5">
        <v>1479</v>
      </c>
      <c r="G1590" t="s">
        <v>2764</v>
      </c>
      <c r="H1590" s="3">
        <v>196</v>
      </c>
      <c r="I1590" s="3">
        <v>221</v>
      </c>
      <c r="J1590" s="3">
        <v>53</v>
      </c>
      <c r="K1590" s="3">
        <v>192</v>
      </c>
      <c r="L1590">
        <f t="shared" si="251"/>
        <v>2.2957480000000001</v>
      </c>
      <c r="M1590">
        <f t="shared" si="249"/>
        <v>34.436219999999999</v>
      </c>
      <c r="N1590" s="8">
        <v>15</v>
      </c>
      <c r="O1590" s="14">
        <f t="shared" si="252"/>
        <v>22185</v>
      </c>
      <c r="P1590" s="8">
        <v>40</v>
      </c>
      <c r="Q1590" s="8">
        <f t="shared" si="254"/>
        <v>0.375</v>
      </c>
      <c r="R1590" s="8">
        <f t="shared" si="255"/>
        <v>20</v>
      </c>
      <c r="S1590" s="8">
        <f t="shared" si="253"/>
        <v>20.375</v>
      </c>
      <c r="T1590" s="18">
        <f t="shared" si="256"/>
        <v>16.42068332543818</v>
      </c>
      <c r="U1590" s="20">
        <f t="shared" si="250"/>
        <v>2105.9649603268595</v>
      </c>
      <c r="V1590" s="25" t="s">
        <v>2987</v>
      </c>
    </row>
    <row r="1591" spans="1:22" ht="15" customHeight="1" x14ac:dyDescent="0.25">
      <c r="A1591" t="s">
        <v>287</v>
      </c>
      <c r="B1591" t="s">
        <v>2864</v>
      </c>
      <c r="C1591" t="s">
        <v>2897</v>
      </c>
      <c r="D1591" t="s">
        <v>2898</v>
      </c>
      <c r="E1591" t="s">
        <v>480</v>
      </c>
      <c r="F1591" s="5">
        <v>1427.92</v>
      </c>
      <c r="G1591" t="s">
        <v>2892</v>
      </c>
      <c r="H1591" s="3">
        <v>211.1</v>
      </c>
      <c r="I1591" s="3">
        <v>53.5</v>
      </c>
      <c r="J1591" s="3">
        <v>162</v>
      </c>
      <c r="K1591" s="3">
        <v>124.3</v>
      </c>
      <c r="L1591">
        <f t="shared" si="251"/>
        <v>1.8296037000000001</v>
      </c>
      <c r="M1591">
        <f t="shared" si="249"/>
        <v>27.444055500000001</v>
      </c>
      <c r="N1591" s="8">
        <v>15</v>
      </c>
      <c r="O1591" s="14">
        <f t="shared" si="252"/>
        <v>21418.800000000003</v>
      </c>
      <c r="P1591" s="8">
        <v>30</v>
      </c>
      <c r="Q1591" s="8">
        <f t="shared" si="254"/>
        <v>0.5</v>
      </c>
      <c r="R1591" s="8">
        <f t="shared" si="255"/>
        <v>15</v>
      </c>
      <c r="S1591" s="8">
        <f t="shared" si="253"/>
        <v>15.5</v>
      </c>
      <c r="T1591" s="18">
        <f t="shared" si="256"/>
        <v>15.853564661297966</v>
      </c>
      <c r="U1591" s="20">
        <f t="shared" si="250"/>
        <v>2121.8185249881576</v>
      </c>
      <c r="V1591" s="25" t="s">
        <v>2987</v>
      </c>
    </row>
    <row r="1592" spans="1:22" ht="15" customHeight="1" x14ac:dyDescent="0.25">
      <c r="A1592" t="s">
        <v>287</v>
      </c>
      <c r="B1592" t="s">
        <v>2738</v>
      </c>
      <c r="C1592" t="s">
        <v>2758</v>
      </c>
      <c r="D1592" t="s">
        <v>455</v>
      </c>
      <c r="E1592" t="s">
        <v>480</v>
      </c>
      <c r="F1592" s="5">
        <v>1419</v>
      </c>
      <c r="G1592" t="s">
        <v>2762</v>
      </c>
      <c r="H1592" s="3">
        <v>232</v>
      </c>
      <c r="I1592" s="3">
        <v>264</v>
      </c>
      <c r="J1592" s="3">
        <v>53</v>
      </c>
      <c r="K1592" s="3">
        <v>233</v>
      </c>
      <c r="L1592">
        <f t="shared" si="251"/>
        <v>3.2461440000000001</v>
      </c>
      <c r="M1592">
        <f t="shared" si="249"/>
        <v>48.692160000000001</v>
      </c>
      <c r="N1592" s="8">
        <v>15</v>
      </c>
      <c r="O1592" s="14">
        <f t="shared" si="252"/>
        <v>21285</v>
      </c>
      <c r="P1592" s="8">
        <v>40</v>
      </c>
      <c r="Q1592" s="8">
        <f t="shared" si="254"/>
        <v>0.375</v>
      </c>
      <c r="R1592" s="8">
        <f t="shared" si="255"/>
        <v>20</v>
      </c>
      <c r="S1592" s="8">
        <f t="shared" si="253"/>
        <v>20.375</v>
      </c>
      <c r="T1592" s="18">
        <f t="shared" si="256"/>
        <v>15.754529843675984</v>
      </c>
      <c r="U1592" s="20">
        <f t="shared" si="250"/>
        <v>2137.5730548318338</v>
      </c>
      <c r="V1592" s="25" t="s">
        <v>2987</v>
      </c>
    </row>
    <row r="1593" spans="1:22" ht="15" customHeight="1" x14ac:dyDescent="0.25">
      <c r="A1593" t="s">
        <v>287</v>
      </c>
      <c r="B1593" t="s">
        <v>2864</v>
      </c>
      <c r="C1593" t="s">
        <v>2895</v>
      </c>
      <c r="D1593" t="s">
        <v>2896</v>
      </c>
      <c r="E1593" t="s">
        <v>480</v>
      </c>
      <c r="F1593" s="5">
        <v>1410.92</v>
      </c>
      <c r="G1593" t="s">
        <v>2892</v>
      </c>
      <c r="H1593" s="3">
        <v>211.1</v>
      </c>
      <c r="I1593" s="3">
        <v>53.5</v>
      </c>
      <c r="J1593" s="3">
        <v>162</v>
      </c>
      <c r="K1593" s="3">
        <v>124.3</v>
      </c>
      <c r="L1593">
        <f t="shared" si="251"/>
        <v>1.8296037000000001</v>
      </c>
      <c r="M1593">
        <f t="shared" si="249"/>
        <v>27.444055500000001</v>
      </c>
      <c r="N1593" s="8">
        <v>15</v>
      </c>
      <c r="O1593" s="14">
        <f t="shared" si="252"/>
        <v>21163.800000000003</v>
      </c>
      <c r="P1593" s="8">
        <v>30</v>
      </c>
      <c r="Q1593" s="8">
        <f t="shared" si="254"/>
        <v>0.5</v>
      </c>
      <c r="R1593" s="8">
        <f t="shared" si="255"/>
        <v>15</v>
      </c>
      <c r="S1593" s="8">
        <f t="shared" si="253"/>
        <v>15.5</v>
      </c>
      <c r="T1593" s="18">
        <f t="shared" si="256"/>
        <v>15.664821174798677</v>
      </c>
      <c r="U1593" s="20">
        <f t="shared" si="250"/>
        <v>2153.2378760066326</v>
      </c>
      <c r="V1593" s="25" t="s">
        <v>2987</v>
      </c>
    </row>
    <row r="1594" spans="1:22" ht="15" customHeight="1" x14ac:dyDescent="0.25">
      <c r="A1594" t="s">
        <v>287</v>
      </c>
      <c r="B1594" t="s">
        <v>2738</v>
      </c>
      <c r="C1594" t="s">
        <v>2758</v>
      </c>
      <c r="D1594" t="s">
        <v>2760</v>
      </c>
      <c r="E1594" t="s">
        <v>480</v>
      </c>
      <c r="F1594" s="5">
        <v>1407</v>
      </c>
      <c r="G1594" t="s">
        <v>387</v>
      </c>
      <c r="H1594" s="3">
        <v>206</v>
      </c>
      <c r="I1594" s="3">
        <v>108</v>
      </c>
      <c r="J1594" s="3">
        <v>47</v>
      </c>
      <c r="K1594" s="3">
        <v>122</v>
      </c>
      <c r="L1594">
        <f t="shared" si="251"/>
        <v>1.0456559999999999</v>
      </c>
      <c r="M1594">
        <f t="shared" si="249"/>
        <v>15.684839999999999</v>
      </c>
      <c r="N1594" s="8">
        <v>15</v>
      </c>
      <c r="O1594" s="14">
        <f t="shared" si="252"/>
        <v>21105</v>
      </c>
      <c r="P1594" s="8">
        <v>40</v>
      </c>
      <c r="Q1594" s="8">
        <f t="shared" si="254"/>
        <v>0.375</v>
      </c>
      <c r="R1594" s="8">
        <f t="shared" si="255"/>
        <v>20</v>
      </c>
      <c r="S1594" s="8">
        <f t="shared" si="253"/>
        <v>20.375</v>
      </c>
      <c r="T1594" s="18">
        <f t="shared" si="256"/>
        <v>15.621299147323544</v>
      </c>
      <c r="U1594" s="20">
        <f t="shared" si="250"/>
        <v>2168.8591751539561</v>
      </c>
      <c r="V1594" s="25" t="s">
        <v>2987</v>
      </c>
    </row>
    <row r="1595" spans="1:22" ht="15" customHeight="1" x14ac:dyDescent="0.25">
      <c r="A1595" t="s">
        <v>287</v>
      </c>
      <c r="B1595" t="s">
        <v>2824</v>
      </c>
      <c r="C1595" t="s">
        <v>2825</v>
      </c>
      <c r="D1595" t="s">
        <v>2837</v>
      </c>
      <c r="E1595" t="s">
        <v>480</v>
      </c>
      <c r="F1595" s="5">
        <v>350</v>
      </c>
      <c r="G1595" t="s">
        <v>2728</v>
      </c>
      <c r="H1595" s="3">
        <v>92</v>
      </c>
      <c r="I1595" s="3">
        <v>86</v>
      </c>
      <c r="J1595" s="3">
        <v>186</v>
      </c>
      <c r="K1595">
        <v>32</v>
      </c>
      <c r="L1595">
        <f t="shared" si="251"/>
        <v>1.4716320000000001</v>
      </c>
      <c r="M1595">
        <f t="shared" ref="M1595:M1658" si="257">L1595*N1595</f>
        <v>88.297920000000005</v>
      </c>
      <c r="N1595" s="8">
        <v>60</v>
      </c>
      <c r="O1595" s="14">
        <f t="shared" si="252"/>
        <v>21000</v>
      </c>
      <c r="P1595" s="8">
        <v>40</v>
      </c>
      <c r="Q1595" s="8">
        <f t="shared" si="254"/>
        <v>1.5</v>
      </c>
      <c r="R1595" s="8">
        <f t="shared" si="255"/>
        <v>80</v>
      </c>
      <c r="S1595" s="8">
        <f t="shared" si="253"/>
        <v>81.5</v>
      </c>
      <c r="T1595" s="18">
        <f t="shared" si="256"/>
        <v>15.543581241117954</v>
      </c>
      <c r="U1595" s="20">
        <f t="shared" si="250"/>
        <v>2184.402756395074</v>
      </c>
      <c r="V1595" s="25" t="s">
        <v>2987</v>
      </c>
    </row>
    <row r="1596" spans="1:22" ht="15" customHeight="1" x14ac:dyDescent="0.25">
      <c r="A1596" t="s">
        <v>287</v>
      </c>
      <c r="B1596" t="s">
        <v>2864</v>
      </c>
      <c r="C1596" t="s">
        <v>2893</v>
      </c>
      <c r="D1596" t="s">
        <v>2894</v>
      </c>
      <c r="E1596" t="s">
        <v>480</v>
      </c>
      <c r="F1596" s="5">
        <v>1385.42</v>
      </c>
      <c r="G1596" t="s">
        <v>2892</v>
      </c>
      <c r="H1596" s="3">
        <v>211.1</v>
      </c>
      <c r="I1596" s="3">
        <v>53.5</v>
      </c>
      <c r="J1596" s="3">
        <v>162</v>
      </c>
      <c r="K1596" s="3">
        <v>124.3</v>
      </c>
      <c r="L1596">
        <f t="shared" si="251"/>
        <v>1.8296037000000001</v>
      </c>
      <c r="M1596">
        <f t="shared" si="257"/>
        <v>27.444055500000001</v>
      </c>
      <c r="N1596" s="8">
        <v>15</v>
      </c>
      <c r="O1596" s="14">
        <f t="shared" si="252"/>
        <v>20781.300000000003</v>
      </c>
      <c r="P1596" s="8">
        <v>30</v>
      </c>
      <c r="Q1596" s="8">
        <f t="shared" si="254"/>
        <v>0.5</v>
      </c>
      <c r="R1596" s="8">
        <f t="shared" si="255"/>
        <v>15</v>
      </c>
      <c r="S1596" s="8">
        <f t="shared" si="253"/>
        <v>15.5</v>
      </c>
      <c r="T1596" s="18">
        <f t="shared" si="256"/>
        <v>15.381705945049742</v>
      </c>
      <c r="U1596" s="20">
        <f t="shared" si="250"/>
        <v>2199.7844623401238</v>
      </c>
      <c r="V1596" s="25" t="s">
        <v>2987</v>
      </c>
    </row>
    <row r="1597" spans="1:22" ht="15" customHeight="1" x14ac:dyDescent="0.25">
      <c r="A1597" t="s">
        <v>287</v>
      </c>
      <c r="B1597" t="s">
        <v>904</v>
      </c>
      <c r="C1597" t="s">
        <v>2785</v>
      </c>
      <c r="D1597" t="s">
        <v>2861</v>
      </c>
      <c r="E1597" t="s">
        <v>480</v>
      </c>
      <c r="F1597" s="5">
        <v>415</v>
      </c>
      <c r="G1597" t="s">
        <v>512</v>
      </c>
      <c r="H1597" s="3">
        <v>85</v>
      </c>
      <c r="I1597" s="3">
        <v>82</v>
      </c>
      <c r="J1597" s="3">
        <v>83</v>
      </c>
      <c r="K1597" s="3">
        <v>8</v>
      </c>
      <c r="L1597">
        <f t="shared" si="251"/>
        <v>0.57850999999999997</v>
      </c>
      <c r="M1597">
        <f t="shared" si="257"/>
        <v>28.9255</v>
      </c>
      <c r="N1597" s="8">
        <v>50</v>
      </c>
      <c r="O1597" s="14">
        <f t="shared" si="252"/>
        <v>20750</v>
      </c>
      <c r="P1597" s="8">
        <v>15</v>
      </c>
      <c r="Q1597" s="8">
        <f t="shared" si="254"/>
        <v>3.3333333333333335</v>
      </c>
      <c r="R1597" s="8">
        <f t="shared" si="255"/>
        <v>25</v>
      </c>
      <c r="S1597" s="8">
        <f t="shared" si="253"/>
        <v>28.333333333333332</v>
      </c>
      <c r="T1597" s="18">
        <f t="shared" si="256"/>
        <v>15.358538607295122</v>
      </c>
      <c r="U1597" s="20">
        <f t="shared" si="250"/>
        <v>2215.1430009474188</v>
      </c>
      <c r="V1597" s="25" t="s">
        <v>2987</v>
      </c>
    </row>
    <row r="1598" spans="1:22" ht="15" customHeight="1" x14ac:dyDescent="0.25">
      <c r="A1598" t="s">
        <v>287</v>
      </c>
      <c r="B1598" t="s">
        <v>2864</v>
      </c>
      <c r="C1598" t="s">
        <v>2890</v>
      </c>
      <c r="D1598" t="s">
        <v>2891</v>
      </c>
      <c r="E1598" t="s">
        <v>480</v>
      </c>
      <c r="F1598" s="5">
        <v>1382.45</v>
      </c>
      <c r="G1598" t="s">
        <v>2892</v>
      </c>
      <c r="H1598" s="3">
        <v>207</v>
      </c>
      <c r="I1598" s="3">
        <v>46.5</v>
      </c>
      <c r="J1598" s="3">
        <v>182</v>
      </c>
      <c r="K1598" s="3">
        <v>143.9</v>
      </c>
      <c r="L1598">
        <f t="shared" si="251"/>
        <v>1.751841</v>
      </c>
      <c r="M1598">
        <f t="shared" si="257"/>
        <v>26.277615000000001</v>
      </c>
      <c r="N1598" s="8">
        <v>15</v>
      </c>
      <c r="O1598" s="14">
        <f t="shared" si="252"/>
        <v>20736.75</v>
      </c>
      <c r="P1598" s="8">
        <v>30</v>
      </c>
      <c r="Q1598" s="8">
        <f t="shared" si="254"/>
        <v>0.5</v>
      </c>
      <c r="R1598" s="8">
        <f t="shared" si="255"/>
        <v>15</v>
      </c>
      <c r="S1598" s="8">
        <f t="shared" si="253"/>
        <v>15.5</v>
      </c>
      <c r="T1598" s="18">
        <f t="shared" si="256"/>
        <v>15.348731347702511</v>
      </c>
      <c r="U1598" s="20">
        <f t="shared" si="250"/>
        <v>2230.4917322951214</v>
      </c>
      <c r="V1598" s="27" t="s">
        <v>2982</v>
      </c>
    </row>
    <row r="1599" spans="1:22" ht="15" customHeight="1" x14ac:dyDescent="0.25">
      <c r="A1599" t="s">
        <v>287</v>
      </c>
      <c r="B1599" t="s">
        <v>2738</v>
      </c>
      <c r="C1599" t="s">
        <v>2758</v>
      </c>
      <c r="D1599" t="s">
        <v>450</v>
      </c>
      <c r="E1599" t="s">
        <v>480</v>
      </c>
      <c r="F1599" s="5">
        <v>1339</v>
      </c>
      <c r="G1599" t="s">
        <v>2762</v>
      </c>
      <c r="H1599" s="3">
        <v>239</v>
      </c>
      <c r="I1599" s="3">
        <v>272</v>
      </c>
      <c r="J1599" s="3">
        <v>47</v>
      </c>
      <c r="K1599" s="3">
        <v>275</v>
      </c>
      <c r="L1599">
        <f t="shared" si="251"/>
        <v>3.0553759999999999</v>
      </c>
      <c r="M1599">
        <f t="shared" si="257"/>
        <v>45.830639999999995</v>
      </c>
      <c r="N1599" s="8">
        <v>15</v>
      </c>
      <c r="O1599" s="14">
        <f t="shared" si="252"/>
        <v>20085</v>
      </c>
      <c r="P1599" s="8">
        <v>40</v>
      </c>
      <c r="Q1599" s="8">
        <f t="shared" si="254"/>
        <v>0.375</v>
      </c>
      <c r="R1599" s="8">
        <f t="shared" si="255"/>
        <v>20</v>
      </c>
      <c r="S1599" s="8">
        <f t="shared" si="253"/>
        <v>20.375</v>
      </c>
      <c r="T1599" s="18">
        <f t="shared" si="256"/>
        <v>14.866325201326386</v>
      </c>
      <c r="U1599" s="20">
        <f t="shared" si="250"/>
        <v>2245.3580574964476</v>
      </c>
      <c r="V1599" s="27" t="s">
        <v>2982</v>
      </c>
    </row>
    <row r="1600" spans="1:22" ht="15" customHeight="1" x14ac:dyDescent="0.25">
      <c r="A1600" t="s">
        <v>287</v>
      </c>
      <c r="B1600" t="s">
        <v>407</v>
      </c>
      <c r="C1600" t="s">
        <v>421</v>
      </c>
      <c r="D1600" t="s">
        <v>422</v>
      </c>
      <c r="E1600" t="s">
        <v>234</v>
      </c>
      <c r="F1600" s="5">
        <v>283.89999999999998</v>
      </c>
      <c r="G1600" t="s">
        <v>387</v>
      </c>
      <c r="H1600" s="3">
        <v>120</v>
      </c>
      <c r="I1600" s="3">
        <v>45.3</v>
      </c>
      <c r="J1600" s="3">
        <v>68</v>
      </c>
      <c r="K1600" s="3">
        <v>25.5</v>
      </c>
      <c r="L1600">
        <f t="shared" si="251"/>
        <v>0.36964799999999992</v>
      </c>
      <c r="M1600">
        <f t="shared" si="257"/>
        <v>25.875359999999993</v>
      </c>
      <c r="N1600" s="8">
        <v>70</v>
      </c>
      <c r="O1600" s="14">
        <f t="shared" si="252"/>
        <v>19873</v>
      </c>
      <c r="P1600" s="8">
        <v>40</v>
      </c>
      <c r="Q1600" s="8">
        <f t="shared" si="254"/>
        <v>1.75</v>
      </c>
      <c r="R1600" s="8">
        <f t="shared" si="255"/>
        <v>93.333333333333343</v>
      </c>
      <c r="S1600" s="8">
        <f t="shared" si="253"/>
        <v>95.083333333333343</v>
      </c>
      <c r="T1600" s="18">
        <f t="shared" si="256"/>
        <v>14.709409047844623</v>
      </c>
      <c r="U1600" s="20">
        <f t="shared" ref="U1600:U1663" si="258">U1599+T1600</f>
        <v>2260.0674665442921</v>
      </c>
      <c r="V1600" s="27" t="s">
        <v>2982</v>
      </c>
    </row>
    <row r="1601" spans="1:22" ht="15" customHeight="1" x14ac:dyDescent="0.25">
      <c r="A1601" t="s">
        <v>287</v>
      </c>
      <c r="B1601" t="s">
        <v>2738</v>
      </c>
      <c r="C1601" t="s">
        <v>2758</v>
      </c>
      <c r="D1601" t="s">
        <v>459</v>
      </c>
      <c r="E1601" t="s">
        <v>480</v>
      </c>
      <c r="F1601" s="5">
        <v>1952.9</v>
      </c>
      <c r="G1601" t="s">
        <v>2763</v>
      </c>
      <c r="H1601" s="3">
        <v>224</v>
      </c>
      <c r="I1601" s="3">
        <v>230</v>
      </c>
      <c r="J1601" s="3">
        <v>50</v>
      </c>
      <c r="K1601" s="3">
        <v>176</v>
      </c>
      <c r="L1601">
        <f t="shared" si="251"/>
        <v>2.5760000000000001</v>
      </c>
      <c r="M1601">
        <f t="shared" si="257"/>
        <v>25.76</v>
      </c>
      <c r="N1601" s="8">
        <v>10</v>
      </c>
      <c r="O1601" s="14">
        <f t="shared" si="252"/>
        <v>19529</v>
      </c>
      <c r="P1601" s="8">
        <v>40</v>
      </c>
      <c r="Q1601" s="8">
        <f t="shared" si="254"/>
        <v>0.25</v>
      </c>
      <c r="R1601" s="8">
        <f t="shared" si="255"/>
        <v>13.333333333333332</v>
      </c>
      <c r="S1601" s="8">
        <f t="shared" si="253"/>
        <v>13.583333333333332</v>
      </c>
      <c r="T1601" s="18">
        <f t="shared" si="256"/>
        <v>14.454790383704406</v>
      </c>
      <c r="U1601" s="20">
        <f t="shared" si="258"/>
        <v>2274.5222569279963</v>
      </c>
      <c r="V1601" s="27" t="s">
        <v>2982</v>
      </c>
    </row>
    <row r="1602" spans="1:22" ht="15" customHeight="1" x14ac:dyDescent="0.25">
      <c r="A1602" t="s">
        <v>287</v>
      </c>
      <c r="B1602" t="s">
        <v>479</v>
      </c>
      <c r="C1602" t="s">
        <v>2803</v>
      </c>
      <c r="D1602" t="s">
        <v>2805</v>
      </c>
      <c r="E1602" t="s">
        <v>480</v>
      </c>
      <c r="F1602" s="5">
        <v>423.92</v>
      </c>
      <c r="G1602" t="s">
        <v>500</v>
      </c>
      <c r="H1602" s="3">
        <v>125</v>
      </c>
      <c r="I1602" s="3">
        <v>45</v>
      </c>
      <c r="J1602" s="3">
        <v>165</v>
      </c>
      <c r="K1602" s="3">
        <v>55.5</v>
      </c>
      <c r="L1602">
        <f t="shared" ref="L1602:L1665" si="259">J1602*I1602*H1602/1000000</f>
        <v>0.92812499999999998</v>
      </c>
      <c r="M1602">
        <f t="shared" si="257"/>
        <v>42.693750000000001</v>
      </c>
      <c r="N1602" s="8">
        <v>46</v>
      </c>
      <c r="O1602" s="14">
        <f t="shared" ref="O1602:O1665" si="260">N1602*F1602</f>
        <v>19500.32</v>
      </c>
      <c r="P1602" s="8">
        <v>40</v>
      </c>
      <c r="Q1602" s="8">
        <f t="shared" si="254"/>
        <v>1.1499999999999999</v>
      </c>
      <c r="R1602" s="8">
        <f t="shared" si="255"/>
        <v>61.333333333333336</v>
      </c>
      <c r="S1602" s="8">
        <f t="shared" ref="S1602:S1665" si="261">Q1602+R1602</f>
        <v>62.483333333333334</v>
      </c>
      <c r="T1602" s="18">
        <f t="shared" si="256"/>
        <v>14.433562292752251</v>
      </c>
      <c r="U1602" s="20">
        <f t="shared" si="258"/>
        <v>2288.9558192207487</v>
      </c>
      <c r="V1602" s="27" t="s">
        <v>2982</v>
      </c>
    </row>
    <row r="1603" spans="1:22" ht="15" customHeight="1" x14ac:dyDescent="0.25">
      <c r="A1603" t="s">
        <v>287</v>
      </c>
      <c r="B1603" t="s">
        <v>2738</v>
      </c>
      <c r="C1603" t="s">
        <v>2758</v>
      </c>
      <c r="D1603" t="s">
        <v>2759</v>
      </c>
      <c r="E1603" t="s">
        <v>480</v>
      </c>
      <c r="F1603" s="5">
        <v>1257.9000000000001</v>
      </c>
      <c r="G1603" t="s">
        <v>387</v>
      </c>
      <c r="H1603" s="3">
        <v>200</v>
      </c>
      <c r="I1603" s="3">
        <v>180</v>
      </c>
      <c r="J1603" s="3">
        <v>47</v>
      </c>
      <c r="K1603" s="3">
        <v>107</v>
      </c>
      <c r="L1603">
        <f t="shared" si="259"/>
        <v>1.6919999999999999</v>
      </c>
      <c r="M1603">
        <f t="shared" si="257"/>
        <v>25.38</v>
      </c>
      <c r="N1603" s="8">
        <v>15</v>
      </c>
      <c r="O1603" s="14">
        <f t="shared" si="260"/>
        <v>18868.5</v>
      </c>
      <c r="P1603" s="8">
        <v>40</v>
      </c>
      <c r="Q1603" s="8">
        <f t="shared" si="254"/>
        <v>0.375</v>
      </c>
      <c r="R1603" s="8">
        <f t="shared" si="255"/>
        <v>20</v>
      </c>
      <c r="S1603" s="8">
        <f t="shared" si="261"/>
        <v>20.375</v>
      </c>
      <c r="T1603" s="18">
        <f t="shared" si="256"/>
        <v>13.965907745144481</v>
      </c>
      <c r="U1603" s="20">
        <f t="shared" si="258"/>
        <v>2302.9217269658934</v>
      </c>
      <c r="V1603" s="27" t="s">
        <v>2982</v>
      </c>
    </row>
    <row r="1604" spans="1:22" ht="15" customHeight="1" x14ac:dyDescent="0.25">
      <c r="A1604" t="s">
        <v>287</v>
      </c>
      <c r="B1604" t="s">
        <v>407</v>
      </c>
      <c r="C1604" t="s">
        <v>421</v>
      </c>
      <c r="D1604" t="s">
        <v>2695</v>
      </c>
      <c r="E1604" t="s">
        <v>234</v>
      </c>
      <c r="F1604" s="5">
        <v>267.89999999999998</v>
      </c>
      <c r="G1604" t="s">
        <v>387</v>
      </c>
      <c r="H1604" s="3">
        <v>81</v>
      </c>
      <c r="I1604" s="3">
        <v>50</v>
      </c>
      <c r="J1604" s="3">
        <v>70</v>
      </c>
      <c r="K1604" s="3">
        <v>26.5</v>
      </c>
      <c r="L1604">
        <f t="shared" si="259"/>
        <v>0.28349999999999997</v>
      </c>
      <c r="M1604">
        <f t="shared" si="257"/>
        <v>19.844999999999999</v>
      </c>
      <c r="N1604" s="8">
        <v>70</v>
      </c>
      <c r="O1604" s="14">
        <f t="shared" si="260"/>
        <v>18753</v>
      </c>
      <c r="P1604" s="8">
        <v>40</v>
      </c>
      <c r="Q1604" s="8">
        <f t="shared" si="254"/>
        <v>1.75</v>
      </c>
      <c r="R1604" s="8">
        <f t="shared" si="255"/>
        <v>93.333333333333343</v>
      </c>
      <c r="S1604" s="8">
        <f t="shared" si="261"/>
        <v>95.083333333333343</v>
      </c>
      <c r="T1604" s="18">
        <f t="shared" si="256"/>
        <v>13.880418048318333</v>
      </c>
      <c r="U1604" s="20">
        <f t="shared" si="258"/>
        <v>2316.8021450142119</v>
      </c>
      <c r="V1604" s="27" t="s">
        <v>2982</v>
      </c>
    </row>
    <row r="1605" spans="1:22" ht="15" customHeight="1" x14ac:dyDescent="0.25">
      <c r="A1605" t="s">
        <v>287</v>
      </c>
      <c r="B1605" t="s">
        <v>407</v>
      </c>
      <c r="C1605" t="s">
        <v>421</v>
      </c>
      <c r="D1605" t="s">
        <v>2696</v>
      </c>
      <c r="E1605" t="s">
        <v>234</v>
      </c>
      <c r="F1605" s="5">
        <v>267.89999999999998</v>
      </c>
      <c r="G1605" t="s">
        <v>387</v>
      </c>
      <c r="H1605" s="3">
        <v>81</v>
      </c>
      <c r="I1605" s="3">
        <v>50</v>
      </c>
      <c r="J1605" s="3">
        <v>70</v>
      </c>
      <c r="K1605" s="3">
        <v>26.5</v>
      </c>
      <c r="L1605">
        <f t="shared" si="259"/>
        <v>0.28349999999999997</v>
      </c>
      <c r="M1605">
        <f t="shared" si="257"/>
        <v>19.844999999999999</v>
      </c>
      <c r="N1605" s="8">
        <v>70</v>
      </c>
      <c r="O1605" s="14">
        <f t="shared" si="260"/>
        <v>18753</v>
      </c>
      <c r="P1605" s="8">
        <v>40</v>
      </c>
      <c r="Q1605" s="8">
        <f t="shared" si="254"/>
        <v>1.75</v>
      </c>
      <c r="R1605" s="8">
        <f t="shared" si="255"/>
        <v>93.333333333333343</v>
      </c>
      <c r="S1605" s="8">
        <f t="shared" si="261"/>
        <v>95.083333333333343</v>
      </c>
      <c r="T1605" s="18">
        <f t="shared" si="256"/>
        <v>13.880418048318333</v>
      </c>
      <c r="U1605" s="20">
        <f t="shared" si="258"/>
        <v>2330.6825630625303</v>
      </c>
      <c r="V1605" s="27" t="s">
        <v>2982</v>
      </c>
    </row>
    <row r="1606" spans="1:22" ht="15" customHeight="1" x14ac:dyDescent="0.25">
      <c r="A1606" t="s">
        <v>287</v>
      </c>
      <c r="B1606" t="s">
        <v>2738</v>
      </c>
      <c r="C1606" t="s">
        <v>2758</v>
      </c>
      <c r="D1606" t="s">
        <v>456</v>
      </c>
      <c r="E1606" t="s">
        <v>480</v>
      </c>
      <c r="F1606" s="5">
        <v>1244</v>
      </c>
      <c r="G1606" t="s">
        <v>2763</v>
      </c>
      <c r="H1606" s="3">
        <v>225</v>
      </c>
      <c r="I1606" s="3">
        <v>236</v>
      </c>
      <c r="J1606" s="3">
        <v>20</v>
      </c>
      <c r="K1606" s="3">
        <v>195</v>
      </c>
      <c r="L1606">
        <f t="shared" si="259"/>
        <v>1.0620000000000001</v>
      </c>
      <c r="M1606">
        <f t="shared" si="257"/>
        <v>15.930000000000001</v>
      </c>
      <c r="N1606" s="8">
        <v>15</v>
      </c>
      <c r="O1606" s="14">
        <f t="shared" si="260"/>
        <v>18660</v>
      </c>
      <c r="P1606" s="8">
        <v>40</v>
      </c>
      <c r="Q1606" s="8">
        <f t="shared" si="254"/>
        <v>0.375</v>
      </c>
      <c r="R1606" s="8">
        <f t="shared" si="255"/>
        <v>20</v>
      </c>
      <c r="S1606" s="8">
        <f t="shared" si="261"/>
        <v>20.375</v>
      </c>
      <c r="T1606" s="18">
        <f t="shared" si="256"/>
        <v>13.811582188536239</v>
      </c>
      <c r="U1606" s="20">
        <f t="shared" si="258"/>
        <v>2344.4941452510666</v>
      </c>
      <c r="V1606" s="27" t="s">
        <v>2982</v>
      </c>
    </row>
    <row r="1607" spans="1:22" ht="15" customHeight="1" x14ac:dyDescent="0.25">
      <c r="A1607" t="s">
        <v>287</v>
      </c>
      <c r="B1607" t="s">
        <v>2738</v>
      </c>
      <c r="C1607" t="s">
        <v>2739</v>
      </c>
      <c r="D1607" t="s">
        <v>2750</v>
      </c>
      <c r="E1607" t="s">
        <v>480</v>
      </c>
      <c r="F1607" s="5">
        <v>1243.79</v>
      </c>
      <c r="G1607" t="s">
        <v>2751</v>
      </c>
      <c r="H1607" s="3">
        <v>46</v>
      </c>
      <c r="I1607" s="3">
        <v>204</v>
      </c>
      <c r="J1607" s="3">
        <v>144</v>
      </c>
      <c r="K1607" s="3">
        <v>115</v>
      </c>
      <c r="L1607">
        <f t="shared" si="259"/>
        <v>1.3512960000000001</v>
      </c>
      <c r="M1607">
        <f t="shared" si="257"/>
        <v>20.269439999999999</v>
      </c>
      <c r="N1607" s="8">
        <v>15</v>
      </c>
      <c r="O1607" s="14">
        <f t="shared" si="260"/>
        <v>18656.849999999999</v>
      </c>
      <c r="P1607" s="8">
        <v>40</v>
      </c>
      <c r="Q1607" s="8">
        <f t="shared" si="254"/>
        <v>0.375</v>
      </c>
      <c r="R1607" s="8">
        <f t="shared" si="255"/>
        <v>20</v>
      </c>
      <c r="S1607" s="8">
        <f t="shared" si="261"/>
        <v>20.375</v>
      </c>
      <c r="T1607" s="18">
        <f t="shared" si="256"/>
        <v>13.809250651350071</v>
      </c>
      <c r="U1607" s="20">
        <f t="shared" si="258"/>
        <v>2358.3033959024165</v>
      </c>
      <c r="V1607" s="27" t="s">
        <v>2982</v>
      </c>
    </row>
    <row r="1608" spans="1:22" ht="15" customHeight="1" x14ac:dyDescent="0.25">
      <c r="A1608" t="s">
        <v>287</v>
      </c>
      <c r="B1608" t="s">
        <v>407</v>
      </c>
      <c r="C1608" t="s">
        <v>421</v>
      </c>
      <c r="D1608" t="s">
        <v>2694</v>
      </c>
      <c r="E1608" t="s">
        <v>234</v>
      </c>
      <c r="F1608" s="5">
        <v>265.89999999999998</v>
      </c>
      <c r="G1608" t="s">
        <v>387</v>
      </c>
      <c r="H1608" s="3">
        <v>119</v>
      </c>
      <c r="I1608" s="3">
        <v>45</v>
      </c>
      <c r="J1608" s="3">
        <v>68</v>
      </c>
      <c r="K1608" s="3">
        <v>29.5</v>
      </c>
      <c r="L1608">
        <f t="shared" si="259"/>
        <v>0.36414000000000002</v>
      </c>
      <c r="M1608">
        <f t="shared" si="257"/>
        <v>25.489800000000002</v>
      </c>
      <c r="N1608" s="8">
        <v>70</v>
      </c>
      <c r="O1608" s="14">
        <f t="shared" si="260"/>
        <v>18613</v>
      </c>
      <c r="P1608" s="8">
        <v>40</v>
      </c>
      <c r="Q1608" s="8">
        <f t="shared" si="254"/>
        <v>1.75</v>
      </c>
      <c r="R1608" s="8">
        <f t="shared" si="255"/>
        <v>93.333333333333343</v>
      </c>
      <c r="S1608" s="8">
        <f t="shared" si="261"/>
        <v>95.083333333333343</v>
      </c>
      <c r="T1608" s="18">
        <f t="shared" si="256"/>
        <v>13.776794173377546</v>
      </c>
      <c r="U1608" s="20">
        <f t="shared" si="258"/>
        <v>2372.0801900757942</v>
      </c>
      <c r="V1608" s="27" t="s">
        <v>2982</v>
      </c>
    </row>
    <row r="1609" spans="1:22" ht="15" customHeight="1" x14ac:dyDescent="0.25">
      <c r="A1609" t="s">
        <v>287</v>
      </c>
      <c r="B1609" t="s">
        <v>407</v>
      </c>
      <c r="C1609" t="s">
        <v>408</v>
      </c>
      <c r="D1609" t="s">
        <v>412</v>
      </c>
      <c r="E1609" t="s">
        <v>234</v>
      </c>
      <c r="F1609" s="5">
        <v>265.89999999999998</v>
      </c>
      <c r="G1609" t="s">
        <v>387</v>
      </c>
      <c r="H1609" s="3">
        <v>33.5</v>
      </c>
      <c r="I1609" s="3">
        <v>30</v>
      </c>
      <c r="J1609" s="3">
        <v>120</v>
      </c>
      <c r="K1609" s="3">
        <v>25.5</v>
      </c>
      <c r="L1609">
        <f t="shared" si="259"/>
        <v>0.1206</v>
      </c>
      <c r="M1609">
        <f t="shared" si="257"/>
        <v>8.4420000000000002</v>
      </c>
      <c r="N1609" s="8">
        <v>70</v>
      </c>
      <c r="O1609" s="14">
        <f t="shared" si="260"/>
        <v>18613</v>
      </c>
      <c r="P1609" s="8">
        <v>40</v>
      </c>
      <c r="Q1609" s="8">
        <f t="shared" si="254"/>
        <v>1.75</v>
      </c>
      <c r="R1609" s="8">
        <f t="shared" si="255"/>
        <v>93.333333333333343</v>
      </c>
      <c r="S1609" s="8">
        <f t="shared" si="261"/>
        <v>95.083333333333343</v>
      </c>
      <c r="T1609" s="18">
        <f t="shared" si="256"/>
        <v>13.776794173377546</v>
      </c>
      <c r="U1609" s="20">
        <f t="shared" si="258"/>
        <v>2385.856984249172</v>
      </c>
      <c r="V1609" s="27" t="s">
        <v>2982</v>
      </c>
    </row>
    <row r="1610" spans="1:22" ht="15" customHeight="1" x14ac:dyDescent="0.25">
      <c r="A1610" t="s">
        <v>287</v>
      </c>
      <c r="B1610" t="s">
        <v>2738</v>
      </c>
      <c r="C1610" t="s">
        <v>2758</v>
      </c>
      <c r="D1610" t="s">
        <v>465</v>
      </c>
      <c r="E1610" t="s">
        <v>480</v>
      </c>
      <c r="F1610" s="5">
        <v>1239</v>
      </c>
      <c r="G1610" t="s">
        <v>2764</v>
      </c>
      <c r="H1610" s="3">
        <v>209</v>
      </c>
      <c r="I1610" s="3">
        <v>204</v>
      </c>
      <c r="J1610" s="3">
        <v>53</v>
      </c>
      <c r="K1610" s="3">
        <v>142</v>
      </c>
      <c r="L1610">
        <f t="shared" si="259"/>
        <v>2.2597079999999998</v>
      </c>
      <c r="M1610">
        <f t="shared" si="257"/>
        <v>33.895619999999994</v>
      </c>
      <c r="N1610" s="8">
        <v>15</v>
      </c>
      <c r="O1610" s="14">
        <f t="shared" si="260"/>
        <v>18585</v>
      </c>
      <c r="P1610" s="8">
        <v>40</v>
      </c>
      <c r="Q1610" s="8">
        <f t="shared" si="254"/>
        <v>0.375</v>
      </c>
      <c r="R1610" s="8">
        <f t="shared" si="255"/>
        <v>20</v>
      </c>
      <c r="S1610" s="8">
        <f t="shared" si="261"/>
        <v>20.375</v>
      </c>
      <c r="T1610" s="18">
        <f t="shared" si="256"/>
        <v>13.756069398389389</v>
      </c>
      <c r="U1610" s="20">
        <f t="shared" si="258"/>
        <v>2399.6130536475612</v>
      </c>
      <c r="V1610" s="27" t="s">
        <v>2982</v>
      </c>
    </row>
    <row r="1611" spans="1:22" ht="15" customHeight="1" x14ac:dyDescent="0.25">
      <c r="A1611" t="s">
        <v>287</v>
      </c>
      <c r="B1611" t="s">
        <v>479</v>
      </c>
      <c r="C1611" t="s">
        <v>2803</v>
      </c>
      <c r="D1611" t="s">
        <v>2807</v>
      </c>
      <c r="E1611" t="s">
        <v>480</v>
      </c>
      <c r="F1611" s="5">
        <v>399.9</v>
      </c>
      <c r="G1611" t="s">
        <v>488</v>
      </c>
      <c r="H1611" s="3">
        <v>151.5</v>
      </c>
      <c r="I1611" s="3">
        <v>49.5</v>
      </c>
      <c r="J1611" s="3">
        <v>184.5</v>
      </c>
      <c r="K1611" s="3">
        <v>51.6</v>
      </c>
      <c r="L1611">
        <f t="shared" si="259"/>
        <v>1.3836116249999999</v>
      </c>
      <c r="M1611">
        <f t="shared" si="257"/>
        <v>63.646134749999995</v>
      </c>
      <c r="N1611" s="8">
        <v>46</v>
      </c>
      <c r="O1611" s="14">
        <f t="shared" si="260"/>
        <v>18395.399999999998</v>
      </c>
      <c r="P1611" s="8">
        <v>40</v>
      </c>
      <c r="Q1611" s="8">
        <f t="shared" si="254"/>
        <v>1.1499999999999999</v>
      </c>
      <c r="R1611" s="8">
        <f t="shared" si="255"/>
        <v>61.333333333333336</v>
      </c>
      <c r="S1611" s="8">
        <f t="shared" si="261"/>
        <v>62.483333333333334</v>
      </c>
      <c r="T1611" s="18">
        <f t="shared" si="256"/>
        <v>13.615733064898151</v>
      </c>
      <c r="U1611" s="20">
        <f t="shared" si="258"/>
        <v>2413.2287867124592</v>
      </c>
      <c r="V1611" s="27" t="s">
        <v>2982</v>
      </c>
    </row>
    <row r="1612" spans="1:22" ht="15" customHeight="1" x14ac:dyDescent="0.25">
      <c r="A1612" t="s">
        <v>287</v>
      </c>
      <c r="B1612" t="s">
        <v>479</v>
      </c>
      <c r="C1612" t="s">
        <v>2812</v>
      </c>
      <c r="D1612" t="s">
        <v>2814</v>
      </c>
      <c r="E1612" t="s">
        <v>480</v>
      </c>
      <c r="F1612" s="5">
        <v>399.9</v>
      </c>
      <c r="G1612" t="s">
        <v>496</v>
      </c>
      <c r="H1612" s="3">
        <v>81</v>
      </c>
      <c r="I1612" s="3">
        <v>85</v>
      </c>
      <c r="J1612" s="3">
        <v>85</v>
      </c>
      <c r="K1612" s="3">
        <v>15</v>
      </c>
      <c r="L1612">
        <f t="shared" si="259"/>
        <v>0.585225</v>
      </c>
      <c r="M1612">
        <f t="shared" si="257"/>
        <v>26.920349999999999</v>
      </c>
      <c r="N1612" s="8">
        <v>46</v>
      </c>
      <c r="O1612" s="14">
        <f t="shared" si="260"/>
        <v>18395.399999999998</v>
      </c>
      <c r="P1612" s="8">
        <v>40</v>
      </c>
      <c r="Q1612" s="8">
        <f t="shared" si="254"/>
        <v>1.1499999999999999</v>
      </c>
      <c r="R1612" s="8">
        <f t="shared" si="255"/>
        <v>61.333333333333336</v>
      </c>
      <c r="S1612" s="8">
        <f t="shared" si="261"/>
        <v>62.483333333333334</v>
      </c>
      <c r="T1612" s="18">
        <f t="shared" si="256"/>
        <v>13.615733064898151</v>
      </c>
      <c r="U1612" s="20">
        <f t="shared" si="258"/>
        <v>2426.8445197773572</v>
      </c>
      <c r="V1612" s="27" t="s">
        <v>2982</v>
      </c>
    </row>
    <row r="1613" spans="1:22" ht="15" customHeight="1" x14ac:dyDescent="0.25">
      <c r="A1613" t="s">
        <v>287</v>
      </c>
      <c r="B1613" t="s">
        <v>2738</v>
      </c>
      <c r="C1613" t="s">
        <v>2758</v>
      </c>
      <c r="D1613" t="s">
        <v>464</v>
      </c>
      <c r="E1613" t="s">
        <v>480</v>
      </c>
      <c r="F1613" s="5">
        <v>1196.9000000000001</v>
      </c>
      <c r="G1613" t="s">
        <v>2764</v>
      </c>
      <c r="H1613" s="3">
        <v>215</v>
      </c>
      <c r="I1613" s="3">
        <v>211</v>
      </c>
      <c r="J1613" s="3">
        <v>47</v>
      </c>
      <c r="K1613" s="3">
        <v>164</v>
      </c>
      <c r="L1613">
        <f t="shared" si="259"/>
        <v>2.132155</v>
      </c>
      <c r="M1613">
        <f t="shared" si="257"/>
        <v>31.982324999999999</v>
      </c>
      <c r="N1613" s="8">
        <v>15</v>
      </c>
      <c r="O1613" s="14">
        <f t="shared" si="260"/>
        <v>17953.5</v>
      </c>
      <c r="P1613" s="8">
        <v>40</v>
      </c>
      <c r="Q1613" s="8">
        <f t="shared" si="254"/>
        <v>0.375</v>
      </c>
      <c r="R1613" s="8">
        <f t="shared" si="255"/>
        <v>20</v>
      </c>
      <c r="S1613" s="8">
        <f t="shared" si="261"/>
        <v>20.375</v>
      </c>
      <c r="T1613" s="18">
        <f t="shared" si="256"/>
        <v>13.288651705352914</v>
      </c>
      <c r="U1613" s="20">
        <f t="shared" si="258"/>
        <v>2440.1331714827102</v>
      </c>
      <c r="V1613" s="27" t="s">
        <v>2982</v>
      </c>
    </row>
    <row r="1614" spans="1:22" ht="15" customHeight="1" x14ac:dyDescent="0.25">
      <c r="A1614" t="s">
        <v>287</v>
      </c>
      <c r="B1614" t="s">
        <v>479</v>
      </c>
      <c r="C1614" t="s">
        <v>2812</v>
      </c>
      <c r="D1614" t="s">
        <v>2813</v>
      </c>
      <c r="E1614" t="s">
        <v>480</v>
      </c>
      <c r="F1614" s="5">
        <v>389.9</v>
      </c>
      <c r="G1614" t="s">
        <v>496</v>
      </c>
      <c r="H1614" s="3">
        <v>80</v>
      </c>
      <c r="I1614" s="3">
        <v>85</v>
      </c>
      <c r="J1614" s="3">
        <v>125</v>
      </c>
      <c r="K1614" s="3">
        <v>23</v>
      </c>
      <c r="L1614">
        <f t="shared" si="259"/>
        <v>0.85</v>
      </c>
      <c r="M1614">
        <f t="shared" si="257"/>
        <v>39.1</v>
      </c>
      <c r="N1614" s="8">
        <v>46</v>
      </c>
      <c r="O1614" s="14">
        <f t="shared" si="260"/>
        <v>17935.399999999998</v>
      </c>
      <c r="P1614" s="8">
        <v>40</v>
      </c>
      <c r="Q1614" s="8">
        <f t="shared" si="254"/>
        <v>1.1499999999999999</v>
      </c>
      <c r="R1614" s="8">
        <f t="shared" si="255"/>
        <v>61.333333333333336</v>
      </c>
      <c r="S1614" s="8">
        <f t="shared" si="261"/>
        <v>62.483333333333334</v>
      </c>
      <c r="T1614" s="18">
        <f t="shared" si="256"/>
        <v>13.275254618664139</v>
      </c>
      <c r="U1614" s="20">
        <f t="shared" si="258"/>
        <v>2453.4084261013745</v>
      </c>
      <c r="V1614" s="27" t="s">
        <v>2982</v>
      </c>
    </row>
    <row r="1615" spans="1:22" ht="15" customHeight="1" x14ac:dyDescent="0.25">
      <c r="A1615" t="s">
        <v>287</v>
      </c>
      <c r="B1615" t="s">
        <v>2738</v>
      </c>
      <c r="C1615" t="s">
        <v>2739</v>
      </c>
      <c r="D1615" t="s">
        <v>2757</v>
      </c>
      <c r="E1615" t="s">
        <v>480</v>
      </c>
      <c r="F1615" s="5">
        <v>1164</v>
      </c>
      <c r="G1615" t="s">
        <v>387</v>
      </c>
      <c r="H1615" s="3">
        <v>120</v>
      </c>
      <c r="I1615" s="3">
        <v>200</v>
      </c>
      <c r="J1615" s="3">
        <v>136</v>
      </c>
      <c r="K1615" s="3">
        <v>61</v>
      </c>
      <c r="L1615">
        <f t="shared" si="259"/>
        <v>3.2639999999999998</v>
      </c>
      <c r="M1615">
        <f t="shared" si="257"/>
        <v>49.394111999999993</v>
      </c>
      <c r="N1615" s="8">
        <v>15.132999999999999</v>
      </c>
      <c r="O1615" s="14">
        <f t="shared" si="260"/>
        <v>17614.811999999998</v>
      </c>
      <c r="P1615" s="8">
        <v>40</v>
      </c>
      <c r="Q1615" s="8">
        <f t="shared" si="254"/>
        <v>0.37832499999999997</v>
      </c>
      <c r="R1615" s="8">
        <f t="shared" si="255"/>
        <v>20.17733333333333</v>
      </c>
      <c r="S1615" s="8">
        <f t="shared" si="261"/>
        <v>20.55565833333333</v>
      </c>
      <c r="T1615" s="18">
        <f t="shared" si="256"/>
        <v>13.037964827096161</v>
      </c>
      <c r="U1615" s="20">
        <f t="shared" si="258"/>
        <v>2466.4463909284705</v>
      </c>
      <c r="V1615" s="27" t="s">
        <v>2982</v>
      </c>
    </row>
    <row r="1616" spans="1:22" ht="15" customHeight="1" x14ac:dyDescent="0.25">
      <c r="A1616" t="s">
        <v>287</v>
      </c>
      <c r="B1616" t="s">
        <v>2738</v>
      </c>
      <c r="C1616" t="s">
        <v>2758</v>
      </c>
      <c r="D1616" t="s">
        <v>457</v>
      </c>
      <c r="E1616" t="s">
        <v>480</v>
      </c>
      <c r="F1616" s="5">
        <v>1170</v>
      </c>
      <c r="G1616" t="s">
        <v>2763</v>
      </c>
      <c r="H1616" s="3">
        <v>218</v>
      </c>
      <c r="I1616" s="3">
        <v>218</v>
      </c>
      <c r="J1616" s="3">
        <v>48</v>
      </c>
      <c r="K1616" s="3">
        <v>164</v>
      </c>
      <c r="L1616">
        <f t="shared" si="259"/>
        <v>2.2811520000000001</v>
      </c>
      <c r="M1616">
        <f t="shared" si="257"/>
        <v>34.217280000000002</v>
      </c>
      <c r="N1616" s="8">
        <v>15</v>
      </c>
      <c r="O1616" s="14">
        <f t="shared" si="260"/>
        <v>17550</v>
      </c>
      <c r="P1616" s="8">
        <v>40</v>
      </c>
      <c r="Q1616" s="8">
        <f t="shared" si="254"/>
        <v>0.375</v>
      </c>
      <c r="R1616" s="8">
        <f t="shared" si="255"/>
        <v>20</v>
      </c>
      <c r="S1616" s="8">
        <f t="shared" si="261"/>
        <v>20.375</v>
      </c>
      <c r="T1616" s="18">
        <f t="shared" si="256"/>
        <v>12.989992894362862</v>
      </c>
      <c r="U1616" s="20">
        <f t="shared" si="258"/>
        <v>2479.4363838228332</v>
      </c>
      <c r="V1616" s="27" t="s">
        <v>2982</v>
      </c>
    </row>
    <row r="1617" spans="1:22" ht="15" customHeight="1" x14ac:dyDescent="0.25">
      <c r="A1617" t="s">
        <v>287</v>
      </c>
      <c r="B1617" t="s">
        <v>2738</v>
      </c>
      <c r="C1617" t="s">
        <v>2758</v>
      </c>
      <c r="D1617" t="s">
        <v>453</v>
      </c>
      <c r="E1617" t="s">
        <v>480</v>
      </c>
      <c r="F1617" s="5">
        <v>1158</v>
      </c>
      <c r="G1617" t="s">
        <v>2762</v>
      </c>
      <c r="H1617" s="3">
        <v>239</v>
      </c>
      <c r="I1617" s="3">
        <v>272</v>
      </c>
      <c r="J1617" s="3">
        <v>53</v>
      </c>
      <c r="K1617" s="3">
        <v>275</v>
      </c>
      <c r="L1617">
        <f t="shared" si="259"/>
        <v>3.445424</v>
      </c>
      <c r="M1617">
        <f t="shared" si="257"/>
        <v>51.681359999999998</v>
      </c>
      <c r="N1617" s="8">
        <v>15</v>
      </c>
      <c r="O1617" s="14">
        <f t="shared" si="260"/>
        <v>17370</v>
      </c>
      <c r="P1617" s="8">
        <v>40</v>
      </c>
      <c r="Q1617" s="8">
        <f t="shared" si="254"/>
        <v>0.375</v>
      </c>
      <c r="R1617" s="8">
        <f t="shared" si="255"/>
        <v>20</v>
      </c>
      <c r="S1617" s="8">
        <f t="shared" si="261"/>
        <v>20.375</v>
      </c>
      <c r="T1617" s="18">
        <f t="shared" si="256"/>
        <v>12.856762198010422</v>
      </c>
      <c r="U1617" s="20">
        <f t="shared" si="258"/>
        <v>2492.2931460208438</v>
      </c>
      <c r="V1617" s="27" t="s">
        <v>2982</v>
      </c>
    </row>
    <row r="1618" spans="1:22" ht="15" customHeight="1" x14ac:dyDescent="0.25">
      <c r="A1618" t="s">
        <v>287</v>
      </c>
      <c r="B1618" t="s">
        <v>2824</v>
      </c>
      <c r="C1618" t="s">
        <v>2825</v>
      </c>
      <c r="D1618" t="s">
        <v>2834</v>
      </c>
      <c r="E1618" t="s">
        <v>480</v>
      </c>
      <c r="F1618" s="5">
        <v>430</v>
      </c>
      <c r="G1618" t="s">
        <v>2728</v>
      </c>
      <c r="H1618" s="3">
        <v>85</v>
      </c>
      <c r="I1618" s="3">
        <v>80</v>
      </c>
      <c r="J1618" s="3">
        <v>200</v>
      </c>
      <c r="K1618">
        <v>34</v>
      </c>
      <c r="L1618">
        <f t="shared" si="259"/>
        <v>1.36</v>
      </c>
      <c r="M1618">
        <f t="shared" si="257"/>
        <v>54.400000000000006</v>
      </c>
      <c r="N1618" s="8">
        <v>40</v>
      </c>
      <c r="O1618" s="14">
        <f t="shared" si="260"/>
        <v>17200</v>
      </c>
      <c r="P1618" s="8">
        <v>40</v>
      </c>
      <c r="Q1618" s="8">
        <f t="shared" si="254"/>
        <v>1</v>
      </c>
      <c r="R1618" s="8">
        <f t="shared" si="255"/>
        <v>53.333333333333329</v>
      </c>
      <c r="S1618" s="8">
        <f t="shared" si="261"/>
        <v>54.333333333333329</v>
      </c>
      <c r="T1618" s="18">
        <f t="shared" si="256"/>
        <v>12.730933207010896</v>
      </c>
      <c r="U1618" s="20">
        <f t="shared" si="258"/>
        <v>2505.0240792278546</v>
      </c>
      <c r="V1618" s="27" t="s">
        <v>2982</v>
      </c>
    </row>
    <row r="1619" spans="1:22" ht="15" customHeight="1" x14ac:dyDescent="0.25">
      <c r="A1619" t="s">
        <v>287</v>
      </c>
      <c r="B1619" t="s">
        <v>904</v>
      </c>
      <c r="C1619" t="s">
        <v>2779</v>
      </c>
      <c r="D1619" t="s">
        <v>2854</v>
      </c>
      <c r="E1619" t="s">
        <v>480</v>
      </c>
      <c r="F1619" s="5">
        <v>339.92</v>
      </c>
      <c r="G1619" t="s">
        <v>445</v>
      </c>
      <c r="H1619" s="3">
        <v>83</v>
      </c>
      <c r="I1619" s="3">
        <v>57</v>
      </c>
      <c r="J1619" s="3">
        <v>68</v>
      </c>
      <c r="K1619" s="3">
        <v>3.8</v>
      </c>
      <c r="L1619">
        <f t="shared" si="259"/>
        <v>0.32170799999999999</v>
      </c>
      <c r="M1619">
        <f t="shared" si="257"/>
        <v>16.0854</v>
      </c>
      <c r="N1619" s="8">
        <v>50</v>
      </c>
      <c r="O1619" s="14">
        <f t="shared" si="260"/>
        <v>16996</v>
      </c>
      <c r="P1619" s="8">
        <v>15</v>
      </c>
      <c r="Q1619" s="8">
        <f t="shared" si="254"/>
        <v>3.3333333333333335</v>
      </c>
      <c r="R1619" s="8">
        <f t="shared" si="255"/>
        <v>25</v>
      </c>
      <c r="S1619" s="8">
        <f t="shared" si="261"/>
        <v>28.333333333333332</v>
      </c>
      <c r="T1619" s="18">
        <f t="shared" si="256"/>
        <v>12.579938417811464</v>
      </c>
      <c r="U1619" s="20">
        <f t="shared" si="258"/>
        <v>2517.6040176456659</v>
      </c>
      <c r="V1619" s="27" t="s">
        <v>2982</v>
      </c>
    </row>
    <row r="1620" spans="1:22" ht="15" customHeight="1" x14ac:dyDescent="0.25">
      <c r="A1620" t="s">
        <v>287</v>
      </c>
      <c r="B1620" t="s">
        <v>2738</v>
      </c>
      <c r="C1620" t="s">
        <v>2758</v>
      </c>
      <c r="D1620" t="s">
        <v>462</v>
      </c>
      <c r="E1620" t="s">
        <v>480</v>
      </c>
      <c r="F1620" s="5">
        <v>1119.9000000000001</v>
      </c>
      <c r="G1620" t="s">
        <v>2764</v>
      </c>
      <c r="H1620" s="3">
        <v>216</v>
      </c>
      <c r="I1620" s="3">
        <v>208</v>
      </c>
      <c r="J1620" s="3">
        <v>52</v>
      </c>
      <c r="K1620" s="3">
        <v>115</v>
      </c>
      <c r="L1620">
        <f t="shared" si="259"/>
        <v>2.3362560000000001</v>
      </c>
      <c r="M1620">
        <f t="shared" si="257"/>
        <v>35.043840000000003</v>
      </c>
      <c r="N1620" s="8">
        <v>15</v>
      </c>
      <c r="O1620" s="14">
        <f t="shared" si="260"/>
        <v>16798.5</v>
      </c>
      <c r="P1620" s="8">
        <v>40</v>
      </c>
      <c r="Q1620" s="8">
        <f t="shared" si="254"/>
        <v>0.375</v>
      </c>
      <c r="R1620" s="8">
        <f t="shared" si="255"/>
        <v>20</v>
      </c>
      <c r="S1620" s="8">
        <f t="shared" si="261"/>
        <v>20.375</v>
      </c>
      <c r="T1620" s="18">
        <f t="shared" si="256"/>
        <v>12.433754737091427</v>
      </c>
      <c r="U1620" s="20">
        <f t="shared" si="258"/>
        <v>2530.0377723827573</v>
      </c>
      <c r="V1620" s="27" t="s">
        <v>2982</v>
      </c>
    </row>
    <row r="1621" spans="1:22" ht="15" customHeight="1" x14ac:dyDescent="0.25">
      <c r="A1621" t="s">
        <v>287</v>
      </c>
      <c r="B1621" t="s">
        <v>2824</v>
      </c>
      <c r="C1621" t="s">
        <v>2839</v>
      </c>
      <c r="D1621" t="s">
        <v>2852</v>
      </c>
      <c r="E1621" t="s">
        <v>480</v>
      </c>
      <c r="F1621" s="5">
        <v>270</v>
      </c>
      <c r="G1621" t="s">
        <v>2845</v>
      </c>
      <c r="H1621" s="3">
        <v>76</v>
      </c>
      <c r="I1621" s="3">
        <v>79</v>
      </c>
      <c r="J1621" s="3">
        <v>73</v>
      </c>
      <c r="K1621">
        <v>26.6</v>
      </c>
      <c r="L1621">
        <f t="shared" si="259"/>
        <v>0.43829200000000001</v>
      </c>
      <c r="M1621">
        <f t="shared" si="257"/>
        <v>26.297520000000002</v>
      </c>
      <c r="N1621" s="8">
        <v>60</v>
      </c>
      <c r="O1621" s="14">
        <f t="shared" si="260"/>
        <v>16200</v>
      </c>
      <c r="P1621" s="8">
        <v>40</v>
      </c>
      <c r="Q1621" s="8">
        <f t="shared" si="254"/>
        <v>1.5</v>
      </c>
      <c r="R1621" s="8">
        <f t="shared" si="255"/>
        <v>80</v>
      </c>
      <c r="S1621" s="8">
        <f t="shared" si="261"/>
        <v>81.5</v>
      </c>
      <c r="T1621" s="18">
        <f t="shared" si="256"/>
        <v>11.990762671719564</v>
      </c>
      <c r="U1621" s="20">
        <f t="shared" si="258"/>
        <v>2542.0285350544768</v>
      </c>
      <c r="V1621" s="27" t="s">
        <v>2982</v>
      </c>
    </row>
    <row r="1622" spans="1:22" ht="15" customHeight="1" x14ac:dyDescent="0.25">
      <c r="A1622" t="s">
        <v>287</v>
      </c>
      <c r="B1622" t="s">
        <v>2738</v>
      </c>
      <c r="C1622" t="s">
        <v>2739</v>
      </c>
      <c r="D1622" t="s">
        <v>2744</v>
      </c>
      <c r="E1622" t="s">
        <v>480</v>
      </c>
      <c r="F1622" s="5">
        <v>1619.1</v>
      </c>
      <c r="G1622" t="s">
        <v>2745</v>
      </c>
      <c r="H1622" s="3">
        <v>46</v>
      </c>
      <c r="I1622" s="3">
        <v>166</v>
      </c>
      <c r="J1622" s="3">
        <v>20</v>
      </c>
      <c r="K1622" s="3">
        <v>110</v>
      </c>
      <c r="L1622">
        <f t="shared" si="259"/>
        <v>0.15271999999999999</v>
      </c>
      <c r="M1622">
        <f t="shared" si="257"/>
        <v>1.5271999999999999</v>
      </c>
      <c r="N1622" s="8">
        <v>10</v>
      </c>
      <c r="O1622" s="14">
        <f t="shared" si="260"/>
        <v>16191</v>
      </c>
      <c r="P1622" s="8">
        <v>40</v>
      </c>
      <c r="Q1622" s="8">
        <f t="shared" si="254"/>
        <v>0.25</v>
      </c>
      <c r="R1622" s="8">
        <f t="shared" si="255"/>
        <v>13.333333333333332</v>
      </c>
      <c r="S1622" s="8">
        <f t="shared" si="261"/>
        <v>13.583333333333332</v>
      </c>
      <c r="T1622" s="18">
        <f t="shared" si="256"/>
        <v>11.984101136901943</v>
      </c>
      <c r="U1622" s="20">
        <f t="shared" si="258"/>
        <v>2554.012636191379</v>
      </c>
      <c r="V1622" s="27" t="s">
        <v>2982</v>
      </c>
    </row>
    <row r="1623" spans="1:22" ht="15" customHeight="1" x14ac:dyDescent="0.25">
      <c r="A1623" t="s">
        <v>287</v>
      </c>
      <c r="B1623" t="s">
        <v>2824</v>
      </c>
      <c r="C1623" t="s">
        <v>2839</v>
      </c>
      <c r="D1623" t="s">
        <v>2851</v>
      </c>
      <c r="E1623" t="s">
        <v>480</v>
      </c>
      <c r="F1623" s="5">
        <v>400</v>
      </c>
      <c r="G1623" t="s">
        <v>2845</v>
      </c>
      <c r="H1623" s="3">
        <v>86</v>
      </c>
      <c r="I1623" s="3">
        <v>97</v>
      </c>
      <c r="J1623" s="3">
        <v>84</v>
      </c>
      <c r="K1623">
        <v>22.5</v>
      </c>
      <c r="L1623">
        <f t="shared" si="259"/>
        <v>0.70072800000000002</v>
      </c>
      <c r="M1623">
        <f t="shared" si="257"/>
        <v>28.029119999999999</v>
      </c>
      <c r="N1623" s="8">
        <v>40</v>
      </c>
      <c r="O1623" s="14">
        <f t="shared" si="260"/>
        <v>16000</v>
      </c>
      <c r="P1623" s="8">
        <v>40</v>
      </c>
      <c r="Q1623" s="8">
        <f t="shared" si="254"/>
        <v>1</v>
      </c>
      <c r="R1623" s="8">
        <f t="shared" si="255"/>
        <v>53.333333333333329</v>
      </c>
      <c r="S1623" s="8">
        <f t="shared" si="261"/>
        <v>54.333333333333329</v>
      </c>
      <c r="T1623" s="18">
        <f t="shared" si="256"/>
        <v>11.842728564661298</v>
      </c>
      <c r="U1623" s="20">
        <f t="shared" si="258"/>
        <v>2565.8553647560402</v>
      </c>
      <c r="V1623" s="27" t="s">
        <v>2982</v>
      </c>
    </row>
    <row r="1624" spans="1:22" ht="15" customHeight="1" x14ac:dyDescent="0.25">
      <c r="A1624" t="s">
        <v>287</v>
      </c>
      <c r="B1624" t="s">
        <v>2738</v>
      </c>
      <c r="C1624" t="s">
        <v>2758</v>
      </c>
      <c r="D1624" t="s">
        <v>449</v>
      </c>
      <c r="E1624" t="s">
        <v>480</v>
      </c>
      <c r="F1624" s="5">
        <v>1598</v>
      </c>
      <c r="G1624" t="s">
        <v>2762</v>
      </c>
      <c r="H1624" s="3">
        <v>185</v>
      </c>
      <c r="I1624" s="3">
        <v>121</v>
      </c>
      <c r="J1624" s="3">
        <v>47</v>
      </c>
      <c r="K1624" s="3">
        <v>70</v>
      </c>
      <c r="L1624">
        <f t="shared" si="259"/>
        <v>1.052095</v>
      </c>
      <c r="M1624">
        <f t="shared" si="257"/>
        <v>10.520949999999999</v>
      </c>
      <c r="N1624" s="8">
        <v>10</v>
      </c>
      <c r="O1624" s="14">
        <f t="shared" si="260"/>
        <v>15980</v>
      </c>
      <c r="P1624" s="8">
        <v>40</v>
      </c>
      <c r="Q1624" s="8">
        <f t="shared" si="254"/>
        <v>0.25</v>
      </c>
      <c r="R1624" s="8">
        <f t="shared" si="255"/>
        <v>13.333333333333332</v>
      </c>
      <c r="S1624" s="8">
        <f t="shared" si="261"/>
        <v>13.583333333333332</v>
      </c>
      <c r="T1624" s="18">
        <f t="shared" si="256"/>
        <v>11.827925153955471</v>
      </c>
      <c r="U1624" s="20">
        <f t="shared" si="258"/>
        <v>2577.6832899099959</v>
      </c>
      <c r="V1624" s="27" t="s">
        <v>2982</v>
      </c>
    </row>
    <row r="1625" spans="1:22" ht="15" customHeight="1" x14ac:dyDescent="0.25">
      <c r="A1625" t="s">
        <v>287</v>
      </c>
      <c r="B1625" t="s">
        <v>2738</v>
      </c>
      <c r="C1625" t="s">
        <v>2739</v>
      </c>
      <c r="D1625" t="s">
        <v>2742</v>
      </c>
      <c r="E1625" t="s">
        <v>480</v>
      </c>
      <c r="F1625" s="5">
        <v>1049.8900000000001</v>
      </c>
      <c r="G1625" t="s">
        <v>2743</v>
      </c>
      <c r="H1625" s="3">
        <v>105</v>
      </c>
      <c r="I1625" s="3">
        <v>194</v>
      </c>
      <c r="J1625" s="3">
        <v>130</v>
      </c>
      <c r="K1625" s="3">
        <v>140</v>
      </c>
      <c r="L1625">
        <f t="shared" si="259"/>
        <v>2.6480999999999999</v>
      </c>
      <c r="M1625">
        <f t="shared" si="257"/>
        <v>39.721499999999999</v>
      </c>
      <c r="N1625" s="8">
        <v>15</v>
      </c>
      <c r="O1625" s="14">
        <f t="shared" si="260"/>
        <v>15748.350000000002</v>
      </c>
      <c r="P1625" s="8">
        <v>40</v>
      </c>
      <c r="Q1625" s="8">
        <f t="shared" si="254"/>
        <v>0.375</v>
      </c>
      <c r="R1625" s="8">
        <f t="shared" si="255"/>
        <v>20</v>
      </c>
      <c r="S1625" s="8">
        <f t="shared" si="261"/>
        <v>20.375</v>
      </c>
      <c r="T1625" s="18">
        <f t="shared" si="256"/>
        <v>11.656464649455236</v>
      </c>
      <c r="U1625" s="20">
        <f t="shared" si="258"/>
        <v>2589.3397545594512</v>
      </c>
      <c r="V1625" s="27" t="s">
        <v>2982</v>
      </c>
    </row>
    <row r="1626" spans="1:22" ht="15" customHeight="1" x14ac:dyDescent="0.25">
      <c r="A1626" t="s">
        <v>287</v>
      </c>
      <c r="B1626" t="s">
        <v>904</v>
      </c>
      <c r="C1626" t="s">
        <v>2779</v>
      </c>
      <c r="D1626" t="s">
        <v>2858</v>
      </c>
      <c r="E1626" t="s">
        <v>480</v>
      </c>
      <c r="F1626" s="5">
        <v>519</v>
      </c>
      <c r="G1626" t="s">
        <v>2856</v>
      </c>
      <c r="H1626" s="3">
        <v>85</v>
      </c>
      <c r="I1626" s="3">
        <v>70</v>
      </c>
      <c r="J1626" s="3">
        <v>70</v>
      </c>
      <c r="K1626" s="3">
        <v>9.5</v>
      </c>
      <c r="L1626">
        <f t="shared" si="259"/>
        <v>0.41649999999999998</v>
      </c>
      <c r="M1626">
        <f t="shared" si="257"/>
        <v>12.494999999999999</v>
      </c>
      <c r="N1626" s="8">
        <v>30</v>
      </c>
      <c r="O1626" s="14">
        <f t="shared" si="260"/>
        <v>15570</v>
      </c>
      <c r="P1626" s="8">
        <v>15</v>
      </c>
      <c r="Q1626" s="8">
        <f t="shared" si="254"/>
        <v>2</v>
      </c>
      <c r="R1626" s="8">
        <f t="shared" si="255"/>
        <v>15</v>
      </c>
      <c r="S1626" s="8">
        <f t="shared" si="261"/>
        <v>17</v>
      </c>
      <c r="T1626" s="18">
        <f t="shared" si="256"/>
        <v>11.524455234486027</v>
      </c>
      <c r="U1626" s="20">
        <f t="shared" si="258"/>
        <v>2600.8642097939373</v>
      </c>
      <c r="V1626" s="27" t="s">
        <v>2982</v>
      </c>
    </row>
    <row r="1627" spans="1:22" ht="15" customHeight="1" x14ac:dyDescent="0.25">
      <c r="A1627" t="s">
        <v>287</v>
      </c>
      <c r="B1627" t="s">
        <v>407</v>
      </c>
      <c r="C1627" t="s">
        <v>408</v>
      </c>
      <c r="D1627" t="s">
        <v>410</v>
      </c>
      <c r="E1627" t="s">
        <v>234</v>
      </c>
      <c r="F1627" s="5">
        <v>193.9</v>
      </c>
      <c r="G1627" t="s">
        <v>387</v>
      </c>
      <c r="H1627" s="3">
        <v>66</v>
      </c>
      <c r="I1627" s="3">
        <v>31</v>
      </c>
      <c r="J1627" s="3">
        <v>120</v>
      </c>
      <c r="K1627" s="3">
        <v>24</v>
      </c>
      <c r="L1627">
        <f t="shared" si="259"/>
        <v>0.24551999999999999</v>
      </c>
      <c r="M1627">
        <f t="shared" si="257"/>
        <v>19.6416</v>
      </c>
      <c r="N1627" s="8">
        <v>80</v>
      </c>
      <c r="O1627" s="14">
        <f t="shared" si="260"/>
        <v>15512</v>
      </c>
      <c r="P1627" s="8">
        <v>40</v>
      </c>
      <c r="Q1627" s="8">
        <f t="shared" si="254"/>
        <v>2</v>
      </c>
      <c r="R1627" s="8">
        <f t="shared" si="255"/>
        <v>106.66666666666666</v>
      </c>
      <c r="S1627" s="8">
        <f t="shared" si="261"/>
        <v>108.66666666666666</v>
      </c>
      <c r="T1627" s="18">
        <f t="shared" si="256"/>
        <v>11.481525343439129</v>
      </c>
      <c r="U1627" s="20">
        <f t="shared" si="258"/>
        <v>2612.3457351373763</v>
      </c>
      <c r="V1627" s="27" t="s">
        <v>2982</v>
      </c>
    </row>
    <row r="1628" spans="1:22" ht="15" customHeight="1" x14ac:dyDescent="0.25">
      <c r="A1628" t="s">
        <v>287</v>
      </c>
      <c r="B1628" t="s">
        <v>2824</v>
      </c>
      <c r="C1628" t="s">
        <v>2839</v>
      </c>
      <c r="D1628" t="s">
        <v>2848</v>
      </c>
      <c r="E1628" t="s">
        <v>480</v>
      </c>
      <c r="F1628" s="5">
        <v>310</v>
      </c>
      <c r="G1628" t="s">
        <v>2841</v>
      </c>
      <c r="H1628" s="3">
        <v>93</v>
      </c>
      <c r="I1628" s="3">
        <v>75</v>
      </c>
      <c r="J1628" s="3">
        <v>64</v>
      </c>
      <c r="K1628">
        <v>11</v>
      </c>
      <c r="L1628">
        <f t="shared" si="259"/>
        <v>0.44640000000000002</v>
      </c>
      <c r="M1628">
        <f t="shared" si="257"/>
        <v>22.32</v>
      </c>
      <c r="N1628" s="8">
        <v>50</v>
      </c>
      <c r="O1628" s="14">
        <f t="shared" si="260"/>
        <v>15500</v>
      </c>
      <c r="P1628" s="8">
        <v>40</v>
      </c>
      <c r="Q1628" s="8">
        <f t="shared" si="254"/>
        <v>1.25</v>
      </c>
      <c r="R1628" s="8">
        <f t="shared" si="255"/>
        <v>66.666666666666671</v>
      </c>
      <c r="S1628" s="8">
        <f t="shared" si="261"/>
        <v>67.916666666666671</v>
      </c>
      <c r="T1628" s="18">
        <f t="shared" si="256"/>
        <v>11.472643297015633</v>
      </c>
      <c r="U1628" s="20">
        <f t="shared" si="258"/>
        <v>2623.8183784343919</v>
      </c>
      <c r="V1628" s="27" t="s">
        <v>2982</v>
      </c>
    </row>
    <row r="1629" spans="1:22" ht="15" customHeight="1" x14ac:dyDescent="0.25">
      <c r="A1629" t="s">
        <v>287</v>
      </c>
      <c r="B1629" t="s">
        <v>407</v>
      </c>
      <c r="C1629" t="s">
        <v>408</v>
      </c>
      <c r="D1629" t="s">
        <v>416</v>
      </c>
      <c r="E1629" t="s">
        <v>234</v>
      </c>
      <c r="F1629" s="5">
        <v>213.9</v>
      </c>
      <c r="G1629" t="s">
        <v>387</v>
      </c>
      <c r="H1629" s="3">
        <v>33.5</v>
      </c>
      <c r="I1629" s="3">
        <v>30</v>
      </c>
      <c r="J1629" s="3">
        <v>67</v>
      </c>
      <c r="K1629" s="3">
        <v>16</v>
      </c>
      <c r="L1629">
        <f t="shared" si="259"/>
        <v>6.7335000000000006E-2</v>
      </c>
      <c r="M1629">
        <f t="shared" si="257"/>
        <v>4.7134500000000008</v>
      </c>
      <c r="N1629" s="8">
        <v>70</v>
      </c>
      <c r="O1629" s="14">
        <f t="shared" si="260"/>
        <v>14973</v>
      </c>
      <c r="P1629" s="8">
        <v>40</v>
      </c>
      <c r="Q1629" s="8">
        <f t="shared" si="254"/>
        <v>1.75</v>
      </c>
      <c r="R1629" s="8">
        <f t="shared" si="255"/>
        <v>93.333333333333343</v>
      </c>
      <c r="S1629" s="8">
        <f t="shared" si="261"/>
        <v>95.083333333333343</v>
      </c>
      <c r="T1629" s="18">
        <f t="shared" si="256"/>
        <v>11.082573424917101</v>
      </c>
      <c r="U1629" s="20">
        <f t="shared" si="258"/>
        <v>2634.9009518593089</v>
      </c>
      <c r="V1629" s="27" t="s">
        <v>2982</v>
      </c>
    </row>
    <row r="1630" spans="1:22" ht="15" customHeight="1" x14ac:dyDescent="0.25">
      <c r="A1630" t="s">
        <v>287</v>
      </c>
      <c r="B1630" t="s">
        <v>2738</v>
      </c>
      <c r="C1630" t="s">
        <v>2758</v>
      </c>
      <c r="D1630" t="s">
        <v>461</v>
      </c>
      <c r="E1630" t="s">
        <v>480</v>
      </c>
      <c r="F1630" s="5">
        <v>998</v>
      </c>
      <c r="G1630" t="s">
        <v>2764</v>
      </c>
      <c r="H1630" s="3">
        <v>232</v>
      </c>
      <c r="I1630" s="3">
        <v>146</v>
      </c>
      <c r="J1630" s="3">
        <v>47</v>
      </c>
      <c r="K1630" s="3">
        <v>119</v>
      </c>
      <c r="L1630">
        <f t="shared" si="259"/>
        <v>1.5919840000000001</v>
      </c>
      <c r="M1630">
        <f t="shared" si="257"/>
        <v>23.879760000000001</v>
      </c>
      <c r="N1630" s="8">
        <v>15</v>
      </c>
      <c r="O1630" s="14">
        <f t="shared" si="260"/>
        <v>14970</v>
      </c>
      <c r="P1630" s="8">
        <v>40</v>
      </c>
      <c r="Q1630" s="8">
        <f t="shared" si="254"/>
        <v>0.375</v>
      </c>
      <c r="R1630" s="8">
        <f t="shared" si="255"/>
        <v>20</v>
      </c>
      <c r="S1630" s="8">
        <f t="shared" si="261"/>
        <v>20.375</v>
      </c>
      <c r="T1630" s="18">
        <f t="shared" si="256"/>
        <v>11.080352913311227</v>
      </c>
      <c r="U1630" s="20">
        <f t="shared" si="258"/>
        <v>2645.9813047726202</v>
      </c>
      <c r="V1630" s="27" t="s">
        <v>2982</v>
      </c>
    </row>
    <row r="1631" spans="1:22" ht="15" customHeight="1" x14ac:dyDescent="0.25">
      <c r="A1631" t="s">
        <v>287</v>
      </c>
      <c r="B1631" t="s">
        <v>904</v>
      </c>
      <c r="C1631" t="s">
        <v>2779</v>
      </c>
      <c r="D1631" t="s">
        <v>2859</v>
      </c>
      <c r="E1631" t="s">
        <v>480</v>
      </c>
      <c r="F1631" s="5">
        <v>299</v>
      </c>
      <c r="G1631" t="s">
        <v>2856</v>
      </c>
      <c r="H1631" s="3">
        <v>58</v>
      </c>
      <c r="I1631" s="3">
        <v>65</v>
      </c>
      <c r="J1631" s="3">
        <v>68</v>
      </c>
      <c r="K1631" s="3">
        <v>8.1999999999999993</v>
      </c>
      <c r="L1631">
        <f t="shared" si="259"/>
        <v>0.25635999999999998</v>
      </c>
      <c r="M1631">
        <f t="shared" si="257"/>
        <v>12.818</v>
      </c>
      <c r="N1631" s="8">
        <v>50</v>
      </c>
      <c r="O1631" s="14">
        <f t="shared" si="260"/>
        <v>14950</v>
      </c>
      <c r="P1631" s="8">
        <v>15</v>
      </c>
      <c r="Q1631" s="8">
        <f t="shared" ref="Q1631:Q1694" si="262">N1631/P1631</f>
        <v>3.3333333333333335</v>
      </c>
      <c r="R1631" s="8">
        <f t="shared" ref="R1631:R1694" si="263">(N1631/30)*P1631</f>
        <v>25</v>
      </c>
      <c r="S1631" s="8">
        <f t="shared" si="261"/>
        <v>28.333333333333332</v>
      </c>
      <c r="T1631" s="18">
        <f t="shared" si="256"/>
        <v>11.0655495026054</v>
      </c>
      <c r="U1631" s="20">
        <f t="shared" si="258"/>
        <v>2657.0468542752255</v>
      </c>
      <c r="V1631" s="27" t="s">
        <v>2982</v>
      </c>
    </row>
    <row r="1632" spans="1:22" ht="15" customHeight="1" x14ac:dyDescent="0.25">
      <c r="A1632" t="s">
        <v>287</v>
      </c>
      <c r="B1632" t="s">
        <v>2864</v>
      </c>
      <c r="C1632" t="s">
        <v>2906</v>
      </c>
      <c r="D1632" t="s">
        <v>2907</v>
      </c>
      <c r="E1632" t="s">
        <v>480</v>
      </c>
      <c r="F1632" s="5">
        <v>989.9</v>
      </c>
      <c r="G1632" t="s">
        <v>2908</v>
      </c>
      <c r="H1632" s="3">
        <v>90</v>
      </c>
      <c r="I1632" s="3">
        <v>52</v>
      </c>
      <c r="J1632" s="3">
        <v>100</v>
      </c>
      <c r="K1632" s="3">
        <v>47</v>
      </c>
      <c r="L1632">
        <f t="shared" si="259"/>
        <v>0.46800000000000003</v>
      </c>
      <c r="M1632">
        <f t="shared" si="257"/>
        <v>7.0200000000000005</v>
      </c>
      <c r="N1632" s="8">
        <v>15</v>
      </c>
      <c r="O1632" s="14">
        <f t="shared" si="260"/>
        <v>14848.5</v>
      </c>
      <c r="P1632" s="8">
        <v>30</v>
      </c>
      <c r="Q1632" s="8">
        <f t="shared" si="262"/>
        <v>0.5</v>
      </c>
      <c r="R1632" s="8">
        <f t="shared" si="263"/>
        <v>15</v>
      </c>
      <c r="S1632" s="8">
        <f t="shared" si="261"/>
        <v>15.5</v>
      </c>
      <c r="T1632" s="18">
        <f t="shared" si="256"/>
        <v>10.99042219327333</v>
      </c>
      <c r="U1632" s="20">
        <f t="shared" si="258"/>
        <v>2668.0372764684989</v>
      </c>
      <c r="V1632" s="27" t="s">
        <v>2982</v>
      </c>
    </row>
    <row r="1633" spans="1:22" ht="15" customHeight="1" x14ac:dyDescent="0.25">
      <c r="A1633" t="s">
        <v>287</v>
      </c>
      <c r="B1633" t="s">
        <v>407</v>
      </c>
      <c r="C1633" t="s">
        <v>421</v>
      </c>
      <c r="D1633" t="s">
        <v>425</v>
      </c>
      <c r="E1633" t="s">
        <v>234</v>
      </c>
      <c r="F1633" s="5">
        <v>180</v>
      </c>
      <c r="G1633" t="s">
        <v>387</v>
      </c>
      <c r="H1633" s="3">
        <v>121</v>
      </c>
      <c r="I1633" s="3">
        <v>43</v>
      </c>
      <c r="J1633" s="3">
        <v>68</v>
      </c>
      <c r="K1633" s="3">
        <v>24</v>
      </c>
      <c r="L1633">
        <f t="shared" si="259"/>
        <v>0.35380400000000001</v>
      </c>
      <c r="M1633">
        <f t="shared" si="257"/>
        <v>28.304320000000001</v>
      </c>
      <c r="N1633" s="8">
        <v>80</v>
      </c>
      <c r="O1633" s="14">
        <f t="shared" si="260"/>
        <v>14400</v>
      </c>
      <c r="P1633" s="8">
        <v>40</v>
      </c>
      <c r="Q1633" s="8">
        <f t="shared" si="262"/>
        <v>2</v>
      </c>
      <c r="R1633" s="8">
        <f t="shared" si="263"/>
        <v>106.66666666666666</v>
      </c>
      <c r="S1633" s="8">
        <f t="shared" si="261"/>
        <v>108.66666666666666</v>
      </c>
      <c r="T1633" s="18">
        <f t="shared" si="256"/>
        <v>10.658455708195168</v>
      </c>
      <c r="U1633" s="20">
        <f t="shared" si="258"/>
        <v>2678.695732176694</v>
      </c>
      <c r="V1633" s="27" t="s">
        <v>2982</v>
      </c>
    </row>
    <row r="1634" spans="1:22" ht="15" customHeight="1" x14ac:dyDescent="0.25">
      <c r="A1634" t="s">
        <v>287</v>
      </c>
      <c r="B1634" t="s">
        <v>2738</v>
      </c>
      <c r="C1634" t="s">
        <v>2758</v>
      </c>
      <c r="D1634" t="s">
        <v>452</v>
      </c>
      <c r="E1634" t="s">
        <v>480</v>
      </c>
      <c r="F1634" s="5">
        <v>959</v>
      </c>
      <c r="G1634" t="s">
        <v>2762</v>
      </c>
      <c r="H1634" s="3">
        <v>218</v>
      </c>
      <c r="I1634" s="3">
        <v>217</v>
      </c>
      <c r="J1634" s="3">
        <v>47</v>
      </c>
      <c r="K1634" s="3">
        <v>122</v>
      </c>
      <c r="L1634">
        <f t="shared" si="259"/>
        <v>2.223382</v>
      </c>
      <c r="M1634">
        <f t="shared" si="257"/>
        <v>33.350729999999999</v>
      </c>
      <c r="N1634" s="8">
        <v>15</v>
      </c>
      <c r="O1634" s="14">
        <f t="shared" si="260"/>
        <v>14385</v>
      </c>
      <c r="P1634" s="8">
        <v>40</v>
      </c>
      <c r="Q1634" s="8">
        <f t="shared" si="262"/>
        <v>0.375</v>
      </c>
      <c r="R1634" s="8">
        <f t="shared" si="263"/>
        <v>20</v>
      </c>
      <c r="S1634" s="8">
        <f t="shared" si="261"/>
        <v>20.375</v>
      </c>
      <c r="T1634" s="18">
        <f t="shared" si="256"/>
        <v>10.647353150165799</v>
      </c>
      <c r="U1634" s="20">
        <f t="shared" si="258"/>
        <v>2689.3430853268596</v>
      </c>
      <c r="V1634" s="27" t="s">
        <v>2982</v>
      </c>
    </row>
    <row r="1635" spans="1:22" ht="15" customHeight="1" x14ac:dyDescent="0.25">
      <c r="A1635" t="s">
        <v>287</v>
      </c>
      <c r="B1635" t="s">
        <v>2738</v>
      </c>
      <c r="C1635" t="s">
        <v>2739</v>
      </c>
      <c r="D1635" t="s">
        <v>2748</v>
      </c>
      <c r="E1635" t="s">
        <v>480</v>
      </c>
      <c r="F1635" s="5">
        <v>952</v>
      </c>
      <c r="G1635" t="s">
        <v>2749</v>
      </c>
      <c r="H1635" s="3">
        <v>120</v>
      </c>
      <c r="I1635" s="3">
        <v>201</v>
      </c>
      <c r="J1635" s="3">
        <v>102</v>
      </c>
      <c r="K1635" s="3">
        <v>50</v>
      </c>
      <c r="L1635">
        <f t="shared" si="259"/>
        <v>2.4602400000000002</v>
      </c>
      <c r="M1635">
        <f t="shared" si="257"/>
        <v>36.903600000000004</v>
      </c>
      <c r="N1635" s="8">
        <v>15</v>
      </c>
      <c r="O1635" s="14">
        <f t="shared" si="260"/>
        <v>14280</v>
      </c>
      <c r="P1635" s="8">
        <v>40</v>
      </c>
      <c r="Q1635" s="8">
        <f t="shared" si="262"/>
        <v>0.375</v>
      </c>
      <c r="R1635" s="8">
        <f t="shared" si="263"/>
        <v>20</v>
      </c>
      <c r="S1635" s="8">
        <f t="shared" si="261"/>
        <v>20.375</v>
      </c>
      <c r="T1635" s="18">
        <f t="shared" si="256"/>
        <v>10.569635243960208</v>
      </c>
      <c r="U1635" s="20">
        <f t="shared" si="258"/>
        <v>2699.9127205708201</v>
      </c>
      <c r="V1635" s="27" t="s">
        <v>2982</v>
      </c>
    </row>
    <row r="1636" spans="1:22" ht="15" customHeight="1" x14ac:dyDescent="0.25">
      <c r="A1636" t="s">
        <v>287</v>
      </c>
      <c r="B1636" t="s">
        <v>407</v>
      </c>
      <c r="C1636" t="s">
        <v>421</v>
      </c>
      <c r="D1636" t="s">
        <v>423</v>
      </c>
      <c r="E1636" t="s">
        <v>234</v>
      </c>
      <c r="F1636" s="5">
        <v>173</v>
      </c>
      <c r="G1636" t="s">
        <v>387</v>
      </c>
      <c r="H1636" s="3">
        <v>116</v>
      </c>
      <c r="I1636" s="3">
        <v>39</v>
      </c>
      <c r="J1636" s="3">
        <v>61</v>
      </c>
      <c r="K1636" s="3">
        <v>18.350000000000001</v>
      </c>
      <c r="L1636">
        <f t="shared" si="259"/>
        <v>0.27596399999999999</v>
      </c>
      <c r="M1636">
        <f t="shared" si="257"/>
        <v>22.077120000000001</v>
      </c>
      <c r="N1636" s="8">
        <v>80</v>
      </c>
      <c r="O1636" s="14">
        <f t="shared" si="260"/>
        <v>13840</v>
      </c>
      <c r="P1636" s="8">
        <v>40</v>
      </c>
      <c r="Q1636" s="8">
        <f t="shared" si="262"/>
        <v>2</v>
      </c>
      <c r="R1636" s="8">
        <f t="shared" si="263"/>
        <v>106.66666666666666</v>
      </c>
      <c r="S1636" s="8">
        <f t="shared" si="261"/>
        <v>108.66666666666666</v>
      </c>
      <c r="T1636" s="18">
        <f t="shared" si="256"/>
        <v>10.243960208432023</v>
      </c>
      <c r="U1636" s="20">
        <f t="shared" si="258"/>
        <v>2710.1566807792519</v>
      </c>
      <c r="V1636" s="27" t="s">
        <v>2982</v>
      </c>
    </row>
    <row r="1637" spans="1:22" ht="15" customHeight="1" x14ac:dyDescent="0.25">
      <c r="A1637" t="s">
        <v>287</v>
      </c>
      <c r="B1637" t="s">
        <v>407</v>
      </c>
      <c r="C1637" t="s">
        <v>426</v>
      </c>
      <c r="D1637" t="s">
        <v>2699</v>
      </c>
      <c r="E1637" t="s">
        <v>234</v>
      </c>
      <c r="F1637" s="5">
        <v>167.9</v>
      </c>
      <c r="G1637" t="s">
        <v>387</v>
      </c>
      <c r="H1637" s="3">
        <v>52.5</v>
      </c>
      <c r="I1637" s="3">
        <v>120</v>
      </c>
      <c r="J1637" s="3">
        <v>52</v>
      </c>
      <c r="K1637" s="3">
        <v>16.02</v>
      </c>
      <c r="L1637">
        <f t="shared" si="259"/>
        <v>0.3276</v>
      </c>
      <c r="M1637">
        <f t="shared" si="257"/>
        <v>26.207999999999998</v>
      </c>
      <c r="N1637" s="8">
        <v>80</v>
      </c>
      <c r="O1637" s="14">
        <f t="shared" si="260"/>
        <v>13432</v>
      </c>
      <c r="P1637" s="8">
        <v>40</v>
      </c>
      <c r="Q1637" s="8">
        <f t="shared" si="262"/>
        <v>2</v>
      </c>
      <c r="R1637" s="8">
        <f t="shared" si="263"/>
        <v>106.66666666666666</v>
      </c>
      <c r="S1637" s="8">
        <f t="shared" si="261"/>
        <v>108.66666666666666</v>
      </c>
      <c r="T1637" s="18">
        <f t="shared" si="256"/>
        <v>9.9419706300331594</v>
      </c>
      <c r="U1637" s="20">
        <f t="shared" si="258"/>
        <v>2720.0986514092851</v>
      </c>
      <c r="V1637" s="27" t="s">
        <v>2982</v>
      </c>
    </row>
    <row r="1638" spans="1:22" ht="15" customHeight="1" x14ac:dyDescent="0.25">
      <c r="A1638" t="s">
        <v>287</v>
      </c>
      <c r="B1638" t="s">
        <v>479</v>
      </c>
      <c r="C1638" t="s">
        <v>2787</v>
      </c>
      <c r="D1638" t="s">
        <v>482</v>
      </c>
      <c r="E1638" t="s">
        <v>480</v>
      </c>
      <c r="F1638" s="5">
        <v>271.92</v>
      </c>
      <c r="G1638" t="s">
        <v>483</v>
      </c>
      <c r="H1638" s="3">
        <v>189</v>
      </c>
      <c r="I1638" s="3">
        <v>36</v>
      </c>
      <c r="J1638" s="3">
        <v>83.5</v>
      </c>
      <c r="K1638" s="3">
        <v>27.2</v>
      </c>
      <c r="L1638">
        <f t="shared" si="259"/>
        <v>0.56813400000000003</v>
      </c>
      <c r="M1638">
        <f t="shared" si="257"/>
        <v>26.134164000000002</v>
      </c>
      <c r="N1638" s="8">
        <v>46</v>
      </c>
      <c r="O1638" s="14">
        <f t="shared" si="260"/>
        <v>12508.320000000002</v>
      </c>
      <c r="P1638" s="8">
        <v>40</v>
      </c>
      <c r="Q1638" s="8">
        <f t="shared" si="262"/>
        <v>1.1499999999999999</v>
      </c>
      <c r="R1638" s="8">
        <f t="shared" si="263"/>
        <v>61.333333333333336</v>
      </c>
      <c r="S1638" s="8">
        <f t="shared" si="261"/>
        <v>62.483333333333334</v>
      </c>
      <c r="T1638" s="18">
        <f t="shared" si="256"/>
        <v>9.2582899099952645</v>
      </c>
      <c r="U1638" s="20">
        <f t="shared" si="258"/>
        <v>2729.3569413192804</v>
      </c>
      <c r="V1638" s="27" t="s">
        <v>2982</v>
      </c>
    </row>
    <row r="1639" spans="1:22" ht="15" customHeight="1" x14ac:dyDescent="0.25">
      <c r="A1639" t="s">
        <v>287</v>
      </c>
      <c r="B1639" t="s">
        <v>479</v>
      </c>
      <c r="C1639" t="s">
        <v>2803</v>
      </c>
      <c r="D1639" t="s">
        <v>2811</v>
      </c>
      <c r="E1639" t="s">
        <v>480</v>
      </c>
      <c r="F1639" s="5">
        <v>263.92</v>
      </c>
      <c r="G1639" t="s">
        <v>500</v>
      </c>
      <c r="H1639" s="3">
        <v>12.5</v>
      </c>
      <c r="I1639" s="3">
        <v>139</v>
      </c>
      <c r="J1639" s="3">
        <v>48</v>
      </c>
      <c r="K1639" s="3">
        <v>40.950000000000003</v>
      </c>
      <c r="L1639">
        <f t="shared" si="259"/>
        <v>8.3400000000000002E-2</v>
      </c>
      <c r="M1639">
        <f t="shared" si="257"/>
        <v>3.8364000000000003</v>
      </c>
      <c r="N1639" s="8">
        <v>46</v>
      </c>
      <c r="O1639" s="14">
        <f t="shared" si="260"/>
        <v>12140.320000000002</v>
      </c>
      <c r="P1639" s="8">
        <v>40</v>
      </c>
      <c r="Q1639" s="8">
        <f t="shared" si="262"/>
        <v>1.1499999999999999</v>
      </c>
      <c r="R1639" s="8">
        <f t="shared" si="263"/>
        <v>61.333333333333336</v>
      </c>
      <c r="S1639" s="8">
        <f t="shared" si="261"/>
        <v>62.483333333333334</v>
      </c>
      <c r="T1639" s="18">
        <f t="shared" si="256"/>
        <v>8.9859071530080552</v>
      </c>
      <c r="U1639" s="20">
        <f t="shared" si="258"/>
        <v>2738.3428484722886</v>
      </c>
      <c r="V1639" s="27" t="s">
        <v>2982</v>
      </c>
    </row>
    <row r="1640" spans="1:22" ht="15" customHeight="1" x14ac:dyDescent="0.25">
      <c r="A1640" t="s">
        <v>287</v>
      </c>
      <c r="B1640" t="s">
        <v>407</v>
      </c>
      <c r="C1640" t="s">
        <v>408</v>
      </c>
      <c r="D1640" t="s">
        <v>414</v>
      </c>
      <c r="E1640" t="s">
        <v>234</v>
      </c>
      <c r="F1640" s="5">
        <v>171.9</v>
      </c>
      <c r="G1640" t="s">
        <v>387</v>
      </c>
      <c r="H1640" s="3">
        <v>33</v>
      </c>
      <c r="I1640" s="3">
        <v>31</v>
      </c>
      <c r="J1640" s="3">
        <v>67</v>
      </c>
      <c r="K1640" s="3">
        <v>15</v>
      </c>
      <c r="L1640">
        <f t="shared" si="259"/>
        <v>6.8541000000000005E-2</v>
      </c>
      <c r="M1640">
        <f t="shared" si="257"/>
        <v>4.7978700000000005</v>
      </c>
      <c r="N1640" s="8">
        <v>70</v>
      </c>
      <c r="O1640" s="14">
        <f t="shared" si="260"/>
        <v>12033</v>
      </c>
      <c r="P1640" s="8">
        <v>40</v>
      </c>
      <c r="Q1640" s="8">
        <f t="shared" si="262"/>
        <v>1.75</v>
      </c>
      <c r="R1640" s="8">
        <f t="shared" si="263"/>
        <v>93.333333333333343</v>
      </c>
      <c r="S1640" s="8">
        <f t="shared" si="261"/>
        <v>95.083333333333343</v>
      </c>
      <c r="T1640" s="18">
        <f t="shared" si="256"/>
        <v>8.9064720511605877</v>
      </c>
      <c r="U1640" s="20">
        <f t="shared" si="258"/>
        <v>2747.2493205234491</v>
      </c>
      <c r="V1640" s="27" t="s">
        <v>2982</v>
      </c>
    </row>
    <row r="1641" spans="1:22" ht="15" customHeight="1" x14ac:dyDescent="0.25">
      <c r="A1641" t="s">
        <v>287</v>
      </c>
      <c r="B1641" t="s">
        <v>2738</v>
      </c>
      <c r="C1641" t="s">
        <v>2758</v>
      </c>
      <c r="D1641" t="s">
        <v>451</v>
      </c>
      <c r="E1641" t="s">
        <v>480</v>
      </c>
      <c r="F1641" s="5">
        <v>1179.9000000000001</v>
      </c>
      <c r="G1641" t="s">
        <v>2762</v>
      </c>
      <c r="H1641" s="3">
        <v>185</v>
      </c>
      <c r="I1641" s="3">
        <v>121</v>
      </c>
      <c r="J1641" s="3">
        <v>47</v>
      </c>
      <c r="K1641" s="3">
        <v>71</v>
      </c>
      <c r="L1641">
        <f t="shared" si="259"/>
        <v>1.052095</v>
      </c>
      <c r="M1641">
        <f t="shared" si="257"/>
        <v>10.520949999999999</v>
      </c>
      <c r="N1641" s="8">
        <v>10</v>
      </c>
      <c r="O1641" s="14">
        <f t="shared" si="260"/>
        <v>11799</v>
      </c>
      <c r="P1641" s="8">
        <v>40</v>
      </c>
      <c r="Q1641" s="8">
        <f t="shared" si="262"/>
        <v>0.25</v>
      </c>
      <c r="R1641" s="8">
        <f t="shared" si="263"/>
        <v>13.333333333333332</v>
      </c>
      <c r="S1641" s="8">
        <f t="shared" si="261"/>
        <v>13.583333333333332</v>
      </c>
      <c r="T1641" s="18">
        <f t="shared" si="256"/>
        <v>8.7332721459024167</v>
      </c>
      <c r="U1641" s="20">
        <f t="shared" si="258"/>
        <v>2755.9825926693516</v>
      </c>
      <c r="V1641" s="27" t="s">
        <v>2982</v>
      </c>
    </row>
    <row r="1642" spans="1:22" ht="15" customHeight="1" x14ac:dyDescent="0.25">
      <c r="A1642" t="s">
        <v>287</v>
      </c>
      <c r="B1642" t="s">
        <v>2738</v>
      </c>
      <c r="C1642" t="s">
        <v>2739</v>
      </c>
      <c r="D1642" t="s">
        <v>2754</v>
      </c>
      <c r="E1642" t="s">
        <v>480</v>
      </c>
      <c r="F1642" s="5">
        <v>739</v>
      </c>
      <c r="G1642" t="s">
        <v>2755</v>
      </c>
      <c r="H1642" s="3">
        <v>70</v>
      </c>
      <c r="I1642" s="3">
        <v>93</v>
      </c>
      <c r="J1642" s="3">
        <v>204</v>
      </c>
      <c r="K1642" s="3">
        <v>34</v>
      </c>
      <c r="L1642">
        <f t="shared" si="259"/>
        <v>1.3280400000000001</v>
      </c>
      <c r="M1642">
        <f t="shared" si="257"/>
        <v>19.9206</v>
      </c>
      <c r="N1642" s="8">
        <v>15</v>
      </c>
      <c r="O1642" s="14">
        <f t="shared" si="260"/>
        <v>11085</v>
      </c>
      <c r="P1642" s="8">
        <v>40</v>
      </c>
      <c r="Q1642" s="8">
        <f t="shared" si="262"/>
        <v>0.375</v>
      </c>
      <c r="R1642" s="8">
        <f t="shared" si="263"/>
        <v>20</v>
      </c>
      <c r="S1642" s="8">
        <f t="shared" si="261"/>
        <v>20.375</v>
      </c>
      <c r="T1642" s="18">
        <f t="shared" si="256"/>
        <v>8.2047903837044061</v>
      </c>
      <c r="U1642" s="20">
        <f t="shared" si="258"/>
        <v>2764.1873830530558</v>
      </c>
      <c r="V1642" s="27" t="s">
        <v>2982</v>
      </c>
    </row>
    <row r="1643" spans="1:22" ht="15" customHeight="1" x14ac:dyDescent="0.25">
      <c r="A1643" t="s">
        <v>287</v>
      </c>
      <c r="B1643" t="s">
        <v>479</v>
      </c>
      <c r="C1643" t="s">
        <v>2803</v>
      </c>
      <c r="D1643" t="s">
        <v>2804</v>
      </c>
      <c r="E1643" t="s">
        <v>480</v>
      </c>
      <c r="F1643" s="5">
        <v>239.92</v>
      </c>
      <c r="G1643" t="s">
        <v>488</v>
      </c>
      <c r="H1643" s="3">
        <v>63</v>
      </c>
      <c r="I1643" s="3">
        <v>49</v>
      </c>
      <c r="J1643" s="3">
        <v>185</v>
      </c>
      <c r="K1643" s="3">
        <v>49</v>
      </c>
      <c r="L1643">
        <f t="shared" si="259"/>
        <v>0.57109500000000002</v>
      </c>
      <c r="M1643">
        <f t="shared" si="257"/>
        <v>26.27037</v>
      </c>
      <c r="N1643" s="8">
        <v>46</v>
      </c>
      <c r="O1643" s="14">
        <f t="shared" si="260"/>
        <v>11036.32</v>
      </c>
      <c r="P1643" s="8">
        <v>40</v>
      </c>
      <c r="Q1643" s="8">
        <f t="shared" si="262"/>
        <v>1.1499999999999999</v>
      </c>
      <c r="R1643" s="8">
        <f t="shared" si="263"/>
        <v>61.333333333333336</v>
      </c>
      <c r="S1643" s="8">
        <f t="shared" si="261"/>
        <v>62.483333333333334</v>
      </c>
      <c r="T1643" s="18">
        <f t="shared" si="256"/>
        <v>8.1687588820464239</v>
      </c>
      <c r="U1643" s="20">
        <f t="shared" si="258"/>
        <v>2772.3561419351022</v>
      </c>
      <c r="V1643" s="27" t="s">
        <v>2982</v>
      </c>
    </row>
    <row r="1644" spans="1:22" ht="15" customHeight="1" x14ac:dyDescent="0.25">
      <c r="A1644" t="s">
        <v>287</v>
      </c>
      <c r="B1644" t="s">
        <v>479</v>
      </c>
      <c r="C1644" t="s">
        <v>2803</v>
      </c>
      <c r="D1644" t="s">
        <v>2808</v>
      </c>
      <c r="E1644" t="s">
        <v>480</v>
      </c>
      <c r="F1644" s="5">
        <v>239.92</v>
      </c>
      <c r="G1644" t="s">
        <v>488</v>
      </c>
      <c r="H1644" s="3">
        <v>64</v>
      </c>
      <c r="I1644" s="3">
        <v>160</v>
      </c>
      <c r="J1644" s="3">
        <v>41</v>
      </c>
      <c r="K1644" s="3">
        <v>41</v>
      </c>
      <c r="L1644">
        <f t="shared" si="259"/>
        <v>0.41983999999999999</v>
      </c>
      <c r="M1644">
        <f t="shared" si="257"/>
        <v>19.312639999999998</v>
      </c>
      <c r="N1644" s="8">
        <v>46</v>
      </c>
      <c r="O1644" s="14">
        <f t="shared" si="260"/>
        <v>11036.32</v>
      </c>
      <c r="P1644" s="8">
        <v>40</v>
      </c>
      <c r="Q1644" s="8">
        <f t="shared" si="262"/>
        <v>1.1499999999999999</v>
      </c>
      <c r="R1644" s="8">
        <f t="shared" si="263"/>
        <v>61.333333333333336</v>
      </c>
      <c r="S1644" s="8">
        <f t="shared" si="261"/>
        <v>62.483333333333334</v>
      </c>
      <c r="T1644" s="18">
        <f t="shared" si="256"/>
        <v>8.1687588820464239</v>
      </c>
      <c r="U1644" s="20">
        <f t="shared" si="258"/>
        <v>2780.5249008171486</v>
      </c>
      <c r="V1644" s="27" t="s">
        <v>2982</v>
      </c>
    </row>
    <row r="1645" spans="1:22" ht="15" customHeight="1" x14ac:dyDescent="0.25">
      <c r="A1645" t="s">
        <v>287</v>
      </c>
      <c r="B1645" t="s">
        <v>479</v>
      </c>
      <c r="C1645" t="s">
        <v>2787</v>
      </c>
      <c r="D1645" t="s">
        <v>2792</v>
      </c>
      <c r="E1645" t="s">
        <v>480</v>
      </c>
      <c r="F1645" s="5">
        <v>239.2</v>
      </c>
      <c r="G1645" t="s">
        <v>484</v>
      </c>
      <c r="H1645" s="3">
        <v>182.8</v>
      </c>
      <c r="I1645" s="3">
        <v>35.6</v>
      </c>
      <c r="J1645" s="3">
        <v>75.2</v>
      </c>
      <c r="K1645" s="3">
        <v>30</v>
      </c>
      <c r="L1645">
        <f t="shared" si="259"/>
        <v>0.48937753600000006</v>
      </c>
      <c r="M1645">
        <f t="shared" si="257"/>
        <v>22.511366656000003</v>
      </c>
      <c r="N1645" s="8">
        <v>46</v>
      </c>
      <c r="O1645" s="14">
        <f t="shared" si="260"/>
        <v>11003.199999999999</v>
      </c>
      <c r="P1645" s="8">
        <v>40</v>
      </c>
      <c r="Q1645" s="8">
        <f t="shared" si="262"/>
        <v>1.1499999999999999</v>
      </c>
      <c r="R1645" s="8">
        <f t="shared" si="263"/>
        <v>61.333333333333336</v>
      </c>
      <c r="S1645" s="8">
        <f t="shared" si="261"/>
        <v>62.483333333333334</v>
      </c>
      <c r="T1645" s="18">
        <f t="shared" si="256"/>
        <v>8.1442444339175744</v>
      </c>
      <c r="U1645" s="20">
        <f t="shared" si="258"/>
        <v>2788.6691452510663</v>
      </c>
      <c r="V1645" s="27" t="s">
        <v>2982</v>
      </c>
    </row>
    <row r="1646" spans="1:22" ht="15" customHeight="1" x14ac:dyDescent="0.25">
      <c r="A1646" t="s">
        <v>287</v>
      </c>
      <c r="B1646" t="s">
        <v>479</v>
      </c>
      <c r="C1646" t="s">
        <v>2803</v>
      </c>
      <c r="D1646" t="s">
        <v>2810</v>
      </c>
      <c r="E1646" t="s">
        <v>480</v>
      </c>
      <c r="F1646" s="5">
        <v>231.2</v>
      </c>
      <c r="G1646" t="s">
        <v>488</v>
      </c>
      <c r="H1646" s="3">
        <v>58</v>
      </c>
      <c r="I1646" s="3">
        <v>44</v>
      </c>
      <c r="J1646" s="3">
        <v>180</v>
      </c>
      <c r="K1646" s="3">
        <v>49.6</v>
      </c>
      <c r="L1646">
        <f t="shared" si="259"/>
        <v>0.45935999999999999</v>
      </c>
      <c r="M1646">
        <f t="shared" si="257"/>
        <v>21.130559999999999</v>
      </c>
      <c r="N1646" s="8">
        <v>46</v>
      </c>
      <c r="O1646" s="14">
        <f t="shared" si="260"/>
        <v>10635.199999999999</v>
      </c>
      <c r="P1646" s="8">
        <v>40</v>
      </c>
      <c r="Q1646" s="8">
        <f t="shared" si="262"/>
        <v>1.1499999999999999</v>
      </c>
      <c r="R1646" s="8">
        <f t="shared" si="263"/>
        <v>61.333333333333336</v>
      </c>
      <c r="S1646" s="8">
        <f t="shared" si="261"/>
        <v>62.483333333333334</v>
      </c>
      <c r="T1646" s="18">
        <f t="shared" si="256"/>
        <v>7.8718616769303642</v>
      </c>
      <c r="U1646" s="20">
        <f t="shared" si="258"/>
        <v>2796.5410069279965</v>
      </c>
      <c r="V1646" s="27" t="s">
        <v>2982</v>
      </c>
    </row>
    <row r="1647" spans="1:22" ht="15" customHeight="1" x14ac:dyDescent="0.25">
      <c r="A1647" t="s">
        <v>287</v>
      </c>
      <c r="B1647" t="s">
        <v>479</v>
      </c>
      <c r="C1647" t="s">
        <v>2803</v>
      </c>
      <c r="D1647" t="s">
        <v>2809</v>
      </c>
      <c r="E1647" t="s">
        <v>480</v>
      </c>
      <c r="F1647" s="5">
        <v>231.2</v>
      </c>
      <c r="G1647" t="s">
        <v>488</v>
      </c>
      <c r="H1647" s="3">
        <v>58</v>
      </c>
      <c r="I1647" s="3">
        <v>44</v>
      </c>
      <c r="J1647" s="3">
        <v>180</v>
      </c>
      <c r="K1647" s="3">
        <v>47</v>
      </c>
      <c r="L1647">
        <f t="shared" si="259"/>
        <v>0.45935999999999999</v>
      </c>
      <c r="M1647">
        <f t="shared" si="257"/>
        <v>21.130559999999999</v>
      </c>
      <c r="N1647" s="8">
        <v>46</v>
      </c>
      <c r="O1647" s="14">
        <f t="shared" si="260"/>
        <v>10635.199999999999</v>
      </c>
      <c r="P1647" s="8">
        <v>40</v>
      </c>
      <c r="Q1647" s="8">
        <f t="shared" si="262"/>
        <v>1.1499999999999999</v>
      </c>
      <c r="R1647" s="8">
        <f t="shared" si="263"/>
        <v>61.333333333333336</v>
      </c>
      <c r="S1647" s="8">
        <f t="shared" si="261"/>
        <v>62.483333333333334</v>
      </c>
      <c r="T1647" s="18">
        <f t="shared" si="256"/>
        <v>7.8718616769303642</v>
      </c>
      <c r="U1647" s="20">
        <f t="shared" si="258"/>
        <v>2804.4128686049266</v>
      </c>
      <c r="V1647" s="27" t="s">
        <v>2982</v>
      </c>
    </row>
    <row r="1648" spans="1:22" ht="15" customHeight="1" x14ac:dyDescent="0.25">
      <c r="A1648" t="s">
        <v>287</v>
      </c>
      <c r="B1648" t="s">
        <v>2864</v>
      </c>
      <c r="C1648" t="s">
        <v>2867</v>
      </c>
      <c r="D1648" t="s">
        <v>2868</v>
      </c>
      <c r="E1648" t="s">
        <v>480</v>
      </c>
      <c r="F1648" s="5">
        <v>704.9</v>
      </c>
      <c r="G1648" t="s">
        <v>2869</v>
      </c>
      <c r="H1648" s="3">
        <v>112.5</v>
      </c>
      <c r="I1648" s="3">
        <v>81.5</v>
      </c>
      <c r="J1648" s="3">
        <v>135.5</v>
      </c>
      <c r="K1648" s="3">
        <v>39.5</v>
      </c>
      <c r="L1648">
        <f t="shared" si="259"/>
        <v>1.2423656249999999</v>
      </c>
      <c r="M1648">
        <f t="shared" si="257"/>
        <v>18.635484374999997</v>
      </c>
      <c r="N1648" s="8">
        <v>15</v>
      </c>
      <c r="O1648" s="14">
        <f t="shared" si="260"/>
        <v>10573.5</v>
      </c>
      <c r="P1648" s="8">
        <v>30</v>
      </c>
      <c r="Q1648" s="8">
        <f t="shared" si="262"/>
        <v>0.5</v>
      </c>
      <c r="R1648" s="8">
        <f t="shared" si="263"/>
        <v>15</v>
      </c>
      <c r="S1648" s="8">
        <f t="shared" si="261"/>
        <v>15.5</v>
      </c>
      <c r="T1648" s="18">
        <f t="shared" si="256"/>
        <v>7.8261931549028896</v>
      </c>
      <c r="U1648" s="20">
        <f t="shared" si="258"/>
        <v>2812.2390617598294</v>
      </c>
      <c r="V1648" s="27" t="s">
        <v>2982</v>
      </c>
    </row>
    <row r="1649" spans="1:22" ht="15" customHeight="1" x14ac:dyDescent="0.25">
      <c r="A1649" t="s">
        <v>287</v>
      </c>
      <c r="B1649" t="s">
        <v>479</v>
      </c>
      <c r="C1649" t="s">
        <v>2787</v>
      </c>
      <c r="D1649" t="s">
        <v>2791</v>
      </c>
      <c r="E1649" t="s">
        <v>480</v>
      </c>
      <c r="F1649" s="5">
        <v>223.2</v>
      </c>
      <c r="G1649" t="s">
        <v>486</v>
      </c>
      <c r="H1649" s="3">
        <v>185.5</v>
      </c>
      <c r="I1649" s="3">
        <v>30.3</v>
      </c>
      <c r="J1649" s="3">
        <v>66.5</v>
      </c>
      <c r="K1649" s="3">
        <v>24.9</v>
      </c>
      <c r="L1649">
        <f t="shared" si="259"/>
        <v>0.37377322500000004</v>
      </c>
      <c r="M1649">
        <f t="shared" si="257"/>
        <v>17.193568350000003</v>
      </c>
      <c r="N1649" s="8">
        <v>46</v>
      </c>
      <c r="O1649" s="14">
        <f t="shared" si="260"/>
        <v>10267.199999999999</v>
      </c>
      <c r="P1649" s="8">
        <v>40</v>
      </c>
      <c r="Q1649" s="8">
        <f t="shared" si="262"/>
        <v>1.1499999999999999</v>
      </c>
      <c r="R1649" s="8">
        <f t="shared" si="263"/>
        <v>61.333333333333336</v>
      </c>
      <c r="S1649" s="8">
        <f t="shared" si="261"/>
        <v>62.483333333333334</v>
      </c>
      <c r="T1649" s="18">
        <f t="shared" si="256"/>
        <v>7.5994789199431541</v>
      </c>
      <c r="U1649" s="20">
        <f t="shared" si="258"/>
        <v>2819.8385406797724</v>
      </c>
      <c r="V1649" s="27" t="s">
        <v>2982</v>
      </c>
    </row>
    <row r="1650" spans="1:22" ht="15" customHeight="1" x14ac:dyDescent="0.25">
      <c r="A1650" t="s">
        <v>287</v>
      </c>
      <c r="B1650" t="s">
        <v>2778</v>
      </c>
      <c r="C1650" t="s">
        <v>2785</v>
      </c>
      <c r="D1650" t="s">
        <v>447</v>
      </c>
      <c r="E1650" t="s">
        <v>480</v>
      </c>
      <c r="F1650" s="5">
        <v>219</v>
      </c>
      <c r="G1650" t="s">
        <v>2786</v>
      </c>
      <c r="H1650" s="3">
        <v>75</v>
      </c>
      <c r="I1650" s="3">
        <v>120</v>
      </c>
      <c r="J1650" s="3">
        <v>45</v>
      </c>
      <c r="K1650" s="3">
        <v>20</v>
      </c>
      <c r="L1650">
        <f t="shared" si="259"/>
        <v>0.40500000000000003</v>
      </c>
      <c r="M1650">
        <f t="shared" si="257"/>
        <v>18.225000000000001</v>
      </c>
      <c r="N1650" s="8">
        <v>45</v>
      </c>
      <c r="O1650" s="14">
        <f t="shared" si="260"/>
        <v>9855</v>
      </c>
      <c r="P1650" s="8">
        <v>40</v>
      </c>
      <c r="Q1650" s="8">
        <f t="shared" si="262"/>
        <v>1.125</v>
      </c>
      <c r="R1650" s="8">
        <f t="shared" si="263"/>
        <v>60</v>
      </c>
      <c r="S1650" s="8">
        <f t="shared" si="261"/>
        <v>61.125</v>
      </c>
      <c r="T1650" s="18">
        <f t="shared" si="256"/>
        <v>7.2943806252960686</v>
      </c>
      <c r="U1650" s="20">
        <f t="shared" si="258"/>
        <v>2827.1329213050685</v>
      </c>
      <c r="V1650" s="27" t="s">
        <v>2982</v>
      </c>
    </row>
    <row r="1651" spans="1:22" ht="15" customHeight="1" x14ac:dyDescent="0.25">
      <c r="A1651" t="s">
        <v>287</v>
      </c>
      <c r="B1651" t="s">
        <v>2864</v>
      </c>
      <c r="C1651" t="s">
        <v>2901</v>
      </c>
      <c r="D1651" t="s">
        <v>2902</v>
      </c>
      <c r="E1651" t="s">
        <v>480</v>
      </c>
      <c r="F1651" s="5">
        <v>619.9</v>
      </c>
      <c r="G1651" t="s">
        <v>2872</v>
      </c>
      <c r="H1651" s="3">
        <v>48</v>
      </c>
      <c r="I1651" s="3">
        <v>97</v>
      </c>
      <c r="J1651" s="3">
        <v>133</v>
      </c>
      <c r="K1651" s="3">
        <v>60.5</v>
      </c>
      <c r="L1651">
        <f t="shared" si="259"/>
        <v>0.61924800000000002</v>
      </c>
      <c r="M1651">
        <f t="shared" si="257"/>
        <v>9.2887199999999996</v>
      </c>
      <c r="N1651" s="8">
        <v>15</v>
      </c>
      <c r="O1651" s="14">
        <f t="shared" si="260"/>
        <v>9298.5</v>
      </c>
      <c r="P1651" s="8">
        <v>30</v>
      </c>
      <c r="Q1651" s="8">
        <f t="shared" si="262"/>
        <v>0.5</v>
      </c>
      <c r="R1651" s="8">
        <f t="shared" si="263"/>
        <v>15</v>
      </c>
      <c r="S1651" s="8">
        <f t="shared" si="261"/>
        <v>15.5</v>
      </c>
      <c r="T1651" s="18">
        <f t="shared" si="256"/>
        <v>6.8824757224064426</v>
      </c>
      <c r="U1651" s="20">
        <f t="shared" si="258"/>
        <v>2834.015397027475</v>
      </c>
      <c r="V1651" s="27" t="s">
        <v>2982</v>
      </c>
    </row>
    <row r="1652" spans="1:22" ht="15" customHeight="1" x14ac:dyDescent="0.25">
      <c r="A1652" t="s">
        <v>287</v>
      </c>
      <c r="B1652" t="s">
        <v>479</v>
      </c>
      <c r="C1652" t="s">
        <v>2803</v>
      </c>
      <c r="D1652" t="s">
        <v>2806</v>
      </c>
      <c r="E1652" t="s">
        <v>480</v>
      </c>
      <c r="F1652" s="5">
        <v>199.9</v>
      </c>
      <c r="G1652" t="s">
        <v>500</v>
      </c>
      <c r="H1652" s="3">
        <v>81</v>
      </c>
      <c r="I1652" s="3">
        <v>34</v>
      </c>
      <c r="J1652" s="3">
        <v>136</v>
      </c>
      <c r="K1652" s="3">
        <v>23.9</v>
      </c>
      <c r="L1652">
        <f t="shared" si="259"/>
        <v>0.37454399999999999</v>
      </c>
      <c r="M1652">
        <f t="shared" si="257"/>
        <v>17.229023999999999</v>
      </c>
      <c r="N1652" s="8">
        <v>46</v>
      </c>
      <c r="O1652" s="14">
        <f t="shared" si="260"/>
        <v>9195.4</v>
      </c>
      <c r="P1652" s="8">
        <v>40</v>
      </c>
      <c r="Q1652" s="8">
        <f t="shared" si="262"/>
        <v>1.1499999999999999</v>
      </c>
      <c r="R1652" s="8">
        <f t="shared" si="263"/>
        <v>61.333333333333336</v>
      </c>
      <c r="S1652" s="8">
        <f t="shared" si="261"/>
        <v>62.483333333333334</v>
      </c>
      <c r="T1652" s="18">
        <f t="shared" si="256"/>
        <v>6.8061641402179065</v>
      </c>
      <c r="U1652" s="20">
        <f t="shared" si="258"/>
        <v>2840.8215611676928</v>
      </c>
      <c r="V1652" s="27" t="s">
        <v>2982</v>
      </c>
    </row>
    <row r="1653" spans="1:22" ht="15" customHeight="1" x14ac:dyDescent="0.25">
      <c r="A1653" t="s">
        <v>287</v>
      </c>
      <c r="B1653" t="s">
        <v>2864</v>
      </c>
      <c r="C1653" t="s">
        <v>2865</v>
      </c>
      <c r="D1653" t="s">
        <v>476</v>
      </c>
      <c r="E1653" t="s">
        <v>480</v>
      </c>
      <c r="F1653" s="5">
        <v>609.9</v>
      </c>
      <c r="G1653" t="s">
        <v>2866</v>
      </c>
      <c r="H1653" s="3">
        <v>115</v>
      </c>
      <c r="I1653" s="3">
        <v>78</v>
      </c>
      <c r="J1653" s="3">
        <v>113</v>
      </c>
      <c r="K1653" s="3">
        <v>29</v>
      </c>
      <c r="L1653">
        <f t="shared" si="259"/>
        <v>1.0136099999999999</v>
      </c>
      <c r="M1653">
        <f t="shared" si="257"/>
        <v>15.204149999999998</v>
      </c>
      <c r="N1653" s="8">
        <v>15</v>
      </c>
      <c r="O1653" s="14">
        <f t="shared" si="260"/>
        <v>9148.5</v>
      </c>
      <c r="P1653" s="8">
        <v>30</v>
      </c>
      <c r="Q1653" s="8">
        <f t="shared" si="262"/>
        <v>0.5</v>
      </c>
      <c r="R1653" s="8">
        <f t="shared" si="263"/>
        <v>15</v>
      </c>
      <c r="S1653" s="8">
        <f t="shared" si="261"/>
        <v>15.5</v>
      </c>
      <c r="T1653" s="18">
        <f t="shared" ref="T1653:T1716" si="264">O1653/O$1749</f>
        <v>6.7714501421127427</v>
      </c>
      <c r="U1653" s="20">
        <f t="shared" si="258"/>
        <v>2847.5930113098057</v>
      </c>
      <c r="V1653" s="27" t="s">
        <v>2982</v>
      </c>
    </row>
    <row r="1654" spans="1:22" ht="15" customHeight="1" x14ac:dyDescent="0.25">
      <c r="A1654" t="s">
        <v>287</v>
      </c>
      <c r="B1654" t="s">
        <v>479</v>
      </c>
      <c r="C1654" t="s">
        <v>2787</v>
      </c>
      <c r="D1654" t="s">
        <v>487</v>
      </c>
      <c r="E1654" t="s">
        <v>480</v>
      </c>
      <c r="F1654" s="5">
        <v>191.92</v>
      </c>
      <c r="G1654" t="s">
        <v>483</v>
      </c>
      <c r="H1654" s="3">
        <v>128.30000000000001</v>
      </c>
      <c r="I1654" s="3">
        <v>34.5</v>
      </c>
      <c r="J1654" s="3">
        <v>81</v>
      </c>
      <c r="K1654" s="3">
        <v>21</v>
      </c>
      <c r="L1654">
        <f t="shared" si="259"/>
        <v>0.35853435000000006</v>
      </c>
      <c r="M1654">
        <f t="shared" si="257"/>
        <v>16.492580100000001</v>
      </c>
      <c r="N1654" s="8">
        <v>46</v>
      </c>
      <c r="O1654" s="14">
        <f t="shared" si="260"/>
        <v>8828.32</v>
      </c>
      <c r="P1654" s="8">
        <v>40</v>
      </c>
      <c r="Q1654" s="8">
        <f t="shared" si="262"/>
        <v>1.1499999999999999</v>
      </c>
      <c r="R1654" s="8">
        <f t="shared" si="263"/>
        <v>61.333333333333336</v>
      </c>
      <c r="S1654" s="8">
        <f t="shared" si="261"/>
        <v>62.483333333333334</v>
      </c>
      <c r="T1654" s="18">
        <f t="shared" si="264"/>
        <v>6.5344623401231647</v>
      </c>
      <c r="U1654" s="20">
        <f t="shared" si="258"/>
        <v>2854.127473649929</v>
      </c>
      <c r="V1654" s="29" t="s">
        <v>2983</v>
      </c>
    </row>
    <row r="1655" spans="1:22" ht="15" customHeight="1" x14ac:dyDescent="0.25">
      <c r="A1655" t="s">
        <v>287</v>
      </c>
      <c r="B1655" t="s">
        <v>2864</v>
      </c>
      <c r="C1655" t="s">
        <v>2899</v>
      </c>
      <c r="D1655" t="s">
        <v>2900</v>
      </c>
      <c r="E1655" t="s">
        <v>480</v>
      </c>
      <c r="F1655" s="5">
        <v>586.41999999999996</v>
      </c>
      <c r="G1655" t="s">
        <v>2892</v>
      </c>
      <c r="H1655" s="3">
        <v>107.6</v>
      </c>
      <c r="I1655" s="3">
        <v>47.8</v>
      </c>
      <c r="J1655" s="3">
        <v>103.7</v>
      </c>
      <c r="K1655" s="3">
        <v>54</v>
      </c>
      <c r="L1655">
        <f t="shared" si="259"/>
        <v>0.53335813599999993</v>
      </c>
      <c r="M1655">
        <f t="shared" si="257"/>
        <v>8.0003720399999985</v>
      </c>
      <c r="N1655" s="8">
        <v>15</v>
      </c>
      <c r="O1655" s="14">
        <f t="shared" si="260"/>
        <v>8796.2999999999993</v>
      </c>
      <c r="P1655" s="8">
        <v>30</v>
      </c>
      <c r="Q1655" s="8">
        <f t="shared" si="262"/>
        <v>0.5</v>
      </c>
      <c r="R1655" s="8">
        <f t="shared" si="263"/>
        <v>15</v>
      </c>
      <c r="S1655" s="8">
        <f t="shared" si="261"/>
        <v>15.5</v>
      </c>
      <c r="T1655" s="18">
        <f t="shared" si="264"/>
        <v>6.5107620795831354</v>
      </c>
      <c r="U1655" s="20">
        <f t="shared" si="258"/>
        <v>2860.638235729512</v>
      </c>
      <c r="V1655" s="29" t="s">
        <v>2983</v>
      </c>
    </row>
    <row r="1656" spans="1:22" ht="15" customHeight="1" x14ac:dyDescent="0.25">
      <c r="A1656" t="s">
        <v>287</v>
      </c>
      <c r="B1656" t="s">
        <v>2738</v>
      </c>
      <c r="C1656" t="s">
        <v>2739</v>
      </c>
      <c r="D1656" t="s">
        <v>2752</v>
      </c>
      <c r="E1656" t="s">
        <v>480</v>
      </c>
      <c r="F1656" s="5">
        <v>584</v>
      </c>
      <c r="G1656" t="s">
        <v>2753</v>
      </c>
      <c r="H1656" s="3">
        <v>109</v>
      </c>
      <c r="I1656" s="3">
        <v>198</v>
      </c>
      <c r="J1656" s="3">
        <v>101</v>
      </c>
      <c r="K1656" s="3">
        <v>37</v>
      </c>
      <c r="L1656">
        <f t="shared" si="259"/>
        <v>2.1797819999999999</v>
      </c>
      <c r="M1656">
        <f t="shared" si="257"/>
        <v>32.696729999999995</v>
      </c>
      <c r="N1656" s="8">
        <v>15</v>
      </c>
      <c r="O1656" s="14">
        <f t="shared" si="260"/>
        <v>8760</v>
      </c>
      <c r="P1656" s="8">
        <v>40</v>
      </c>
      <c r="Q1656" s="8">
        <f t="shared" si="262"/>
        <v>0.375</v>
      </c>
      <c r="R1656" s="8">
        <f t="shared" si="263"/>
        <v>20</v>
      </c>
      <c r="S1656" s="8">
        <f t="shared" si="261"/>
        <v>20.375</v>
      </c>
      <c r="T1656" s="18">
        <f t="shared" si="264"/>
        <v>6.4838938891520606</v>
      </c>
      <c r="U1656" s="20">
        <f t="shared" si="258"/>
        <v>2867.1221296186641</v>
      </c>
      <c r="V1656" s="29" t="s">
        <v>2983</v>
      </c>
    </row>
    <row r="1657" spans="1:22" ht="15" customHeight="1" x14ac:dyDescent="0.25">
      <c r="A1657" t="s">
        <v>287</v>
      </c>
      <c r="B1657" t="s">
        <v>2864</v>
      </c>
      <c r="C1657" t="s">
        <v>2888</v>
      </c>
      <c r="D1657" t="s">
        <v>2889</v>
      </c>
      <c r="E1657" t="s">
        <v>480</v>
      </c>
      <c r="F1657" s="5">
        <v>579</v>
      </c>
      <c r="G1657" t="s">
        <v>2885</v>
      </c>
      <c r="H1657" s="3">
        <v>108</v>
      </c>
      <c r="I1657" s="3">
        <v>86</v>
      </c>
      <c r="J1657" s="3">
        <v>55</v>
      </c>
      <c r="K1657" s="3">
        <v>11</v>
      </c>
      <c r="L1657">
        <f t="shared" si="259"/>
        <v>0.51083999999999996</v>
      </c>
      <c r="M1657">
        <f t="shared" si="257"/>
        <v>7.6625999999999994</v>
      </c>
      <c r="N1657" s="8">
        <v>15</v>
      </c>
      <c r="O1657" s="14">
        <f t="shared" si="260"/>
        <v>8685</v>
      </c>
      <c r="P1657" s="8">
        <v>30</v>
      </c>
      <c r="Q1657" s="8">
        <f t="shared" si="262"/>
        <v>0.5</v>
      </c>
      <c r="R1657" s="8">
        <f t="shared" si="263"/>
        <v>15</v>
      </c>
      <c r="S1657" s="8">
        <f t="shared" si="261"/>
        <v>15.5</v>
      </c>
      <c r="T1657" s="18">
        <f t="shared" si="264"/>
        <v>6.428381099005211</v>
      </c>
      <c r="U1657" s="20">
        <f t="shared" si="258"/>
        <v>2873.5505107176691</v>
      </c>
      <c r="V1657" s="29" t="s">
        <v>2983</v>
      </c>
    </row>
    <row r="1658" spans="1:22" ht="15" customHeight="1" x14ac:dyDescent="0.25">
      <c r="A1658" t="s">
        <v>287</v>
      </c>
      <c r="B1658" t="s">
        <v>2738</v>
      </c>
      <c r="C1658" t="s">
        <v>2739</v>
      </c>
      <c r="D1658" t="s">
        <v>448</v>
      </c>
      <c r="E1658" t="s">
        <v>480</v>
      </c>
      <c r="F1658" s="5">
        <v>570</v>
      </c>
      <c r="G1658" t="s">
        <v>2753</v>
      </c>
      <c r="H1658" s="3">
        <v>82</v>
      </c>
      <c r="I1658" s="3">
        <v>104</v>
      </c>
      <c r="J1658" s="3">
        <v>98</v>
      </c>
      <c r="K1658" s="3">
        <v>58</v>
      </c>
      <c r="L1658">
        <f t="shared" si="259"/>
        <v>0.83574400000000004</v>
      </c>
      <c r="M1658">
        <f t="shared" si="257"/>
        <v>12.536160000000001</v>
      </c>
      <c r="N1658" s="8">
        <v>15</v>
      </c>
      <c r="O1658" s="14">
        <f t="shared" si="260"/>
        <v>8550</v>
      </c>
      <c r="P1658" s="8">
        <v>40</v>
      </c>
      <c r="Q1658" s="8">
        <f t="shared" si="262"/>
        <v>0.375</v>
      </c>
      <c r="R1658" s="8">
        <f t="shared" si="263"/>
        <v>20</v>
      </c>
      <c r="S1658" s="8">
        <f t="shared" si="261"/>
        <v>20.375</v>
      </c>
      <c r="T1658" s="18">
        <f t="shared" si="264"/>
        <v>6.3284580767408816</v>
      </c>
      <c r="U1658" s="20">
        <f t="shared" si="258"/>
        <v>2879.87896879441</v>
      </c>
      <c r="V1658" s="29" t="s">
        <v>2983</v>
      </c>
    </row>
    <row r="1659" spans="1:22" ht="15" customHeight="1" x14ac:dyDescent="0.25">
      <c r="A1659" t="s">
        <v>287</v>
      </c>
      <c r="B1659" t="s">
        <v>2864</v>
      </c>
      <c r="C1659" t="s">
        <v>2876</v>
      </c>
      <c r="D1659" t="s">
        <v>2877</v>
      </c>
      <c r="E1659" t="s">
        <v>480</v>
      </c>
      <c r="F1659" s="5">
        <v>549</v>
      </c>
      <c r="G1659" t="s">
        <v>2878</v>
      </c>
      <c r="H1659" s="3">
        <v>83</v>
      </c>
      <c r="I1659" s="3">
        <v>27</v>
      </c>
      <c r="J1659" s="3">
        <v>27</v>
      </c>
      <c r="K1659" s="3">
        <v>30</v>
      </c>
      <c r="L1659">
        <f t="shared" si="259"/>
        <v>6.0506999999999998E-2</v>
      </c>
      <c r="M1659">
        <f t="shared" ref="M1659:M1722" si="265">L1659*N1659</f>
        <v>0.907605</v>
      </c>
      <c r="N1659" s="8">
        <v>15</v>
      </c>
      <c r="O1659" s="14">
        <f t="shared" si="260"/>
        <v>8235</v>
      </c>
      <c r="P1659" s="8">
        <v>30</v>
      </c>
      <c r="Q1659" s="8">
        <f t="shared" si="262"/>
        <v>0.5</v>
      </c>
      <c r="R1659" s="8">
        <f t="shared" si="263"/>
        <v>15</v>
      </c>
      <c r="S1659" s="8">
        <f t="shared" si="261"/>
        <v>15.5</v>
      </c>
      <c r="T1659" s="18">
        <f t="shared" si="264"/>
        <v>6.0953043581241122</v>
      </c>
      <c r="U1659" s="20">
        <f t="shared" si="258"/>
        <v>2885.9742731525339</v>
      </c>
      <c r="V1659" s="29" t="s">
        <v>2983</v>
      </c>
    </row>
    <row r="1660" spans="1:22" ht="15" customHeight="1" x14ac:dyDescent="0.25">
      <c r="A1660" t="s">
        <v>287</v>
      </c>
      <c r="B1660" t="s">
        <v>2738</v>
      </c>
      <c r="C1660" t="s">
        <v>2739</v>
      </c>
      <c r="D1660" t="s">
        <v>2740</v>
      </c>
      <c r="E1660" t="s">
        <v>480</v>
      </c>
      <c r="F1660" s="5">
        <v>542</v>
      </c>
      <c r="G1660" t="s">
        <v>2741</v>
      </c>
      <c r="H1660" s="3">
        <v>165</v>
      </c>
      <c r="I1660" s="3">
        <v>28</v>
      </c>
      <c r="J1660" s="3">
        <v>210</v>
      </c>
      <c r="K1660" s="3">
        <v>65</v>
      </c>
      <c r="L1660">
        <f t="shared" si="259"/>
        <v>0.97019999999999995</v>
      </c>
      <c r="M1660">
        <f t="shared" si="265"/>
        <v>14.552999999999999</v>
      </c>
      <c r="N1660" s="8">
        <v>15</v>
      </c>
      <c r="O1660" s="14">
        <f t="shared" si="260"/>
        <v>8130</v>
      </c>
      <c r="P1660" s="8">
        <v>40</v>
      </c>
      <c r="Q1660" s="8">
        <f t="shared" si="262"/>
        <v>0.375</v>
      </c>
      <c r="R1660" s="8">
        <f t="shared" si="263"/>
        <v>20</v>
      </c>
      <c r="S1660" s="8">
        <f t="shared" si="261"/>
        <v>20.375</v>
      </c>
      <c r="T1660" s="18">
        <f t="shared" si="264"/>
        <v>6.0175864519185218</v>
      </c>
      <c r="U1660" s="20">
        <f t="shared" si="258"/>
        <v>2891.9918596044522</v>
      </c>
      <c r="V1660" s="29" t="s">
        <v>2983</v>
      </c>
    </row>
    <row r="1661" spans="1:22" ht="15" customHeight="1" x14ac:dyDescent="0.25">
      <c r="A1661" t="s">
        <v>287</v>
      </c>
      <c r="B1661" t="s">
        <v>2738</v>
      </c>
      <c r="C1661" t="s">
        <v>2758</v>
      </c>
      <c r="D1661" t="s">
        <v>2761</v>
      </c>
      <c r="E1661" t="s">
        <v>480</v>
      </c>
      <c r="F1661" s="5">
        <v>791.9</v>
      </c>
      <c r="G1661" t="s">
        <v>387</v>
      </c>
      <c r="H1661" s="3">
        <v>232</v>
      </c>
      <c r="I1661" s="3">
        <v>232</v>
      </c>
      <c r="J1661" s="3">
        <v>47</v>
      </c>
      <c r="K1661" s="3">
        <v>184</v>
      </c>
      <c r="L1661">
        <f t="shared" si="259"/>
        <v>2.529728</v>
      </c>
      <c r="M1661">
        <f t="shared" si="265"/>
        <v>25.297280000000001</v>
      </c>
      <c r="N1661" s="8">
        <v>10</v>
      </c>
      <c r="O1661" s="14">
        <f t="shared" si="260"/>
        <v>7919</v>
      </c>
      <c r="P1661" s="8">
        <v>40</v>
      </c>
      <c r="Q1661" s="8">
        <f t="shared" si="262"/>
        <v>0.25</v>
      </c>
      <c r="R1661" s="8">
        <f t="shared" si="263"/>
        <v>13.333333333333332</v>
      </c>
      <c r="S1661" s="8">
        <f t="shared" si="261"/>
        <v>13.583333333333332</v>
      </c>
      <c r="T1661" s="18">
        <f t="shared" si="264"/>
        <v>5.8614104689720516</v>
      </c>
      <c r="U1661" s="20">
        <f t="shared" si="258"/>
        <v>2897.853270073424</v>
      </c>
      <c r="V1661" s="29" t="s">
        <v>2983</v>
      </c>
    </row>
    <row r="1662" spans="1:22" ht="15" customHeight="1" x14ac:dyDescent="0.25">
      <c r="A1662" t="s">
        <v>287</v>
      </c>
      <c r="B1662" t="s">
        <v>2864</v>
      </c>
      <c r="C1662" t="s">
        <v>2886</v>
      </c>
      <c r="D1662" t="s">
        <v>2887</v>
      </c>
      <c r="E1662" t="s">
        <v>480</v>
      </c>
      <c r="F1662" s="5">
        <v>499</v>
      </c>
      <c r="G1662" t="s">
        <v>2885</v>
      </c>
      <c r="H1662" s="3">
        <v>51</v>
      </c>
      <c r="I1662" s="3">
        <v>103.5</v>
      </c>
      <c r="J1662" s="3">
        <v>78</v>
      </c>
      <c r="K1662" s="3">
        <v>10.199999999999999</v>
      </c>
      <c r="L1662">
        <f t="shared" si="259"/>
        <v>0.41172300000000001</v>
      </c>
      <c r="M1662">
        <f t="shared" si="265"/>
        <v>6.1758449999999998</v>
      </c>
      <c r="N1662" s="8">
        <v>15</v>
      </c>
      <c r="O1662" s="14">
        <f t="shared" si="260"/>
        <v>7485</v>
      </c>
      <c r="P1662" s="8">
        <v>30</v>
      </c>
      <c r="Q1662" s="8">
        <f t="shared" si="262"/>
        <v>0.5</v>
      </c>
      <c r="R1662" s="8">
        <f t="shared" si="263"/>
        <v>15</v>
      </c>
      <c r="S1662" s="8">
        <f t="shared" si="261"/>
        <v>15.5</v>
      </c>
      <c r="T1662" s="18">
        <f t="shared" si="264"/>
        <v>5.5401764566556135</v>
      </c>
      <c r="U1662" s="20">
        <f t="shared" si="258"/>
        <v>2903.3934465300795</v>
      </c>
      <c r="V1662" s="29" t="s">
        <v>2983</v>
      </c>
    </row>
    <row r="1663" spans="1:22" ht="15" customHeight="1" x14ac:dyDescent="0.25">
      <c r="A1663" t="s">
        <v>287</v>
      </c>
      <c r="B1663" t="s">
        <v>407</v>
      </c>
      <c r="C1663" t="s">
        <v>408</v>
      </c>
      <c r="D1663" t="s">
        <v>419</v>
      </c>
      <c r="E1663" t="s">
        <v>234</v>
      </c>
      <c r="F1663" s="5">
        <v>147.9</v>
      </c>
      <c r="G1663" t="s">
        <v>387</v>
      </c>
      <c r="H1663" s="3">
        <v>33</v>
      </c>
      <c r="I1663" s="3">
        <v>31</v>
      </c>
      <c r="J1663" s="3">
        <v>80</v>
      </c>
      <c r="K1663" s="3">
        <v>22.8</v>
      </c>
      <c r="L1663">
        <f t="shared" si="259"/>
        <v>8.1839999999999996E-2</v>
      </c>
      <c r="M1663">
        <f t="shared" si="265"/>
        <v>4.0919999999999996</v>
      </c>
      <c r="N1663" s="8">
        <v>50</v>
      </c>
      <c r="O1663" s="14">
        <f t="shared" si="260"/>
        <v>7395</v>
      </c>
      <c r="P1663" s="8">
        <v>40</v>
      </c>
      <c r="Q1663" s="8">
        <f t="shared" si="262"/>
        <v>1.25</v>
      </c>
      <c r="R1663" s="8">
        <f t="shared" si="263"/>
        <v>66.666666666666671</v>
      </c>
      <c r="S1663" s="8">
        <f t="shared" si="261"/>
        <v>67.916666666666671</v>
      </c>
      <c r="T1663" s="18">
        <f t="shared" si="264"/>
        <v>5.4735611084793936</v>
      </c>
      <c r="U1663" s="20">
        <f t="shared" si="258"/>
        <v>2908.8670076385588</v>
      </c>
      <c r="V1663" s="29" t="s">
        <v>2983</v>
      </c>
    </row>
    <row r="1664" spans="1:22" ht="15" customHeight="1" x14ac:dyDescent="0.25">
      <c r="A1664" t="s">
        <v>287</v>
      </c>
      <c r="B1664" t="s">
        <v>479</v>
      </c>
      <c r="C1664" t="s">
        <v>2793</v>
      </c>
      <c r="D1664" t="s">
        <v>2794</v>
      </c>
      <c r="E1664" t="s">
        <v>480</v>
      </c>
      <c r="F1664" s="5">
        <v>159.91999999999999</v>
      </c>
      <c r="G1664" t="s">
        <v>488</v>
      </c>
      <c r="H1664" s="3">
        <v>41</v>
      </c>
      <c r="I1664" s="3">
        <v>64</v>
      </c>
      <c r="J1664" s="3">
        <v>112</v>
      </c>
      <c r="K1664" s="3">
        <v>23.7</v>
      </c>
      <c r="L1664">
        <f t="shared" si="259"/>
        <v>0.29388799999999998</v>
      </c>
      <c r="M1664">
        <f t="shared" si="265"/>
        <v>13.518847999999998</v>
      </c>
      <c r="N1664" s="8">
        <v>46</v>
      </c>
      <c r="O1664" s="14">
        <f t="shared" si="260"/>
        <v>7356.32</v>
      </c>
      <c r="P1664" s="8">
        <v>40</v>
      </c>
      <c r="Q1664" s="8">
        <f t="shared" si="262"/>
        <v>1.1499999999999999</v>
      </c>
      <c r="R1664" s="8">
        <f t="shared" si="263"/>
        <v>61.333333333333336</v>
      </c>
      <c r="S1664" s="8">
        <f t="shared" si="261"/>
        <v>62.483333333333334</v>
      </c>
      <c r="T1664" s="18">
        <f t="shared" si="264"/>
        <v>5.444931312174325</v>
      </c>
      <c r="U1664" s="20">
        <f t="shared" ref="U1664:U1727" si="266">U1663+T1664</f>
        <v>2914.3119389507333</v>
      </c>
      <c r="V1664" s="29" t="s">
        <v>2983</v>
      </c>
    </row>
    <row r="1665" spans="1:22" ht="15" customHeight="1" x14ac:dyDescent="0.25">
      <c r="A1665" t="s">
        <v>287</v>
      </c>
      <c r="B1665" t="s">
        <v>479</v>
      </c>
      <c r="C1665" t="s">
        <v>2812</v>
      </c>
      <c r="D1665" t="s">
        <v>2815</v>
      </c>
      <c r="E1665" t="s">
        <v>480</v>
      </c>
      <c r="F1665" s="5">
        <v>159.9</v>
      </c>
      <c r="G1665" t="s">
        <v>503</v>
      </c>
      <c r="H1665" s="3">
        <v>83</v>
      </c>
      <c r="I1665" s="3">
        <v>82.5</v>
      </c>
      <c r="J1665" s="3">
        <v>125</v>
      </c>
      <c r="K1665" s="3">
        <v>19</v>
      </c>
      <c r="L1665">
        <f t="shared" si="259"/>
        <v>0.85593750000000002</v>
      </c>
      <c r="M1665">
        <f t="shared" si="265"/>
        <v>39.373125000000002</v>
      </c>
      <c r="N1665" s="8">
        <v>46</v>
      </c>
      <c r="O1665" s="14">
        <f t="shared" si="260"/>
        <v>7355.4000000000005</v>
      </c>
      <c r="P1665" s="8">
        <v>40</v>
      </c>
      <c r="Q1665" s="8">
        <f t="shared" si="262"/>
        <v>1.1499999999999999</v>
      </c>
      <c r="R1665" s="8">
        <f t="shared" si="263"/>
        <v>61.333333333333336</v>
      </c>
      <c r="S1665" s="8">
        <f t="shared" si="261"/>
        <v>62.483333333333334</v>
      </c>
      <c r="T1665" s="18">
        <f t="shared" si="264"/>
        <v>5.4442503552818575</v>
      </c>
      <c r="U1665" s="20">
        <f t="shared" si="266"/>
        <v>2919.7561893060151</v>
      </c>
      <c r="V1665" s="29" t="s">
        <v>2983</v>
      </c>
    </row>
    <row r="1666" spans="1:22" ht="15" customHeight="1" x14ac:dyDescent="0.25">
      <c r="A1666" t="s">
        <v>287</v>
      </c>
      <c r="B1666" t="s">
        <v>479</v>
      </c>
      <c r="C1666" t="s">
        <v>2793</v>
      </c>
      <c r="D1666" t="s">
        <v>2797</v>
      </c>
      <c r="E1666" t="s">
        <v>480</v>
      </c>
      <c r="F1666" s="5">
        <v>183.2</v>
      </c>
      <c r="G1666" t="s">
        <v>488</v>
      </c>
      <c r="H1666" s="3">
        <v>65</v>
      </c>
      <c r="I1666" s="3">
        <v>73</v>
      </c>
      <c r="J1666" s="3">
        <v>68</v>
      </c>
      <c r="K1666" s="3">
        <v>12.9</v>
      </c>
      <c r="L1666">
        <f t="shared" ref="L1666:L1729" si="267">J1666*I1666*H1666/1000000</f>
        <v>0.32266</v>
      </c>
      <c r="M1666">
        <f t="shared" si="265"/>
        <v>12.9064</v>
      </c>
      <c r="N1666" s="8">
        <v>40</v>
      </c>
      <c r="O1666" s="14">
        <f t="shared" ref="O1666:O1729" si="268">N1666*F1666</f>
        <v>7328</v>
      </c>
      <c r="P1666" s="8">
        <v>40</v>
      </c>
      <c r="Q1666" s="8">
        <f t="shared" si="262"/>
        <v>1</v>
      </c>
      <c r="R1666" s="8">
        <f t="shared" si="263"/>
        <v>53.333333333333329</v>
      </c>
      <c r="S1666" s="8">
        <f t="shared" ref="S1666:S1729" si="269">Q1666+R1666</f>
        <v>54.333333333333329</v>
      </c>
      <c r="T1666" s="18">
        <f t="shared" si="264"/>
        <v>5.4239696826148744</v>
      </c>
      <c r="U1666" s="20">
        <f t="shared" si="266"/>
        <v>2925.18015898863</v>
      </c>
      <c r="V1666" s="29" t="s">
        <v>2983</v>
      </c>
    </row>
    <row r="1667" spans="1:22" ht="15" customHeight="1" x14ac:dyDescent="0.25">
      <c r="A1667" t="s">
        <v>287</v>
      </c>
      <c r="B1667" t="s">
        <v>407</v>
      </c>
      <c r="C1667" t="s">
        <v>426</v>
      </c>
      <c r="D1667" t="s">
        <v>2697</v>
      </c>
      <c r="E1667" t="s">
        <v>234</v>
      </c>
      <c r="F1667" s="5">
        <v>177</v>
      </c>
      <c r="G1667" t="s">
        <v>387</v>
      </c>
      <c r="H1667" s="3">
        <v>52.5</v>
      </c>
      <c r="I1667" s="3">
        <v>120</v>
      </c>
      <c r="J1667" s="3">
        <v>54</v>
      </c>
      <c r="K1667" s="3">
        <v>4.2</v>
      </c>
      <c r="L1667">
        <f t="shared" si="267"/>
        <v>0.3402</v>
      </c>
      <c r="M1667">
        <f t="shared" si="265"/>
        <v>13.608000000000001</v>
      </c>
      <c r="N1667" s="8">
        <v>40</v>
      </c>
      <c r="O1667" s="14">
        <f t="shared" si="268"/>
        <v>7080</v>
      </c>
      <c r="P1667" s="8">
        <v>40</v>
      </c>
      <c r="Q1667" s="8">
        <f t="shared" si="262"/>
        <v>1</v>
      </c>
      <c r="R1667" s="8">
        <f t="shared" si="263"/>
        <v>53.333333333333329</v>
      </c>
      <c r="S1667" s="8">
        <f t="shared" si="269"/>
        <v>54.333333333333329</v>
      </c>
      <c r="T1667" s="18">
        <f t="shared" si="264"/>
        <v>5.2404073898626242</v>
      </c>
      <c r="U1667" s="20">
        <f t="shared" si="266"/>
        <v>2930.4205663784924</v>
      </c>
      <c r="V1667" s="29" t="s">
        <v>2983</v>
      </c>
    </row>
    <row r="1668" spans="1:22" ht="15" customHeight="1" x14ac:dyDescent="0.25">
      <c r="A1668" t="s">
        <v>287</v>
      </c>
      <c r="B1668" t="s">
        <v>2738</v>
      </c>
      <c r="C1668" t="s">
        <v>2739</v>
      </c>
      <c r="D1668" t="s">
        <v>2756</v>
      </c>
      <c r="E1668" t="s">
        <v>480</v>
      </c>
      <c r="F1668" s="5">
        <v>464</v>
      </c>
      <c r="G1668" t="s">
        <v>2753</v>
      </c>
      <c r="H1668" s="3">
        <v>50</v>
      </c>
      <c r="I1668" s="3">
        <v>83</v>
      </c>
      <c r="J1668" s="3">
        <v>196</v>
      </c>
      <c r="K1668" s="3">
        <v>28</v>
      </c>
      <c r="L1668">
        <f t="shared" si="267"/>
        <v>0.81340000000000001</v>
      </c>
      <c r="M1668">
        <f t="shared" si="265"/>
        <v>12.201000000000001</v>
      </c>
      <c r="N1668" s="8">
        <v>15</v>
      </c>
      <c r="O1668" s="14">
        <f t="shared" si="268"/>
        <v>6960</v>
      </c>
      <c r="P1668" s="8">
        <v>40</v>
      </c>
      <c r="Q1668" s="8">
        <f t="shared" si="262"/>
        <v>0.375</v>
      </c>
      <c r="R1668" s="8">
        <f t="shared" si="263"/>
        <v>20</v>
      </c>
      <c r="S1668" s="8">
        <f t="shared" si="269"/>
        <v>20.375</v>
      </c>
      <c r="T1668" s="18">
        <f t="shared" si="264"/>
        <v>5.1515869256276652</v>
      </c>
      <c r="U1668" s="20">
        <f t="shared" si="266"/>
        <v>2935.5721533041201</v>
      </c>
      <c r="V1668" s="29" t="s">
        <v>2983</v>
      </c>
    </row>
    <row r="1669" spans="1:22" ht="15" customHeight="1" x14ac:dyDescent="0.25">
      <c r="A1669" t="s">
        <v>287</v>
      </c>
      <c r="B1669" t="s">
        <v>2738</v>
      </c>
      <c r="C1669" t="s">
        <v>2739</v>
      </c>
      <c r="D1669" t="s">
        <v>2480</v>
      </c>
      <c r="E1669" t="s">
        <v>480</v>
      </c>
      <c r="F1669" s="5">
        <v>461.47</v>
      </c>
      <c r="G1669" t="s">
        <v>2746</v>
      </c>
      <c r="H1669" s="3">
        <v>68</v>
      </c>
      <c r="I1669" s="3">
        <v>197</v>
      </c>
      <c r="J1669" s="3">
        <v>95</v>
      </c>
      <c r="K1669" s="3">
        <v>56</v>
      </c>
      <c r="L1669">
        <f t="shared" si="267"/>
        <v>1.2726200000000001</v>
      </c>
      <c r="M1669">
        <f t="shared" si="265"/>
        <v>19.089300000000001</v>
      </c>
      <c r="N1669" s="8">
        <v>15</v>
      </c>
      <c r="O1669" s="14">
        <f t="shared" si="268"/>
        <v>6922.05</v>
      </c>
      <c r="P1669" s="8">
        <v>40</v>
      </c>
      <c r="Q1669" s="8">
        <f t="shared" si="262"/>
        <v>0.375</v>
      </c>
      <c r="R1669" s="8">
        <f t="shared" si="263"/>
        <v>20</v>
      </c>
      <c r="S1669" s="8">
        <f t="shared" si="269"/>
        <v>20.375</v>
      </c>
      <c r="T1669" s="18">
        <f t="shared" si="264"/>
        <v>5.1234974538133589</v>
      </c>
      <c r="U1669" s="20">
        <f t="shared" si="266"/>
        <v>2940.6956507579334</v>
      </c>
      <c r="V1669" s="29" t="s">
        <v>2983</v>
      </c>
    </row>
    <row r="1670" spans="1:22" ht="15" customHeight="1" x14ac:dyDescent="0.25">
      <c r="A1670" t="s">
        <v>287</v>
      </c>
      <c r="B1670" t="s">
        <v>407</v>
      </c>
      <c r="C1670" t="s">
        <v>426</v>
      </c>
      <c r="D1670" t="s">
        <v>2698</v>
      </c>
      <c r="E1670" t="s">
        <v>234</v>
      </c>
      <c r="F1670" s="5">
        <v>171.9</v>
      </c>
      <c r="G1670" t="s">
        <v>387</v>
      </c>
      <c r="H1670" s="3">
        <v>52.5</v>
      </c>
      <c r="I1670" s="3">
        <v>120</v>
      </c>
      <c r="J1670" s="3">
        <v>52</v>
      </c>
      <c r="K1670" s="3">
        <v>3.8</v>
      </c>
      <c r="L1670">
        <f t="shared" si="267"/>
        <v>0.3276</v>
      </c>
      <c r="M1670">
        <f t="shared" si="265"/>
        <v>13.103999999999999</v>
      </c>
      <c r="N1670" s="8">
        <v>40</v>
      </c>
      <c r="O1670" s="14">
        <f t="shared" si="268"/>
        <v>6876</v>
      </c>
      <c r="P1670" s="8">
        <v>40</v>
      </c>
      <c r="Q1670" s="8">
        <f t="shared" si="262"/>
        <v>1</v>
      </c>
      <c r="R1670" s="8">
        <f t="shared" si="263"/>
        <v>53.333333333333329</v>
      </c>
      <c r="S1670" s="8">
        <f t="shared" si="269"/>
        <v>54.333333333333329</v>
      </c>
      <c r="T1670" s="18">
        <f t="shared" si="264"/>
        <v>5.0894126006631932</v>
      </c>
      <c r="U1670" s="20">
        <f t="shared" si="266"/>
        <v>2945.7850633585967</v>
      </c>
      <c r="V1670" s="29" t="s">
        <v>2983</v>
      </c>
    </row>
    <row r="1671" spans="1:22" ht="15" customHeight="1" x14ac:dyDescent="0.25">
      <c r="A1671" t="s">
        <v>287</v>
      </c>
      <c r="B1671" t="s">
        <v>2738</v>
      </c>
      <c r="C1671" t="s">
        <v>2765</v>
      </c>
      <c r="D1671" t="s">
        <v>471</v>
      </c>
      <c r="E1671" t="s">
        <v>480</v>
      </c>
      <c r="F1671" s="5">
        <v>450</v>
      </c>
      <c r="G1671" t="s">
        <v>2763</v>
      </c>
      <c r="H1671" s="3">
        <v>145</v>
      </c>
      <c r="I1671" s="3">
        <v>128</v>
      </c>
      <c r="J1671" s="3">
        <v>48</v>
      </c>
      <c r="K1671" s="3">
        <v>48</v>
      </c>
      <c r="L1671">
        <f t="shared" si="267"/>
        <v>0.89088000000000001</v>
      </c>
      <c r="M1671">
        <f t="shared" si="265"/>
        <v>13.363200000000001</v>
      </c>
      <c r="N1671" s="8">
        <v>15</v>
      </c>
      <c r="O1671" s="14">
        <f t="shared" si="268"/>
        <v>6750</v>
      </c>
      <c r="P1671" s="8">
        <v>40</v>
      </c>
      <c r="Q1671" s="8">
        <f t="shared" si="262"/>
        <v>0.375</v>
      </c>
      <c r="R1671" s="8">
        <f t="shared" si="263"/>
        <v>20</v>
      </c>
      <c r="S1671" s="8">
        <f t="shared" si="269"/>
        <v>20.375</v>
      </c>
      <c r="T1671" s="18">
        <f t="shared" si="264"/>
        <v>4.9961511132164853</v>
      </c>
      <c r="U1671" s="20">
        <f t="shared" si="266"/>
        <v>2950.7812144718132</v>
      </c>
      <c r="V1671" s="29" t="s">
        <v>2983</v>
      </c>
    </row>
    <row r="1672" spans="1:22" ht="15" customHeight="1" x14ac:dyDescent="0.25">
      <c r="A1672" t="s">
        <v>287</v>
      </c>
      <c r="B1672" t="s">
        <v>2738</v>
      </c>
      <c r="C1672" t="s">
        <v>2765</v>
      </c>
      <c r="D1672" t="s">
        <v>469</v>
      </c>
      <c r="E1672" t="s">
        <v>480</v>
      </c>
      <c r="F1672" s="5">
        <v>449.9</v>
      </c>
      <c r="G1672" t="s">
        <v>2763</v>
      </c>
      <c r="H1672" s="3">
        <v>155</v>
      </c>
      <c r="I1672" s="3">
        <v>86</v>
      </c>
      <c r="J1672" s="3">
        <v>46</v>
      </c>
      <c r="K1672" s="3">
        <v>50</v>
      </c>
      <c r="L1672">
        <f t="shared" si="267"/>
        <v>0.61317999999999995</v>
      </c>
      <c r="M1672">
        <f t="shared" si="265"/>
        <v>9.1976999999999993</v>
      </c>
      <c r="N1672" s="8">
        <v>15</v>
      </c>
      <c r="O1672" s="14">
        <f t="shared" si="268"/>
        <v>6748.5</v>
      </c>
      <c r="P1672" s="8">
        <v>40</v>
      </c>
      <c r="Q1672" s="8">
        <f t="shared" si="262"/>
        <v>0.375</v>
      </c>
      <c r="R1672" s="8">
        <f t="shared" si="263"/>
        <v>20</v>
      </c>
      <c r="S1672" s="8">
        <f t="shared" si="269"/>
        <v>20.375</v>
      </c>
      <c r="T1672" s="18">
        <f t="shared" si="264"/>
        <v>4.9950408574135485</v>
      </c>
      <c r="U1672" s="20">
        <f t="shared" si="266"/>
        <v>2955.7762553292268</v>
      </c>
      <c r="V1672" s="29" t="s">
        <v>2983</v>
      </c>
    </row>
    <row r="1673" spans="1:22" ht="15" customHeight="1" x14ac:dyDescent="0.25">
      <c r="A1673" t="s">
        <v>287</v>
      </c>
      <c r="B1673" t="s">
        <v>407</v>
      </c>
      <c r="C1673" t="s">
        <v>408</v>
      </c>
      <c r="D1673" t="s">
        <v>418</v>
      </c>
      <c r="E1673" t="s">
        <v>234</v>
      </c>
      <c r="F1673" s="5">
        <v>129.9</v>
      </c>
      <c r="G1673" t="s">
        <v>387</v>
      </c>
      <c r="H1673" s="3">
        <v>66</v>
      </c>
      <c r="I1673" s="3">
        <v>32</v>
      </c>
      <c r="J1673" s="3">
        <v>60</v>
      </c>
      <c r="K1673" s="3">
        <v>14</v>
      </c>
      <c r="L1673">
        <f t="shared" si="267"/>
        <v>0.12672</v>
      </c>
      <c r="M1673">
        <f t="shared" si="265"/>
        <v>6.3360000000000003</v>
      </c>
      <c r="N1673" s="8">
        <v>50</v>
      </c>
      <c r="O1673" s="14">
        <f t="shared" si="268"/>
        <v>6495</v>
      </c>
      <c r="P1673" s="8">
        <v>40</v>
      </c>
      <c r="Q1673" s="8">
        <f t="shared" si="262"/>
        <v>1.25</v>
      </c>
      <c r="R1673" s="8">
        <f t="shared" si="263"/>
        <v>66.666666666666671</v>
      </c>
      <c r="S1673" s="8">
        <f t="shared" si="269"/>
        <v>67.916666666666671</v>
      </c>
      <c r="T1673" s="18">
        <f t="shared" si="264"/>
        <v>4.8074076267171959</v>
      </c>
      <c r="U1673" s="20">
        <f t="shared" si="266"/>
        <v>2960.583662955944</v>
      </c>
      <c r="V1673" s="29" t="s">
        <v>2983</v>
      </c>
    </row>
    <row r="1674" spans="1:22" ht="15" customHeight="1" x14ac:dyDescent="0.25">
      <c r="A1674" t="s">
        <v>287</v>
      </c>
      <c r="B1674" t="s">
        <v>2864</v>
      </c>
      <c r="C1674" t="s">
        <v>2914</v>
      </c>
      <c r="D1674" t="s">
        <v>2915</v>
      </c>
      <c r="E1674" t="s">
        <v>480</v>
      </c>
      <c r="F1674" s="5">
        <v>429.9</v>
      </c>
      <c r="G1674" t="s">
        <v>2878</v>
      </c>
      <c r="H1674" s="3">
        <v>77</v>
      </c>
      <c r="I1674" s="3">
        <v>55</v>
      </c>
      <c r="J1674" s="3">
        <v>19</v>
      </c>
      <c r="K1674" s="3">
        <v>4.5</v>
      </c>
      <c r="L1674">
        <f t="shared" si="267"/>
        <v>8.0464999999999995E-2</v>
      </c>
      <c r="M1674">
        <f t="shared" si="265"/>
        <v>1.2069749999999999</v>
      </c>
      <c r="N1674" s="8">
        <v>15</v>
      </c>
      <c r="O1674" s="14">
        <f t="shared" si="268"/>
        <v>6448.5</v>
      </c>
      <c r="P1674" s="8">
        <v>30</v>
      </c>
      <c r="Q1674" s="8">
        <f t="shared" si="262"/>
        <v>0.5</v>
      </c>
      <c r="R1674" s="8">
        <f t="shared" si="263"/>
        <v>15</v>
      </c>
      <c r="S1674" s="8">
        <f t="shared" si="269"/>
        <v>15.5</v>
      </c>
      <c r="T1674" s="18">
        <f t="shared" si="264"/>
        <v>4.7729896968261487</v>
      </c>
      <c r="U1674" s="20">
        <f t="shared" si="266"/>
        <v>2965.3566526527702</v>
      </c>
      <c r="V1674" s="29" t="s">
        <v>2983</v>
      </c>
    </row>
    <row r="1675" spans="1:22" ht="15" customHeight="1" x14ac:dyDescent="0.25">
      <c r="A1675" t="s">
        <v>287</v>
      </c>
      <c r="B1675" t="s">
        <v>2864</v>
      </c>
      <c r="C1675" t="s">
        <v>2884</v>
      </c>
      <c r="D1675" t="s">
        <v>477</v>
      </c>
      <c r="E1675" t="s">
        <v>480</v>
      </c>
      <c r="F1675" s="5">
        <v>421.9</v>
      </c>
      <c r="G1675" t="s">
        <v>2885</v>
      </c>
      <c r="H1675" s="3">
        <v>102</v>
      </c>
      <c r="I1675" s="3">
        <v>82</v>
      </c>
      <c r="J1675" s="3">
        <v>51</v>
      </c>
      <c r="K1675" s="3">
        <v>10</v>
      </c>
      <c r="L1675">
        <f t="shared" si="267"/>
        <v>0.426564</v>
      </c>
      <c r="M1675">
        <f t="shared" si="265"/>
        <v>6.39846</v>
      </c>
      <c r="N1675" s="8">
        <v>15</v>
      </c>
      <c r="O1675" s="14">
        <f t="shared" si="268"/>
        <v>6328.5</v>
      </c>
      <c r="P1675" s="8">
        <v>30</v>
      </c>
      <c r="Q1675" s="8">
        <f t="shared" si="262"/>
        <v>0.5</v>
      </c>
      <c r="R1675" s="8">
        <f t="shared" si="263"/>
        <v>15</v>
      </c>
      <c r="S1675" s="8">
        <f t="shared" si="269"/>
        <v>15.5</v>
      </c>
      <c r="T1675" s="18">
        <f t="shared" si="264"/>
        <v>4.6841692325911888</v>
      </c>
      <c r="U1675" s="20">
        <f t="shared" si="266"/>
        <v>2970.0408218853613</v>
      </c>
      <c r="V1675" s="29" t="s">
        <v>2983</v>
      </c>
    </row>
    <row r="1676" spans="1:22" ht="15" customHeight="1" x14ac:dyDescent="0.25">
      <c r="A1676" t="s">
        <v>287</v>
      </c>
      <c r="B1676" t="s">
        <v>479</v>
      </c>
      <c r="C1676" t="s">
        <v>2787</v>
      </c>
      <c r="D1676" t="s">
        <v>2789</v>
      </c>
      <c r="E1676" t="s">
        <v>480</v>
      </c>
      <c r="F1676" s="5">
        <v>135.91999999999999</v>
      </c>
      <c r="G1676" t="s">
        <v>484</v>
      </c>
      <c r="H1676" s="3">
        <v>141</v>
      </c>
      <c r="I1676" s="3">
        <v>30.5</v>
      </c>
      <c r="J1676" s="3">
        <v>62</v>
      </c>
      <c r="K1676" s="3">
        <v>15.4</v>
      </c>
      <c r="L1676">
        <f t="shared" si="267"/>
        <v>0.26663100000000001</v>
      </c>
      <c r="M1676">
        <f t="shared" si="265"/>
        <v>12.265026000000001</v>
      </c>
      <c r="N1676" s="8">
        <v>46</v>
      </c>
      <c r="O1676" s="14">
        <f t="shared" si="268"/>
        <v>6252.32</v>
      </c>
      <c r="P1676" s="8">
        <v>40</v>
      </c>
      <c r="Q1676" s="8">
        <f t="shared" si="262"/>
        <v>1.1499999999999999</v>
      </c>
      <c r="R1676" s="8">
        <f t="shared" si="263"/>
        <v>61.333333333333336</v>
      </c>
      <c r="S1676" s="8">
        <f t="shared" si="269"/>
        <v>62.483333333333334</v>
      </c>
      <c r="T1676" s="18">
        <f t="shared" si="264"/>
        <v>4.6277830412126955</v>
      </c>
      <c r="U1676" s="20">
        <f t="shared" si="266"/>
        <v>2974.6686049265741</v>
      </c>
      <c r="V1676" s="29" t="s">
        <v>2983</v>
      </c>
    </row>
    <row r="1677" spans="1:22" ht="15" customHeight="1" x14ac:dyDescent="0.25">
      <c r="A1677" t="s">
        <v>287</v>
      </c>
      <c r="B1677" t="s">
        <v>2778</v>
      </c>
      <c r="C1677" t="s">
        <v>2785</v>
      </c>
      <c r="D1677" t="s">
        <v>2772</v>
      </c>
      <c r="E1677" t="s">
        <v>480</v>
      </c>
      <c r="F1677" s="5">
        <v>208</v>
      </c>
      <c r="G1677" t="s">
        <v>484</v>
      </c>
      <c r="H1677" s="3">
        <v>85</v>
      </c>
      <c r="I1677" s="3">
        <v>115</v>
      </c>
      <c r="J1677" s="3">
        <v>50</v>
      </c>
      <c r="K1677" s="3">
        <v>20</v>
      </c>
      <c r="L1677">
        <f t="shared" si="267"/>
        <v>0.48875000000000002</v>
      </c>
      <c r="M1677">
        <f t="shared" si="265"/>
        <v>14.662500000000001</v>
      </c>
      <c r="N1677" s="8">
        <v>30</v>
      </c>
      <c r="O1677" s="14">
        <f t="shared" si="268"/>
        <v>6240</v>
      </c>
      <c r="P1677" s="8">
        <v>40</v>
      </c>
      <c r="Q1677" s="8">
        <f t="shared" si="262"/>
        <v>0.75</v>
      </c>
      <c r="R1677" s="8">
        <f t="shared" si="263"/>
        <v>40</v>
      </c>
      <c r="S1677" s="8">
        <f t="shared" si="269"/>
        <v>40.75</v>
      </c>
      <c r="T1677" s="18">
        <f t="shared" si="264"/>
        <v>4.6186641402179065</v>
      </c>
      <c r="U1677" s="20">
        <f t="shared" si="266"/>
        <v>2979.2872690667919</v>
      </c>
      <c r="V1677" s="29" t="s">
        <v>2983</v>
      </c>
    </row>
    <row r="1678" spans="1:22" ht="15" customHeight="1" x14ac:dyDescent="0.25">
      <c r="A1678" t="s">
        <v>287</v>
      </c>
      <c r="B1678" t="s">
        <v>407</v>
      </c>
      <c r="C1678" t="s">
        <v>408</v>
      </c>
      <c r="D1678" t="s">
        <v>409</v>
      </c>
      <c r="E1678" t="s">
        <v>234</v>
      </c>
      <c r="F1678" s="5">
        <v>153.9</v>
      </c>
      <c r="G1678" t="s">
        <v>387</v>
      </c>
      <c r="H1678" s="3">
        <v>54</v>
      </c>
      <c r="I1678" s="3">
        <v>31</v>
      </c>
      <c r="J1678" s="3">
        <v>120</v>
      </c>
      <c r="K1678" s="3">
        <v>9</v>
      </c>
      <c r="L1678">
        <f t="shared" si="267"/>
        <v>0.20088</v>
      </c>
      <c r="M1678">
        <f t="shared" si="265"/>
        <v>8.0351999999999997</v>
      </c>
      <c r="N1678" s="8">
        <v>40</v>
      </c>
      <c r="O1678" s="14">
        <f t="shared" si="268"/>
        <v>6156</v>
      </c>
      <c r="P1678" s="8">
        <v>40</v>
      </c>
      <c r="Q1678" s="8">
        <f t="shared" si="262"/>
        <v>1</v>
      </c>
      <c r="R1678" s="8">
        <f t="shared" si="263"/>
        <v>53.333333333333329</v>
      </c>
      <c r="S1678" s="8">
        <f t="shared" si="269"/>
        <v>54.333333333333329</v>
      </c>
      <c r="T1678" s="18">
        <f t="shared" si="264"/>
        <v>4.5564898152534345</v>
      </c>
      <c r="U1678" s="20">
        <f t="shared" si="266"/>
        <v>2983.8437588820452</v>
      </c>
      <c r="V1678" s="29" t="s">
        <v>2983</v>
      </c>
    </row>
    <row r="1679" spans="1:22" ht="15" customHeight="1" x14ac:dyDescent="0.25">
      <c r="A1679" t="s">
        <v>287</v>
      </c>
      <c r="B1679" t="s">
        <v>2864</v>
      </c>
      <c r="C1679" t="s">
        <v>2881</v>
      </c>
      <c r="D1679" t="s">
        <v>2882</v>
      </c>
      <c r="E1679" t="s">
        <v>480</v>
      </c>
      <c r="F1679" s="5">
        <v>401.9</v>
      </c>
      <c r="G1679" t="s">
        <v>2883</v>
      </c>
      <c r="H1679" s="3">
        <v>100</v>
      </c>
      <c r="I1679" s="3">
        <v>87.6</v>
      </c>
      <c r="J1679" s="3">
        <v>54</v>
      </c>
      <c r="K1679" s="3">
        <v>7.6</v>
      </c>
      <c r="L1679">
        <f t="shared" si="267"/>
        <v>0.47303999999999996</v>
      </c>
      <c r="M1679">
        <f t="shared" si="265"/>
        <v>7.0955999999999992</v>
      </c>
      <c r="N1679" s="8">
        <v>15</v>
      </c>
      <c r="O1679" s="14">
        <f t="shared" si="268"/>
        <v>6028.5</v>
      </c>
      <c r="P1679" s="8">
        <v>30</v>
      </c>
      <c r="Q1679" s="8">
        <f t="shared" si="262"/>
        <v>0.5</v>
      </c>
      <c r="R1679" s="8">
        <f t="shared" si="263"/>
        <v>15</v>
      </c>
      <c r="S1679" s="8">
        <f t="shared" si="269"/>
        <v>15.5</v>
      </c>
      <c r="T1679" s="18">
        <f t="shared" si="264"/>
        <v>4.4621180720037898</v>
      </c>
      <c r="U1679" s="20">
        <f t="shared" si="266"/>
        <v>2988.3058769540489</v>
      </c>
      <c r="V1679" s="29" t="s">
        <v>2983</v>
      </c>
    </row>
    <row r="1680" spans="1:22" ht="15" customHeight="1" x14ac:dyDescent="0.25">
      <c r="A1680" t="s">
        <v>287</v>
      </c>
      <c r="B1680" t="s">
        <v>2738</v>
      </c>
      <c r="C1680" t="s">
        <v>2739</v>
      </c>
      <c r="D1680" t="s">
        <v>2747</v>
      </c>
      <c r="E1680" t="s">
        <v>480</v>
      </c>
      <c r="F1680" s="5">
        <v>389</v>
      </c>
      <c r="G1680" t="s">
        <v>387</v>
      </c>
      <c r="H1680" s="3">
        <v>188</v>
      </c>
      <c r="I1680" s="3">
        <v>88</v>
      </c>
      <c r="J1680" s="3">
        <v>56</v>
      </c>
      <c r="K1680" s="3">
        <v>47</v>
      </c>
      <c r="L1680">
        <f t="shared" si="267"/>
        <v>0.92646399999999995</v>
      </c>
      <c r="M1680">
        <f t="shared" si="265"/>
        <v>13.89696</v>
      </c>
      <c r="N1680" s="8">
        <v>15</v>
      </c>
      <c r="O1680" s="14">
        <f t="shared" si="268"/>
        <v>5835</v>
      </c>
      <c r="P1680" s="8">
        <v>40</v>
      </c>
      <c r="Q1680" s="8">
        <f t="shared" si="262"/>
        <v>0.375</v>
      </c>
      <c r="R1680" s="8">
        <f t="shared" si="263"/>
        <v>20</v>
      </c>
      <c r="S1680" s="8">
        <f t="shared" si="269"/>
        <v>20.375</v>
      </c>
      <c r="T1680" s="18">
        <f t="shared" si="264"/>
        <v>4.3188950734249172</v>
      </c>
      <c r="U1680" s="20">
        <f t="shared" si="266"/>
        <v>2992.6247720274737</v>
      </c>
      <c r="V1680" s="29" t="s">
        <v>2983</v>
      </c>
    </row>
    <row r="1681" spans="1:22" ht="15" customHeight="1" x14ac:dyDescent="0.25">
      <c r="A1681" t="s">
        <v>287</v>
      </c>
      <c r="B1681" t="s">
        <v>2738</v>
      </c>
      <c r="C1681" t="s">
        <v>2765</v>
      </c>
      <c r="D1681" t="s">
        <v>468</v>
      </c>
      <c r="E1681" t="s">
        <v>480</v>
      </c>
      <c r="F1681" s="5">
        <v>385</v>
      </c>
      <c r="G1681" t="s">
        <v>2762</v>
      </c>
      <c r="H1681" s="3">
        <v>167</v>
      </c>
      <c r="I1681" s="3">
        <v>106</v>
      </c>
      <c r="J1681" s="3">
        <v>47</v>
      </c>
      <c r="K1681" s="3">
        <v>57</v>
      </c>
      <c r="L1681">
        <f t="shared" si="267"/>
        <v>0.83199400000000001</v>
      </c>
      <c r="M1681">
        <f t="shared" si="265"/>
        <v>12.47991</v>
      </c>
      <c r="N1681" s="8">
        <v>15</v>
      </c>
      <c r="O1681" s="14">
        <f t="shared" si="268"/>
        <v>5775</v>
      </c>
      <c r="P1681" s="8">
        <v>40</v>
      </c>
      <c r="Q1681" s="8">
        <f t="shared" si="262"/>
        <v>0.375</v>
      </c>
      <c r="R1681" s="8">
        <f t="shared" si="263"/>
        <v>20</v>
      </c>
      <c r="S1681" s="8">
        <f t="shared" si="269"/>
        <v>20.375</v>
      </c>
      <c r="T1681" s="18">
        <f t="shared" si="264"/>
        <v>4.2744848413074372</v>
      </c>
      <c r="U1681" s="20">
        <f t="shared" si="266"/>
        <v>2996.8992568687813</v>
      </c>
      <c r="V1681" s="29" t="s">
        <v>2983</v>
      </c>
    </row>
    <row r="1682" spans="1:22" ht="15" customHeight="1" x14ac:dyDescent="0.25">
      <c r="A1682" t="s">
        <v>287</v>
      </c>
      <c r="B1682" t="s">
        <v>2738</v>
      </c>
      <c r="C1682" t="s">
        <v>2765</v>
      </c>
      <c r="D1682" t="s">
        <v>472</v>
      </c>
      <c r="E1682" t="s">
        <v>480</v>
      </c>
      <c r="F1682" s="5">
        <v>480</v>
      </c>
      <c r="G1682" t="s">
        <v>2763</v>
      </c>
      <c r="H1682" s="3">
        <v>160</v>
      </c>
      <c r="I1682" s="3">
        <v>130</v>
      </c>
      <c r="J1682" s="3">
        <v>45</v>
      </c>
      <c r="K1682" s="3">
        <v>64</v>
      </c>
      <c r="L1682">
        <f t="shared" si="267"/>
        <v>0.93600000000000005</v>
      </c>
      <c r="M1682">
        <f t="shared" si="265"/>
        <v>11.232000000000001</v>
      </c>
      <c r="N1682" s="8">
        <v>12</v>
      </c>
      <c r="O1682" s="14">
        <f t="shared" si="268"/>
        <v>5760</v>
      </c>
      <c r="P1682" s="8">
        <v>40</v>
      </c>
      <c r="Q1682" s="8">
        <f t="shared" si="262"/>
        <v>0.3</v>
      </c>
      <c r="R1682" s="8">
        <f t="shared" si="263"/>
        <v>16</v>
      </c>
      <c r="S1682" s="8">
        <f t="shared" si="269"/>
        <v>16.3</v>
      </c>
      <c r="T1682" s="18">
        <f t="shared" si="264"/>
        <v>4.2633822832780677</v>
      </c>
      <c r="U1682" s="20">
        <f t="shared" si="266"/>
        <v>3001.1626391520595</v>
      </c>
      <c r="V1682" s="29" t="s">
        <v>2983</v>
      </c>
    </row>
    <row r="1683" spans="1:22" ht="15" customHeight="1" x14ac:dyDescent="0.25">
      <c r="A1683" t="s">
        <v>287</v>
      </c>
      <c r="B1683" t="s">
        <v>407</v>
      </c>
      <c r="C1683" t="s">
        <v>408</v>
      </c>
      <c r="D1683" t="s">
        <v>415</v>
      </c>
      <c r="E1683" t="s">
        <v>234</v>
      </c>
      <c r="F1683" s="5">
        <v>142.11000000000001</v>
      </c>
      <c r="G1683" t="s">
        <v>387</v>
      </c>
      <c r="H1683" s="3">
        <v>33</v>
      </c>
      <c r="I1683" s="3">
        <v>31</v>
      </c>
      <c r="J1683" s="3">
        <v>80</v>
      </c>
      <c r="K1683" s="3">
        <v>8.6</v>
      </c>
      <c r="L1683">
        <f t="shared" si="267"/>
        <v>8.1839999999999996E-2</v>
      </c>
      <c r="M1683">
        <f t="shared" si="265"/>
        <v>3.2736000000000001</v>
      </c>
      <c r="N1683" s="8">
        <v>40</v>
      </c>
      <c r="O1683" s="14">
        <f t="shared" si="268"/>
        <v>5684.4000000000005</v>
      </c>
      <c r="P1683" s="8">
        <v>40</v>
      </c>
      <c r="Q1683" s="8">
        <f t="shared" si="262"/>
        <v>1</v>
      </c>
      <c r="R1683" s="8">
        <f t="shared" si="263"/>
        <v>53.333333333333329</v>
      </c>
      <c r="S1683" s="8">
        <f t="shared" si="269"/>
        <v>54.333333333333329</v>
      </c>
      <c r="T1683" s="18">
        <f t="shared" si="264"/>
        <v>4.2074253908100427</v>
      </c>
      <c r="U1683" s="20">
        <f t="shared" si="266"/>
        <v>3005.3700645428694</v>
      </c>
      <c r="V1683" s="29" t="s">
        <v>2983</v>
      </c>
    </row>
    <row r="1684" spans="1:22" ht="15" customHeight="1" x14ac:dyDescent="0.25">
      <c r="A1684" t="s">
        <v>287</v>
      </c>
      <c r="B1684" t="s">
        <v>2824</v>
      </c>
      <c r="C1684" t="s">
        <v>2839</v>
      </c>
      <c r="D1684" t="s">
        <v>2842</v>
      </c>
      <c r="E1684" t="s">
        <v>480</v>
      </c>
      <c r="F1684" s="5">
        <v>140</v>
      </c>
      <c r="G1684" t="s">
        <v>2832</v>
      </c>
      <c r="H1684" s="3">
        <v>85</v>
      </c>
      <c r="I1684" s="3">
        <v>80</v>
      </c>
      <c r="J1684" s="3">
        <v>75</v>
      </c>
      <c r="K1684">
        <v>18.3</v>
      </c>
      <c r="L1684">
        <f t="shared" si="267"/>
        <v>0.51</v>
      </c>
      <c r="M1684">
        <f t="shared" si="265"/>
        <v>20.399999999999999</v>
      </c>
      <c r="N1684" s="8">
        <v>40</v>
      </c>
      <c r="O1684" s="14">
        <f t="shared" si="268"/>
        <v>5600</v>
      </c>
      <c r="P1684" s="8">
        <v>40</v>
      </c>
      <c r="Q1684" s="8">
        <f t="shared" si="262"/>
        <v>1</v>
      </c>
      <c r="R1684" s="8">
        <f t="shared" si="263"/>
        <v>53.333333333333329</v>
      </c>
      <c r="S1684" s="8">
        <f t="shared" si="269"/>
        <v>54.333333333333329</v>
      </c>
      <c r="T1684" s="18">
        <f t="shared" si="264"/>
        <v>4.1449549976314541</v>
      </c>
      <c r="U1684" s="20">
        <f t="shared" si="266"/>
        <v>3009.5150195405008</v>
      </c>
      <c r="V1684" s="29" t="s">
        <v>2983</v>
      </c>
    </row>
    <row r="1685" spans="1:22" ht="15" customHeight="1" x14ac:dyDescent="0.25">
      <c r="A1685" t="s">
        <v>287</v>
      </c>
      <c r="B1685" t="s">
        <v>2864</v>
      </c>
      <c r="C1685" t="s">
        <v>2927</v>
      </c>
      <c r="D1685" t="s">
        <v>2928</v>
      </c>
      <c r="E1685" t="s">
        <v>480</v>
      </c>
      <c r="F1685" s="5">
        <v>369</v>
      </c>
      <c r="G1685" t="s">
        <v>2929</v>
      </c>
      <c r="H1685" s="3">
        <v>72</v>
      </c>
      <c r="I1685" s="3">
        <v>30</v>
      </c>
      <c r="J1685" s="3">
        <v>43</v>
      </c>
      <c r="K1685" s="3">
        <v>5.4</v>
      </c>
      <c r="L1685">
        <f t="shared" si="267"/>
        <v>9.2880000000000004E-2</v>
      </c>
      <c r="M1685">
        <f t="shared" si="265"/>
        <v>1.3932</v>
      </c>
      <c r="N1685" s="8">
        <v>15</v>
      </c>
      <c r="O1685" s="14">
        <f t="shared" si="268"/>
        <v>5535</v>
      </c>
      <c r="P1685" s="8">
        <v>30</v>
      </c>
      <c r="Q1685" s="8">
        <f t="shared" si="262"/>
        <v>0.5</v>
      </c>
      <c r="R1685" s="8">
        <f t="shared" si="263"/>
        <v>15</v>
      </c>
      <c r="S1685" s="8">
        <f t="shared" si="269"/>
        <v>15.5</v>
      </c>
      <c r="T1685" s="18">
        <f t="shared" si="264"/>
        <v>4.0968439128375183</v>
      </c>
      <c r="U1685" s="20">
        <f t="shared" si="266"/>
        <v>3013.6118634533382</v>
      </c>
      <c r="V1685" s="29" t="s">
        <v>2983</v>
      </c>
    </row>
    <row r="1686" spans="1:22" ht="15" customHeight="1" x14ac:dyDescent="0.25">
      <c r="A1686" t="s">
        <v>287</v>
      </c>
      <c r="B1686" t="s">
        <v>479</v>
      </c>
      <c r="C1686" t="s">
        <v>2793</v>
      </c>
      <c r="D1686" t="s">
        <v>2796</v>
      </c>
      <c r="E1686" t="s">
        <v>480</v>
      </c>
      <c r="F1686" s="5">
        <v>119.92</v>
      </c>
      <c r="G1686" t="s">
        <v>488</v>
      </c>
      <c r="H1686" s="3">
        <v>38.5</v>
      </c>
      <c r="I1686" s="3">
        <v>68</v>
      </c>
      <c r="J1686" s="3">
        <v>68</v>
      </c>
      <c r="K1686" s="3">
        <v>16.3</v>
      </c>
      <c r="L1686">
        <f t="shared" si="267"/>
        <v>0.17802399999999999</v>
      </c>
      <c r="M1686">
        <f t="shared" si="265"/>
        <v>8.1891039999999986</v>
      </c>
      <c r="N1686" s="8">
        <v>46</v>
      </c>
      <c r="O1686" s="14">
        <f t="shared" si="268"/>
        <v>5516.32</v>
      </c>
      <c r="P1686" s="8">
        <v>40</v>
      </c>
      <c r="Q1686" s="8">
        <f t="shared" si="262"/>
        <v>1.1499999999999999</v>
      </c>
      <c r="R1686" s="8">
        <f t="shared" si="263"/>
        <v>61.333333333333336</v>
      </c>
      <c r="S1686" s="8">
        <f t="shared" si="269"/>
        <v>62.483333333333334</v>
      </c>
      <c r="T1686" s="18">
        <f t="shared" si="264"/>
        <v>4.0830175272382752</v>
      </c>
      <c r="U1686" s="20">
        <f t="shared" si="266"/>
        <v>3017.6948809805763</v>
      </c>
      <c r="V1686" s="29" t="s">
        <v>2983</v>
      </c>
    </row>
    <row r="1687" spans="1:22" ht="15" customHeight="1" x14ac:dyDescent="0.25">
      <c r="A1687" t="s">
        <v>287</v>
      </c>
      <c r="B1687" t="s">
        <v>479</v>
      </c>
      <c r="C1687" t="s">
        <v>2793</v>
      </c>
      <c r="D1687" t="s">
        <v>2801</v>
      </c>
      <c r="E1687" t="s">
        <v>480</v>
      </c>
      <c r="F1687" s="5">
        <v>119.92</v>
      </c>
      <c r="G1687" t="s">
        <v>488</v>
      </c>
      <c r="H1687" s="3">
        <v>38.5</v>
      </c>
      <c r="I1687" s="3">
        <v>68</v>
      </c>
      <c r="J1687" s="3">
        <v>68</v>
      </c>
      <c r="K1687" s="3">
        <v>16.3</v>
      </c>
      <c r="L1687">
        <f t="shared" si="267"/>
        <v>0.17802399999999999</v>
      </c>
      <c r="M1687">
        <f t="shared" si="265"/>
        <v>8.1891039999999986</v>
      </c>
      <c r="N1687" s="8">
        <v>46</v>
      </c>
      <c r="O1687" s="14">
        <f t="shared" si="268"/>
        <v>5516.32</v>
      </c>
      <c r="P1687" s="8">
        <v>40</v>
      </c>
      <c r="Q1687" s="8">
        <f t="shared" si="262"/>
        <v>1.1499999999999999</v>
      </c>
      <c r="R1687" s="8">
        <f t="shared" si="263"/>
        <v>61.333333333333336</v>
      </c>
      <c r="S1687" s="8">
        <f t="shared" si="269"/>
        <v>62.483333333333334</v>
      </c>
      <c r="T1687" s="18">
        <f t="shared" si="264"/>
        <v>4.0830175272382752</v>
      </c>
      <c r="U1687" s="20">
        <f t="shared" si="266"/>
        <v>3021.7778985078144</v>
      </c>
      <c r="V1687" s="29" t="s">
        <v>2983</v>
      </c>
    </row>
    <row r="1688" spans="1:22" ht="15" customHeight="1" x14ac:dyDescent="0.25">
      <c r="A1688" t="s">
        <v>287</v>
      </c>
      <c r="B1688" t="s">
        <v>479</v>
      </c>
      <c r="C1688" t="s">
        <v>2793</v>
      </c>
      <c r="D1688" t="s">
        <v>2795</v>
      </c>
      <c r="E1688" t="s">
        <v>480</v>
      </c>
      <c r="F1688" s="5">
        <v>119.92</v>
      </c>
      <c r="G1688" t="s">
        <v>488</v>
      </c>
      <c r="H1688" s="3">
        <v>39</v>
      </c>
      <c r="I1688" s="3">
        <v>68</v>
      </c>
      <c r="J1688" s="3">
        <v>68</v>
      </c>
      <c r="K1688" s="3">
        <v>16</v>
      </c>
      <c r="L1688">
        <f t="shared" si="267"/>
        <v>0.180336</v>
      </c>
      <c r="M1688">
        <f t="shared" si="265"/>
        <v>8.2954559999999997</v>
      </c>
      <c r="N1688" s="8">
        <v>46</v>
      </c>
      <c r="O1688" s="14">
        <f t="shared" si="268"/>
        <v>5516.32</v>
      </c>
      <c r="P1688" s="8">
        <v>40</v>
      </c>
      <c r="Q1688" s="8">
        <f t="shared" si="262"/>
        <v>1.1499999999999999</v>
      </c>
      <c r="R1688" s="8">
        <f t="shared" si="263"/>
        <v>61.333333333333336</v>
      </c>
      <c r="S1688" s="8">
        <f t="shared" si="269"/>
        <v>62.483333333333334</v>
      </c>
      <c r="T1688" s="18">
        <f t="shared" si="264"/>
        <v>4.0830175272382752</v>
      </c>
      <c r="U1688" s="20">
        <f t="shared" si="266"/>
        <v>3025.8609160350525</v>
      </c>
      <c r="V1688" s="29" t="s">
        <v>2983</v>
      </c>
    </row>
    <row r="1689" spans="1:22" ht="15" customHeight="1" x14ac:dyDescent="0.25">
      <c r="A1689" t="s">
        <v>287</v>
      </c>
      <c r="B1689" t="s">
        <v>479</v>
      </c>
      <c r="C1689" t="s">
        <v>2787</v>
      </c>
      <c r="D1689" t="s">
        <v>2788</v>
      </c>
      <c r="E1689" t="s">
        <v>480</v>
      </c>
      <c r="F1689" s="5">
        <v>119.92</v>
      </c>
      <c r="G1689" t="s">
        <v>481</v>
      </c>
      <c r="H1689" s="3">
        <v>155</v>
      </c>
      <c r="I1689" s="3">
        <v>36</v>
      </c>
      <c r="J1689" s="3">
        <v>59</v>
      </c>
      <c r="K1689" s="3">
        <v>16</v>
      </c>
      <c r="L1689">
        <f t="shared" si="267"/>
        <v>0.32922000000000001</v>
      </c>
      <c r="M1689">
        <f t="shared" si="265"/>
        <v>15.144120000000001</v>
      </c>
      <c r="N1689" s="8">
        <v>46</v>
      </c>
      <c r="O1689" s="14">
        <f t="shared" si="268"/>
        <v>5516.32</v>
      </c>
      <c r="P1689" s="8">
        <v>40</v>
      </c>
      <c r="Q1689" s="8">
        <f t="shared" si="262"/>
        <v>1.1499999999999999</v>
      </c>
      <c r="R1689" s="8">
        <f t="shared" si="263"/>
        <v>61.333333333333336</v>
      </c>
      <c r="S1689" s="8">
        <f t="shared" si="269"/>
        <v>62.483333333333334</v>
      </c>
      <c r="T1689" s="18">
        <f t="shared" si="264"/>
        <v>4.0830175272382752</v>
      </c>
      <c r="U1689" s="20">
        <f t="shared" si="266"/>
        <v>3029.9439335622906</v>
      </c>
      <c r="V1689" s="29" t="s">
        <v>2983</v>
      </c>
    </row>
    <row r="1690" spans="1:22" ht="15" customHeight="1" x14ac:dyDescent="0.25">
      <c r="A1690" t="s">
        <v>287</v>
      </c>
      <c r="B1690" t="s">
        <v>479</v>
      </c>
      <c r="C1690" t="s">
        <v>2787</v>
      </c>
      <c r="D1690" t="s">
        <v>2790</v>
      </c>
      <c r="E1690" t="s">
        <v>480</v>
      </c>
      <c r="F1690" s="5">
        <v>119.92</v>
      </c>
      <c r="G1690" t="s">
        <v>481</v>
      </c>
      <c r="H1690" s="3">
        <v>155</v>
      </c>
      <c r="I1690" s="3">
        <v>36</v>
      </c>
      <c r="J1690" s="3">
        <v>59</v>
      </c>
      <c r="K1690" s="3">
        <v>16</v>
      </c>
      <c r="L1690">
        <f t="shared" si="267"/>
        <v>0.32922000000000001</v>
      </c>
      <c r="M1690">
        <f t="shared" si="265"/>
        <v>15.144120000000001</v>
      </c>
      <c r="N1690" s="8">
        <v>46</v>
      </c>
      <c r="O1690" s="14">
        <f t="shared" si="268"/>
        <v>5516.32</v>
      </c>
      <c r="P1690" s="8">
        <v>40</v>
      </c>
      <c r="Q1690" s="8">
        <f t="shared" si="262"/>
        <v>1.1499999999999999</v>
      </c>
      <c r="R1690" s="8">
        <f t="shared" si="263"/>
        <v>61.333333333333336</v>
      </c>
      <c r="S1690" s="8">
        <f t="shared" si="269"/>
        <v>62.483333333333334</v>
      </c>
      <c r="T1690" s="18">
        <f t="shared" si="264"/>
        <v>4.0830175272382752</v>
      </c>
      <c r="U1690" s="20">
        <f t="shared" si="266"/>
        <v>3034.0269510895287</v>
      </c>
      <c r="V1690" s="29" t="s">
        <v>2983</v>
      </c>
    </row>
    <row r="1691" spans="1:22" ht="15" customHeight="1" x14ac:dyDescent="0.25">
      <c r="A1691" t="s">
        <v>287</v>
      </c>
      <c r="B1691" t="s">
        <v>2738</v>
      </c>
      <c r="C1691" t="s">
        <v>2765</v>
      </c>
      <c r="D1691" t="s">
        <v>467</v>
      </c>
      <c r="E1691" t="s">
        <v>480</v>
      </c>
      <c r="F1691" s="5">
        <v>517</v>
      </c>
      <c r="G1691" t="s">
        <v>2762</v>
      </c>
      <c r="H1691" s="3">
        <v>178</v>
      </c>
      <c r="I1691" s="3">
        <v>137</v>
      </c>
      <c r="J1691" s="3">
        <v>47</v>
      </c>
      <c r="K1691" s="3">
        <v>94</v>
      </c>
      <c r="L1691">
        <f t="shared" si="267"/>
        <v>1.146142</v>
      </c>
      <c r="M1691">
        <f t="shared" si="265"/>
        <v>11.46142</v>
      </c>
      <c r="N1691" s="8">
        <v>10</v>
      </c>
      <c r="O1691" s="14">
        <f t="shared" si="268"/>
        <v>5170</v>
      </c>
      <c r="P1691" s="8">
        <v>40</v>
      </c>
      <c r="Q1691" s="8">
        <f t="shared" si="262"/>
        <v>0.25</v>
      </c>
      <c r="R1691" s="8">
        <f t="shared" si="263"/>
        <v>13.333333333333332</v>
      </c>
      <c r="S1691" s="8">
        <f t="shared" si="269"/>
        <v>13.583333333333332</v>
      </c>
      <c r="T1691" s="18">
        <f t="shared" si="264"/>
        <v>3.8266816674561821</v>
      </c>
      <c r="U1691" s="20">
        <f t="shared" si="266"/>
        <v>3037.853632756985</v>
      </c>
      <c r="V1691" s="29" t="s">
        <v>2983</v>
      </c>
    </row>
    <row r="1692" spans="1:22" ht="15" customHeight="1" x14ac:dyDescent="0.25">
      <c r="A1692" t="s">
        <v>287</v>
      </c>
      <c r="B1692" t="s">
        <v>479</v>
      </c>
      <c r="C1692" t="s">
        <v>2802</v>
      </c>
      <c r="D1692" t="s">
        <v>495</v>
      </c>
      <c r="E1692" t="s">
        <v>480</v>
      </c>
      <c r="F1692" s="5">
        <v>74.900000000000006</v>
      </c>
      <c r="G1692" t="s">
        <v>496</v>
      </c>
      <c r="H1692" s="3">
        <v>42</v>
      </c>
      <c r="I1692" s="3">
        <v>32</v>
      </c>
      <c r="J1692" s="3">
        <v>32</v>
      </c>
      <c r="K1692" s="3">
        <v>0.95</v>
      </c>
      <c r="L1692">
        <f t="shared" si="267"/>
        <v>4.3007999999999998E-2</v>
      </c>
      <c r="M1692">
        <f t="shared" si="265"/>
        <v>2.967552</v>
      </c>
      <c r="N1692" s="8">
        <v>69</v>
      </c>
      <c r="O1692" s="14">
        <f t="shared" si="268"/>
        <v>5168.1000000000004</v>
      </c>
      <c r="P1692" s="8">
        <v>40</v>
      </c>
      <c r="Q1692" s="8">
        <f t="shared" si="262"/>
        <v>1.7250000000000001</v>
      </c>
      <c r="R1692" s="8">
        <f t="shared" si="263"/>
        <v>92</v>
      </c>
      <c r="S1692" s="8">
        <f t="shared" si="269"/>
        <v>93.724999999999994</v>
      </c>
      <c r="T1692" s="18">
        <f t="shared" si="264"/>
        <v>3.8252753434391287</v>
      </c>
      <c r="U1692" s="20">
        <f t="shared" si="266"/>
        <v>3041.678908100424</v>
      </c>
      <c r="V1692" s="29" t="s">
        <v>2983</v>
      </c>
    </row>
    <row r="1693" spans="1:22" ht="15" customHeight="1" x14ac:dyDescent="0.25">
      <c r="A1693" t="s">
        <v>287</v>
      </c>
      <c r="B1693" t="s">
        <v>479</v>
      </c>
      <c r="C1693" t="s">
        <v>2793</v>
      </c>
      <c r="D1693" t="s">
        <v>2798</v>
      </c>
      <c r="E1693" t="s">
        <v>480</v>
      </c>
      <c r="F1693" s="5">
        <v>103.92</v>
      </c>
      <c r="G1693" t="s">
        <v>488</v>
      </c>
      <c r="H1693" s="3">
        <v>48.7</v>
      </c>
      <c r="I1693" s="3">
        <v>50</v>
      </c>
      <c r="J1693" s="3">
        <v>85</v>
      </c>
      <c r="K1693" s="3">
        <v>13.3</v>
      </c>
      <c r="L1693">
        <f t="shared" si="267"/>
        <v>0.20697499999999999</v>
      </c>
      <c r="M1693">
        <f t="shared" si="265"/>
        <v>9.5208499999999994</v>
      </c>
      <c r="N1693" s="8">
        <v>46</v>
      </c>
      <c r="O1693" s="14">
        <f t="shared" si="268"/>
        <v>4780.32</v>
      </c>
      <c r="P1693" s="8">
        <v>40</v>
      </c>
      <c r="Q1693" s="8">
        <f t="shared" si="262"/>
        <v>1.1499999999999999</v>
      </c>
      <c r="R1693" s="8">
        <f t="shared" si="263"/>
        <v>61.333333333333336</v>
      </c>
      <c r="S1693" s="8">
        <f t="shared" si="269"/>
        <v>62.483333333333334</v>
      </c>
      <c r="T1693" s="18">
        <f t="shared" si="264"/>
        <v>3.5382520132638557</v>
      </c>
      <c r="U1693" s="20">
        <f t="shared" si="266"/>
        <v>3045.2171601136879</v>
      </c>
      <c r="V1693" s="29" t="s">
        <v>2983</v>
      </c>
    </row>
    <row r="1694" spans="1:22" ht="15" customHeight="1" x14ac:dyDescent="0.25">
      <c r="A1694" t="s">
        <v>287</v>
      </c>
      <c r="B1694" t="s">
        <v>2738</v>
      </c>
      <c r="C1694" t="s">
        <v>2765</v>
      </c>
      <c r="D1694" t="s">
        <v>466</v>
      </c>
      <c r="E1694" t="s">
        <v>480</v>
      </c>
      <c r="F1694" s="5">
        <v>279</v>
      </c>
      <c r="G1694" t="s">
        <v>2762</v>
      </c>
      <c r="H1694" s="3">
        <v>102</v>
      </c>
      <c r="I1694" s="3">
        <v>91</v>
      </c>
      <c r="J1694" s="3">
        <v>47</v>
      </c>
      <c r="K1694" s="3">
        <v>49</v>
      </c>
      <c r="L1694">
        <f t="shared" si="267"/>
        <v>0.43625399999999998</v>
      </c>
      <c r="M1694">
        <f t="shared" si="265"/>
        <v>6.5438099999999997</v>
      </c>
      <c r="N1694" s="8">
        <v>15</v>
      </c>
      <c r="O1694" s="14">
        <f t="shared" si="268"/>
        <v>4185</v>
      </c>
      <c r="P1694" s="8">
        <v>40</v>
      </c>
      <c r="Q1694" s="8">
        <f t="shared" si="262"/>
        <v>0.375</v>
      </c>
      <c r="R1694" s="8">
        <f t="shared" si="263"/>
        <v>20</v>
      </c>
      <c r="S1694" s="8">
        <f t="shared" si="269"/>
        <v>20.375</v>
      </c>
      <c r="T1694" s="18">
        <f t="shared" si="264"/>
        <v>3.0976136901942208</v>
      </c>
      <c r="U1694" s="20">
        <f t="shared" si="266"/>
        <v>3048.314773803882</v>
      </c>
      <c r="V1694" s="29" t="s">
        <v>2983</v>
      </c>
    </row>
    <row r="1695" spans="1:22" ht="15" customHeight="1" x14ac:dyDescent="0.25">
      <c r="A1695" t="s">
        <v>287</v>
      </c>
      <c r="B1695" t="s">
        <v>2738</v>
      </c>
      <c r="C1695" t="s">
        <v>2765</v>
      </c>
      <c r="D1695" t="s">
        <v>470</v>
      </c>
      <c r="E1695" t="s">
        <v>480</v>
      </c>
      <c r="F1695" s="5">
        <v>277.89999999999998</v>
      </c>
      <c r="G1695" t="s">
        <v>2763</v>
      </c>
      <c r="H1695" s="3">
        <v>162</v>
      </c>
      <c r="I1695" s="3">
        <v>112</v>
      </c>
      <c r="J1695" s="3">
        <v>48</v>
      </c>
      <c r="K1695" s="3">
        <v>58</v>
      </c>
      <c r="L1695">
        <f t="shared" si="267"/>
        <v>0.87091200000000002</v>
      </c>
      <c r="M1695">
        <f t="shared" si="265"/>
        <v>13.06368</v>
      </c>
      <c r="N1695" s="8">
        <v>15</v>
      </c>
      <c r="O1695" s="14">
        <f t="shared" si="268"/>
        <v>4168.5</v>
      </c>
      <c r="P1695" s="8">
        <v>40</v>
      </c>
      <c r="Q1695" s="8">
        <f t="shared" ref="Q1695:Q1746" si="270">N1695/P1695</f>
        <v>0.375</v>
      </c>
      <c r="R1695" s="8">
        <f t="shared" ref="R1695:R1746" si="271">(N1695/30)*P1695</f>
        <v>20</v>
      </c>
      <c r="S1695" s="8">
        <f t="shared" si="269"/>
        <v>20.375</v>
      </c>
      <c r="T1695" s="18">
        <f t="shared" si="264"/>
        <v>3.0854008763619141</v>
      </c>
      <c r="U1695" s="20">
        <f t="shared" si="266"/>
        <v>3051.4001746802437</v>
      </c>
      <c r="V1695" s="29" t="s">
        <v>2983</v>
      </c>
    </row>
    <row r="1696" spans="1:22" ht="15" customHeight="1" x14ac:dyDescent="0.25">
      <c r="A1696" t="s">
        <v>287</v>
      </c>
      <c r="B1696" t="s">
        <v>2864</v>
      </c>
      <c r="C1696" t="s">
        <v>2925</v>
      </c>
      <c r="D1696" t="s">
        <v>2926</v>
      </c>
      <c r="E1696" t="s">
        <v>480</v>
      </c>
      <c r="F1696" s="5">
        <v>269</v>
      </c>
      <c r="G1696" t="s">
        <v>943</v>
      </c>
      <c r="H1696" s="3">
        <v>74</v>
      </c>
      <c r="I1696" s="3">
        <v>32</v>
      </c>
      <c r="J1696" s="3">
        <v>45</v>
      </c>
      <c r="K1696" s="3">
        <v>6</v>
      </c>
      <c r="L1696">
        <f t="shared" si="267"/>
        <v>0.10656</v>
      </c>
      <c r="M1696">
        <f t="shared" si="265"/>
        <v>1.5984</v>
      </c>
      <c r="N1696" s="8">
        <v>15</v>
      </c>
      <c r="O1696" s="14">
        <f t="shared" si="268"/>
        <v>4035</v>
      </c>
      <c r="P1696" s="8">
        <v>30</v>
      </c>
      <c r="Q1696" s="8">
        <f t="shared" si="270"/>
        <v>0.5</v>
      </c>
      <c r="R1696" s="8">
        <f t="shared" si="271"/>
        <v>15</v>
      </c>
      <c r="S1696" s="8">
        <f t="shared" si="269"/>
        <v>15.5</v>
      </c>
      <c r="T1696" s="18">
        <f t="shared" si="264"/>
        <v>2.9865881099005214</v>
      </c>
      <c r="U1696" s="20">
        <f t="shared" si="266"/>
        <v>3054.3867627901441</v>
      </c>
      <c r="V1696" s="29" t="s">
        <v>2983</v>
      </c>
    </row>
    <row r="1697" spans="1:22" ht="15" customHeight="1" x14ac:dyDescent="0.25">
      <c r="A1697" t="s">
        <v>287</v>
      </c>
      <c r="B1697" t="s">
        <v>2864</v>
      </c>
      <c r="C1697" t="s">
        <v>2930</v>
      </c>
      <c r="D1697" t="s">
        <v>2931</v>
      </c>
      <c r="E1697" t="s">
        <v>480</v>
      </c>
      <c r="F1697" s="5">
        <v>259</v>
      </c>
      <c r="G1697" t="s">
        <v>2932</v>
      </c>
      <c r="H1697" s="3">
        <v>69</v>
      </c>
      <c r="I1697" s="3">
        <v>46</v>
      </c>
      <c r="J1697" s="3">
        <v>51</v>
      </c>
      <c r="K1697" s="3">
        <v>3.6</v>
      </c>
      <c r="L1697">
        <f t="shared" si="267"/>
        <v>0.16187399999999999</v>
      </c>
      <c r="M1697">
        <f t="shared" si="265"/>
        <v>2.4281099999999998</v>
      </c>
      <c r="N1697" s="8">
        <v>15</v>
      </c>
      <c r="O1697" s="14">
        <f t="shared" si="268"/>
        <v>3885</v>
      </c>
      <c r="P1697" s="8">
        <v>30</v>
      </c>
      <c r="Q1697" s="8">
        <f t="shared" si="270"/>
        <v>0.5</v>
      </c>
      <c r="R1697" s="8">
        <f t="shared" si="271"/>
        <v>15</v>
      </c>
      <c r="S1697" s="8">
        <f t="shared" si="269"/>
        <v>15.5</v>
      </c>
      <c r="T1697" s="18">
        <f t="shared" si="264"/>
        <v>2.8755625296068215</v>
      </c>
      <c r="U1697" s="20">
        <f t="shared" si="266"/>
        <v>3057.2623253197507</v>
      </c>
      <c r="V1697" s="29" t="s">
        <v>2983</v>
      </c>
    </row>
    <row r="1698" spans="1:22" ht="15" customHeight="1" x14ac:dyDescent="0.25">
      <c r="A1698" t="s">
        <v>287</v>
      </c>
      <c r="B1698" t="s">
        <v>407</v>
      </c>
      <c r="C1698" t="s">
        <v>408</v>
      </c>
      <c r="D1698" t="s">
        <v>413</v>
      </c>
      <c r="E1698" t="s">
        <v>234</v>
      </c>
      <c r="F1698" s="5">
        <v>96.9</v>
      </c>
      <c r="G1698" t="s">
        <v>387</v>
      </c>
      <c r="H1698" s="3">
        <v>33</v>
      </c>
      <c r="I1698" s="3">
        <v>31</v>
      </c>
      <c r="J1698" s="3">
        <v>70</v>
      </c>
      <c r="K1698" s="3">
        <v>8.6</v>
      </c>
      <c r="L1698">
        <f t="shared" si="267"/>
        <v>7.1609999999999993E-2</v>
      </c>
      <c r="M1698">
        <f t="shared" si="265"/>
        <v>2.8643999999999998</v>
      </c>
      <c r="N1698" s="8">
        <v>40</v>
      </c>
      <c r="O1698" s="14">
        <f t="shared" si="268"/>
        <v>3876</v>
      </c>
      <c r="P1698" s="8">
        <v>40</v>
      </c>
      <c r="Q1698" s="8">
        <f t="shared" si="270"/>
        <v>1</v>
      </c>
      <c r="R1698" s="8">
        <f t="shared" si="271"/>
        <v>53.333333333333329</v>
      </c>
      <c r="S1698" s="8">
        <f t="shared" si="269"/>
        <v>54.333333333333329</v>
      </c>
      <c r="T1698" s="18">
        <f t="shared" si="264"/>
        <v>2.8689009947891995</v>
      </c>
      <c r="U1698" s="20">
        <f t="shared" si="266"/>
        <v>3060.1312263145401</v>
      </c>
      <c r="V1698" s="29" t="s">
        <v>2983</v>
      </c>
    </row>
    <row r="1699" spans="1:22" ht="15" customHeight="1" x14ac:dyDescent="0.25">
      <c r="A1699" t="s">
        <v>287</v>
      </c>
      <c r="B1699" t="s">
        <v>2864</v>
      </c>
      <c r="C1699" t="s">
        <v>2870</v>
      </c>
      <c r="D1699" t="s">
        <v>2871</v>
      </c>
      <c r="E1699" t="s">
        <v>480</v>
      </c>
      <c r="F1699" s="5">
        <v>379.9</v>
      </c>
      <c r="G1699" t="s">
        <v>2872</v>
      </c>
      <c r="H1699" s="3">
        <v>915</v>
      </c>
      <c r="I1699" s="3">
        <v>685</v>
      </c>
      <c r="J1699" s="3">
        <v>1325.5</v>
      </c>
      <c r="K1699" s="3">
        <v>17.5</v>
      </c>
      <c r="L1699">
        <f t="shared" si="267"/>
        <v>830.79026250000004</v>
      </c>
      <c r="M1699">
        <f t="shared" si="265"/>
        <v>8307.9026250000006</v>
      </c>
      <c r="N1699" s="8">
        <v>10</v>
      </c>
      <c r="O1699" s="14">
        <f t="shared" si="268"/>
        <v>3799</v>
      </c>
      <c r="P1699" s="8">
        <v>30</v>
      </c>
      <c r="Q1699" s="8">
        <f t="shared" si="270"/>
        <v>0.33333333333333331</v>
      </c>
      <c r="R1699" s="8">
        <f t="shared" si="271"/>
        <v>10</v>
      </c>
      <c r="S1699" s="8">
        <f t="shared" si="269"/>
        <v>10.333333333333334</v>
      </c>
      <c r="T1699" s="18">
        <f t="shared" si="264"/>
        <v>2.8119078635717671</v>
      </c>
      <c r="U1699" s="20">
        <f t="shared" si="266"/>
        <v>3062.9431341781119</v>
      </c>
      <c r="V1699" s="29" t="s">
        <v>2983</v>
      </c>
    </row>
    <row r="1700" spans="1:22" ht="15" customHeight="1" x14ac:dyDescent="0.25">
      <c r="A1700" t="s">
        <v>287</v>
      </c>
      <c r="B1700" t="s">
        <v>2864</v>
      </c>
      <c r="C1700" t="s">
        <v>2879</v>
      </c>
      <c r="D1700" t="s">
        <v>2880</v>
      </c>
      <c r="E1700" t="s">
        <v>480</v>
      </c>
      <c r="F1700" s="5">
        <v>744.14</v>
      </c>
      <c r="G1700" t="s">
        <v>2869</v>
      </c>
      <c r="H1700" s="3">
        <v>1222</v>
      </c>
      <c r="I1700" s="3">
        <v>860</v>
      </c>
      <c r="J1700" s="3">
        <v>1363</v>
      </c>
      <c r="K1700" s="3">
        <v>27</v>
      </c>
      <c r="L1700">
        <f t="shared" si="267"/>
        <v>1432.4039600000001</v>
      </c>
      <c r="M1700">
        <f t="shared" si="265"/>
        <v>7162.0198</v>
      </c>
      <c r="N1700" s="8">
        <v>5</v>
      </c>
      <c r="O1700" s="14">
        <f t="shared" si="268"/>
        <v>3720.7</v>
      </c>
      <c r="P1700" s="8">
        <v>30</v>
      </c>
      <c r="Q1700" s="8">
        <f t="shared" si="270"/>
        <v>0.16666666666666666</v>
      </c>
      <c r="R1700" s="8">
        <f t="shared" si="271"/>
        <v>5</v>
      </c>
      <c r="S1700" s="8">
        <f t="shared" si="269"/>
        <v>5.166666666666667</v>
      </c>
      <c r="T1700" s="18">
        <f t="shared" si="264"/>
        <v>2.7539525106584555</v>
      </c>
      <c r="U1700" s="20">
        <f t="shared" si="266"/>
        <v>3065.6970866887705</v>
      </c>
      <c r="V1700" s="29" t="s">
        <v>2983</v>
      </c>
    </row>
    <row r="1701" spans="1:22" ht="15" customHeight="1" x14ac:dyDescent="0.25">
      <c r="A1701" t="s">
        <v>287</v>
      </c>
      <c r="B1701" t="s">
        <v>479</v>
      </c>
      <c r="C1701" t="s">
        <v>2819</v>
      </c>
      <c r="D1701" t="s">
        <v>510</v>
      </c>
      <c r="E1701" t="s">
        <v>480</v>
      </c>
      <c r="F1701" s="5">
        <v>449</v>
      </c>
      <c r="G1701" t="s">
        <v>511</v>
      </c>
      <c r="H1701" s="3">
        <v>84</v>
      </c>
      <c r="I1701" s="3">
        <v>63</v>
      </c>
      <c r="J1701" s="3">
        <v>59</v>
      </c>
      <c r="K1701" s="3">
        <v>5</v>
      </c>
      <c r="L1701">
        <f t="shared" si="267"/>
        <v>0.31222800000000001</v>
      </c>
      <c r="M1701">
        <f t="shared" si="265"/>
        <v>2.497824</v>
      </c>
      <c r="N1701" s="8">
        <v>8</v>
      </c>
      <c r="O1701" s="14">
        <f t="shared" si="268"/>
        <v>3592</v>
      </c>
      <c r="P1701" s="8">
        <v>40</v>
      </c>
      <c r="Q1701" s="8">
        <f t="shared" si="270"/>
        <v>0.2</v>
      </c>
      <c r="R1701" s="8">
        <f t="shared" si="271"/>
        <v>10.666666666666666</v>
      </c>
      <c r="S1701" s="8">
        <f t="shared" si="269"/>
        <v>10.866666666666665</v>
      </c>
      <c r="T1701" s="18">
        <f t="shared" si="264"/>
        <v>2.6586925627664613</v>
      </c>
      <c r="U1701" s="20">
        <f t="shared" si="266"/>
        <v>3068.3557792515371</v>
      </c>
      <c r="V1701" s="29" t="s">
        <v>2983</v>
      </c>
    </row>
    <row r="1702" spans="1:22" ht="15" customHeight="1" x14ac:dyDescent="0.25">
      <c r="A1702" t="s">
        <v>287</v>
      </c>
      <c r="B1702" t="s">
        <v>2738</v>
      </c>
      <c r="C1702" t="s">
        <v>2765</v>
      </c>
      <c r="D1702" t="s">
        <v>2767</v>
      </c>
      <c r="E1702" t="s">
        <v>480</v>
      </c>
      <c r="F1702" s="5">
        <v>239</v>
      </c>
      <c r="G1702" t="s">
        <v>387</v>
      </c>
      <c r="H1702" s="3">
        <v>136</v>
      </c>
      <c r="I1702" s="3">
        <v>92</v>
      </c>
      <c r="J1702" s="3">
        <v>48</v>
      </c>
      <c r="K1702" s="3">
        <v>28.5</v>
      </c>
      <c r="L1702">
        <f t="shared" si="267"/>
        <v>0.600576</v>
      </c>
      <c r="M1702">
        <f t="shared" si="265"/>
        <v>9.0086399999999998</v>
      </c>
      <c r="N1702" s="8">
        <v>15</v>
      </c>
      <c r="O1702" s="14">
        <f t="shared" si="268"/>
        <v>3585</v>
      </c>
      <c r="P1702" s="8">
        <v>40</v>
      </c>
      <c r="Q1702" s="8">
        <f t="shared" si="270"/>
        <v>0.375</v>
      </c>
      <c r="R1702" s="8">
        <f t="shared" si="271"/>
        <v>20</v>
      </c>
      <c r="S1702" s="8">
        <f t="shared" si="269"/>
        <v>20.375</v>
      </c>
      <c r="T1702" s="18">
        <f t="shared" si="264"/>
        <v>2.6535113690194221</v>
      </c>
      <c r="U1702" s="20">
        <f t="shared" si="266"/>
        <v>3071.0092906205564</v>
      </c>
      <c r="V1702" s="29" t="s">
        <v>2983</v>
      </c>
    </row>
    <row r="1703" spans="1:22" ht="15" customHeight="1" x14ac:dyDescent="0.25">
      <c r="A1703" t="s">
        <v>287</v>
      </c>
      <c r="B1703" t="s">
        <v>2864</v>
      </c>
      <c r="C1703" t="s">
        <v>2922</v>
      </c>
      <c r="D1703" t="s">
        <v>2923</v>
      </c>
      <c r="E1703" t="s">
        <v>480</v>
      </c>
      <c r="F1703" s="5">
        <v>229.9</v>
      </c>
      <c r="G1703" t="s">
        <v>2924</v>
      </c>
      <c r="H1703" s="3">
        <v>93</v>
      </c>
      <c r="I1703" s="3">
        <v>75</v>
      </c>
      <c r="J1703" s="3">
        <v>52</v>
      </c>
      <c r="K1703" s="3">
        <v>7.5</v>
      </c>
      <c r="L1703">
        <f t="shared" si="267"/>
        <v>0.36270000000000002</v>
      </c>
      <c r="M1703">
        <f t="shared" si="265"/>
        <v>5.4405000000000001</v>
      </c>
      <c r="N1703" s="8">
        <v>15</v>
      </c>
      <c r="O1703" s="14">
        <f t="shared" si="268"/>
        <v>3448.5</v>
      </c>
      <c r="P1703" s="8">
        <v>30</v>
      </c>
      <c r="Q1703" s="8">
        <f t="shared" si="270"/>
        <v>0.5</v>
      </c>
      <c r="R1703" s="8">
        <f t="shared" si="271"/>
        <v>15</v>
      </c>
      <c r="S1703" s="8">
        <f t="shared" si="269"/>
        <v>15.5</v>
      </c>
      <c r="T1703" s="18">
        <f t="shared" si="264"/>
        <v>2.5524780909521554</v>
      </c>
      <c r="U1703" s="20">
        <f t="shared" si="266"/>
        <v>3073.5617687115086</v>
      </c>
      <c r="V1703" s="29" t="s">
        <v>2983</v>
      </c>
    </row>
    <row r="1704" spans="1:22" ht="15" customHeight="1" x14ac:dyDescent="0.25">
      <c r="A1704" t="s">
        <v>287</v>
      </c>
      <c r="B1704" t="s">
        <v>2864</v>
      </c>
      <c r="C1704" t="s">
        <v>2918</v>
      </c>
      <c r="D1704" t="s">
        <v>2919</v>
      </c>
      <c r="E1704" t="s">
        <v>480</v>
      </c>
      <c r="F1704" s="5">
        <v>225</v>
      </c>
      <c r="G1704" t="s">
        <v>2878</v>
      </c>
      <c r="H1704" s="3">
        <v>100</v>
      </c>
      <c r="I1704" s="3">
        <v>71</v>
      </c>
      <c r="J1704" s="3">
        <v>79</v>
      </c>
      <c r="K1704" s="3">
        <v>6.3</v>
      </c>
      <c r="L1704">
        <f t="shared" si="267"/>
        <v>0.56089999999999995</v>
      </c>
      <c r="M1704">
        <f t="shared" si="265"/>
        <v>8.4134999999999991</v>
      </c>
      <c r="N1704" s="8">
        <v>15</v>
      </c>
      <c r="O1704" s="14">
        <f t="shared" si="268"/>
        <v>3375</v>
      </c>
      <c r="P1704" s="8">
        <v>30</v>
      </c>
      <c r="Q1704" s="8">
        <f t="shared" si="270"/>
        <v>0.5</v>
      </c>
      <c r="R1704" s="8">
        <f t="shared" si="271"/>
        <v>15</v>
      </c>
      <c r="S1704" s="8">
        <f t="shared" si="269"/>
        <v>15.5</v>
      </c>
      <c r="T1704" s="18">
        <f t="shared" si="264"/>
        <v>2.4980755566082427</v>
      </c>
      <c r="U1704" s="20">
        <f t="shared" si="266"/>
        <v>3076.0598442681171</v>
      </c>
      <c r="V1704" s="29" t="s">
        <v>2983</v>
      </c>
    </row>
    <row r="1705" spans="1:22" ht="15" customHeight="1" x14ac:dyDescent="0.25">
      <c r="A1705" t="s">
        <v>287</v>
      </c>
      <c r="B1705" t="s">
        <v>479</v>
      </c>
      <c r="C1705" t="s">
        <v>2819</v>
      </c>
      <c r="D1705" t="s">
        <v>517</v>
      </c>
      <c r="E1705" t="s">
        <v>480</v>
      </c>
      <c r="F1705" s="5">
        <v>419.9</v>
      </c>
      <c r="G1705" t="s">
        <v>496</v>
      </c>
      <c r="H1705" s="3">
        <v>99</v>
      </c>
      <c r="I1705" s="3">
        <v>61</v>
      </c>
      <c r="J1705" s="3">
        <v>51</v>
      </c>
      <c r="K1705" s="3">
        <v>6</v>
      </c>
      <c r="L1705">
        <f t="shared" si="267"/>
        <v>0.30798900000000001</v>
      </c>
      <c r="M1705">
        <f t="shared" si="265"/>
        <v>2.4639120000000001</v>
      </c>
      <c r="N1705" s="8">
        <v>8</v>
      </c>
      <c r="O1705" s="14">
        <f t="shared" si="268"/>
        <v>3359.2</v>
      </c>
      <c r="P1705" s="8">
        <v>40</v>
      </c>
      <c r="Q1705" s="8">
        <f t="shared" si="270"/>
        <v>0.2</v>
      </c>
      <c r="R1705" s="8">
        <f t="shared" si="271"/>
        <v>10.666666666666666</v>
      </c>
      <c r="S1705" s="8">
        <f t="shared" si="269"/>
        <v>10.866666666666665</v>
      </c>
      <c r="T1705" s="18">
        <f t="shared" si="264"/>
        <v>2.4863808621506394</v>
      </c>
      <c r="U1705" s="20">
        <f t="shared" si="266"/>
        <v>3078.5462251302679</v>
      </c>
      <c r="V1705" s="29" t="s">
        <v>2983</v>
      </c>
    </row>
    <row r="1706" spans="1:22" ht="15" customHeight="1" x14ac:dyDescent="0.25">
      <c r="A1706" t="s">
        <v>287</v>
      </c>
      <c r="B1706" t="s">
        <v>479</v>
      </c>
      <c r="C1706" t="s">
        <v>2819</v>
      </c>
      <c r="D1706" t="s">
        <v>2820</v>
      </c>
      <c r="E1706" t="s">
        <v>480</v>
      </c>
      <c r="F1706" s="5">
        <v>419</v>
      </c>
      <c r="G1706" t="s">
        <v>509</v>
      </c>
      <c r="H1706" s="3">
        <v>95</v>
      </c>
      <c r="I1706" s="3">
        <v>61</v>
      </c>
      <c r="J1706" s="3">
        <v>51</v>
      </c>
      <c r="K1706" s="3">
        <v>6</v>
      </c>
      <c r="L1706">
        <f t="shared" si="267"/>
        <v>0.295545</v>
      </c>
      <c r="M1706">
        <f t="shared" si="265"/>
        <v>2.36436</v>
      </c>
      <c r="N1706" s="8">
        <v>8</v>
      </c>
      <c r="O1706" s="14">
        <f t="shared" si="268"/>
        <v>3352</v>
      </c>
      <c r="P1706" s="8">
        <v>40</v>
      </c>
      <c r="Q1706" s="8">
        <f t="shared" si="270"/>
        <v>0.2</v>
      </c>
      <c r="R1706" s="8">
        <f t="shared" si="271"/>
        <v>10.666666666666666</v>
      </c>
      <c r="S1706" s="8">
        <f t="shared" si="269"/>
        <v>10.866666666666665</v>
      </c>
      <c r="T1706" s="18">
        <f t="shared" si="264"/>
        <v>2.4810516342965419</v>
      </c>
      <c r="U1706" s="20">
        <f t="shared" si="266"/>
        <v>3081.0272767645642</v>
      </c>
      <c r="V1706" s="29" t="s">
        <v>2983</v>
      </c>
    </row>
    <row r="1707" spans="1:22" ht="15" customHeight="1" x14ac:dyDescent="0.25">
      <c r="A1707" t="s">
        <v>287</v>
      </c>
      <c r="B1707" t="s">
        <v>479</v>
      </c>
      <c r="C1707" t="s">
        <v>2793</v>
      </c>
      <c r="D1707" t="s">
        <v>2800</v>
      </c>
      <c r="E1707" t="s">
        <v>480</v>
      </c>
      <c r="F1707" s="5">
        <v>103.92</v>
      </c>
      <c r="G1707" t="s">
        <v>488</v>
      </c>
      <c r="H1707" s="3">
        <v>42</v>
      </c>
      <c r="I1707" s="3">
        <v>50</v>
      </c>
      <c r="J1707" s="3">
        <v>85</v>
      </c>
      <c r="K1707" s="3">
        <v>11</v>
      </c>
      <c r="L1707">
        <f t="shared" si="267"/>
        <v>0.17849999999999999</v>
      </c>
      <c r="M1707">
        <f t="shared" si="265"/>
        <v>5.7119999999999997</v>
      </c>
      <c r="N1707" s="8">
        <v>32</v>
      </c>
      <c r="O1707" s="14">
        <f t="shared" si="268"/>
        <v>3325.44</v>
      </c>
      <c r="P1707" s="8">
        <v>40</v>
      </c>
      <c r="Q1707" s="8">
        <f t="shared" si="270"/>
        <v>0.8</v>
      </c>
      <c r="R1707" s="8">
        <f t="shared" si="271"/>
        <v>42.666666666666664</v>
      </c>
      <c r="S1707" s="8">
        <f t="shared" si="269"/>
        <v>43.466666666666661</v>
      </c>
      <c r="T1707" s="18">
        <f t="shared" si="264"/>
        <v>2.4613927048792044</v>
      </c>
      <c r="U1707" s="20">
        <f t="shared" si="266"/>
        <v>3083.4886694694433</v>
      </c>
      <c r="V1707" s="29" t="s">
        <v>2983</v>
      </c>
    </row>
    <row r="1708" spans="1:22" ht="15" customHeight="1" x14ac:dyDescent="0.25">
      <c r="A1708" t="s">
        <v>287</v>
      </c>
      <c r="B1708" t="s">
        <v>2864</v>
      </c>
      <c r="C1708" t="s">
        <v>2933</v>
      </c>
      <c r="D1708" t="s">
        <v>2934</v>
      </c>
      <c r="E1708" t="s">
        <v>480</v>
      </c>
      <c r="F1708" s="5">
        <v>219</v>
      </c>
      <c r="G1708" t="s">
        <v>2935</v>
      </c>
      <c r="H1708" s="3">
        <v>70</v>
      </c>
      <c r="I1708" s="3">
        <v>45</v>
      </c>
      <c r="J1708" s="3">
        <v>55</v>
      </c>
      <c r="K1708" s="3">
        <v>4</v>
      </c>
      <c r="L1708">
        <f t="shared" si="267"/>
        <v>0.17324999999999999</v>
      </c>
      <c r="M1708">
        <f t="shared" si="265"/>
        <v>2.5987499999999999</v>
      </c>
      <c r="N1708" s="8">
        <v>15</v>
      </c>
      <c r="O1708" s="14">
        <f t="shared" si="268"/>
        <v>3285</v>
      </c>
      <c r="P1708" s="8">
        <v>30</v>
      </c>
      <c r="Q1708" s="8">
        <f t="shared" si="270"/>
        <v>0.5</v>
      </c>
      <c r="R1708" s="8">
        <f t="shared" si="271"/>
        <v>15</v>
      </c>
      <c r="S1708" s="8">
        <f t="shared" si="269"/>
        <v>15.5</v>
      </c>
      <c r="T1708" s="18">
        <f t="shared" si="264"/>
        <v>2.4314602084320227</v>
      </c>
      <c r="U1708" s="20">
        <f t="shared" si="266"/>
        <v>3085.9201296778751</v>
      </c>
      <c r="V1708" s="29" t="s">
        <v>2983</v>
      </c>
    </row>
    <row r="1709" spans="1:22" ht="15" customHeight="1" x14ac:dyDescent="0.25">
      <c r="A1709" t="s">
        <v>287</v>
      </c>
      <c r="B1709" t="s">
        <v>407</v>
      </c>
      <c r="C1709" t="s">
        <v>408</v>
      </c>
      <c r="D1709" t="s">
        <v>411</v>
      </c>
      <c r="E1709" t="s">
        <v>234</v>
      </c>
      <c r="F1709" s="5">
        <v>76.400000000000006</v>
      </c>
      <c r="G1709" t="s">
        <v>387</v>
      </c>
      <c r="H1709" s="3">
        <v>33</v>
      </c>
      <c r="I1709" s="3">
        <v>31</v>
      </c>
      <c r="J1709" s="3">
        <v>70</v>
      </c>
      <c r="K1709" s="3">
        <v>9</v>
      </c>
      <c r="L1709">
        <f t="shared" si="267"/>
        <v>7.1609999999999993E-2</v>
      </c>
      <c r="M1709">
        <f t="shared" si="265"/>
        <v>2.8643999999999998</v>
      </c>
      <c r="N1709" s="8">
        <v>40</v>
      </c>
      <c r="O1709" s="14">
        <f t="shared" si="268"/>
        <v>3056</v>
      </c>
      <c r="P1709" s="8">
        <v>40</v>
      </c>
      <c r="Q1709" s="8">
        <f t="shared" si="270"/>
        <v>1</v>
      </c>
      <c r="R1709" s="8">
        <f t="shared" si="271"/>
        <v>53.333333333333329</v>
      </c>
      <c r="S1709" s="8">
        <f t="shared" si="269"/>
        <v>54.333333333333329</v>
      </c>
      <c r="T1709" s="18">
        <f t="shared" si="264"/>
        <v>2.2619611558503081</v>
      </c>
      <c r="U1709" s="20">
        <f t="shared" si="266"/>
        <v>3088.1820908337254</v>
      </c>
      <c r="V1709" s="29" t="s">
        <v>2983</v>
      </c>
    </row>
    <row r="1710" spans="1:22" ht="15" customHeight="1" x14ac:dyDescent="0.25">
      <c r="A1710" t="s">
        <v>287</v>
      </c>
      <c r="B1710" t="s">
        <v>2738</v>
      </c>
      <c r="C1710" t="s">
        <v>2765</v>
      </c>
      <c r="D1710" t="s">
        <v>2766</v>
      </c>
      <c r="E1710" t="s">
        <v>480</v>
      </c>
      <c r="F1710" s="5">
        <v>199</v>
      </c>
      <c r="G1710" t="s">
        <v>387</v>
      </c>
      <c r="H1710" s="3">
        <v>114</v>
      </c>
      <c r="I1710" s="3">
        <v>94</v>
      </c>
      <c r="J1710" s="3">
        <v>46</v>
      </c>
      <c r="K1710" s="3">
        <v>30</v>
      </c>
      <c r="L1710">
        <f t="shared" si="267"/>
        <v>0.49293599999999999</v>
      </c>
      <c r="M1710">
        <f t="shared" si="265"/>
        <v>7.3940399999999995</v>
      </c>
      <c r="N1710" s="8">
        <v>15</v>
      </c>
      <c r="O1710" s="14">
        <f t="shared" si="268"/>
        <v>2985</v>
      </c>
      <c r="P1710" s="8">
        <v>40</v>
      </c>
      <c r="Q1710" s="8">
        <f t="shared" si="270"/>
        <v>0.375</v>
      </c>
      <c r="R1710" s="8">
        <f t="shared" si="271"/>
        <v>20</v>
      </c>
      <c r="S1710" s="8">
        <f t="shared" si="269"/>
        <v>20.375</v>
      </c>
      <c r="T1710" s="18">
        <f t="shared" si="264"/>
        <v>2.2094090478446233</v>
      </c>
      <c r="U1710" s="20">
        <f t="shared" si="266"/>
        <v>3090.3914998815699</v>
      </c>
      <c r="V1710" s="29" t="s">
        <v>2983</v>
      </c>
    </row>
    <row r="1711" spans="1:22" ht="15" customHeight="1" x14ac:dyDescent="0.25">
      <c r="A1711" t="s">
        <v>287</v>
      </c>
      <c r="B1711" t="s">
        <v>2738</v>
      </c>
      <c r="C1711" t="s">
        <v>2765</v>
      </c>
      <c r="D1711" t="s">
        <v>2768</v>
      </c>
      <c r="E1711" t="s">
        <v>480</v>
      </c>
      <c r="F1711" s="5">
        <v>190.9</v>
      </c>
      <c r="G1711" t="s">
        <v>387</v>
      </c>
      <c r="H1711" s="3">
        <v>148</v>
      </c>
      <c r="I1711" s="3">
        <v>102</v>
      </c>
      <c r="J1711" s="3">
        <v>46</v>
      </c>
      <c r="K1711" s="3">
        <v>58.6</v>
      </c>
      <c r="L1711">
        <f t="shared" si="267"/>
        <v>0.69441600000000003</v>
      </c>
      <c r="M1711">
        <f t="shared" si="265"/>
        <v>10.41624</v>
      </c>
      <c r="N1711" s="8">
        <v>15</v>
      </c>
      <c r="O1711" s="14">
        <f t="shared" si="268"/>
        <v>2863.5</v>
      </c>
      <c r="P1711" s="8">
        <v>40</v>
      </c>
      <c r="Q1711" s="8">
        <f t="shared" si="270"/>
        <v>0.375</v>
      </c>
      <c r="R1711" s="8">
        <f t="shared" si="271"/>
        <v>20</v>
      </c>
      <c r="S1711" s="8">
        <f t="shared" si="269"/>
        <v>20.375</v>
      </c>
      <c r="T1711" s="18">
        <f t="shared" si="264"/>
        <v>2.1194783278067266</v>
      </c>
      <c r="U1711" s="20">
        <f t="shared" si="266"/>
        <v>3092.5109782093764</v>
      </c>
      <c r="V1711" s="29" t="s">
        <v>2983</v>
      </c>
    </row>
    <row r="1712" spans="1:22" ht="15" customHeight="1" x14ac:dyDescent="0.25">
      <c r="A1712" t="s">
        <v>287</v>
      </c>
      <c r="B1712" t="s">
        <v>2864</v>
      </c>
      <c r="C1712" t="s">
        <v>2903</v>
      </c>
      <c r="D1712" t="s">
        <v>2904</v>
      </c>
      <c r="E1712" t="s">
        <v>480</v>
      </c>
      <c r="F1712" s="5">
        <v>189.9</v>
      </c>
      <c r="G1712" t="s">
        <v>2905</v>
      </c>
      <c r="H1712" s="3">
        <v>38</v>
      </c>
      <c r="I1712" s="3">
        <v>83.3</v>
      </c>
      <c r="J1712" s="3">
        <v>181</v>
      </c>
      <c r="K1712" s="3">
        <v>55</v>
      </c>
      <c r="L1712">
        <f t="shared" si="267"/>
        <v>0.57293740000000004</v>
      </c>
      <c r="M1712">
        <f t="shared" si="265"/>
        <v>8.594061</v>
      </c>
      <c r="N1712" s="8">
        <v>15</v>
      </c>
      <c r="O1712" s="14">
        <f t="shared" si="268"/>
        <v>2848.5</v>
      </c>
      <c r="P1712" s="8">
        <v>30</v>
      </c>
      <c r="Q1712" s="8">
        <f t="shared" si="270"/>
        <v>0.5</v>
      </c>
      <c r="R1712" s="8">
        <f t="shared" si="271"/>
        <v>15</v>
      </c>
      <c r="S1712" s="8">
        <f t="shared" si="269"/>
        <v>15.5</v>
      </c>
      <c r="T1712" s="18">
        <f t="shared" si="264"/>
        <v>2.1083757697773566</v>
      </c>
      <c r="U1712" s="20">
        <f t="shared" si="266"/>
        <v>3094.6193539791539</v>
      </c>
      <c r="V1712" s="29" t="s">
        <v>2983</v>
      </c>
    </row>
    <row r="1713" spans="1:22" ht="15" customHeight="1" x14ac:dyDescent="0.25">
      <c r="A1713" t="s">
        <v>287</v>
      </c>
      <c r="B1713" t="s">
        <v>2864</v>
      </c>
      <c r="C1713" t="s">
        <v>2916</v>
      </c>
      <c r="D1713" t="s">
        <v>2917</v>
      </c>
      <c r="E1713" t="s">
        <v>480</v>
      </c>
      <c r="F1713" s="5">
        <v>203.15</v>
      </c>
      <c r="G1713" t="s">
        <v>2885</v>
      </c>
      <c r="H1713" s="3">
        <v>96</v>
      </c>
      <c r="I1713" s="3">
        <v>80</v>
      </c>
      <c r="J1713" s="3">
        <v>55</v>
      </c>
      <c r="K1713" s="3">
        <v>8</v>
      </c>
      <c r="L1713">
        <f t="shared" si="267"/>
        <v>0.4224</v>
      </c>
      <c r="M1713">
        <f t="shared" si="265"/>
        <v>5.9135999999999997</v>
      </c>
      <c r="N1713" s="8">
        <v>14</v>
      </c>
      <c r="O1713" s="14">
        <f t="shared" si="268"/>
        <v>2844.1</v>
      </c>
      <c r="P1713" s="8">
        <v>30</v>
      </c>
      <c r="Q1713" s="8">
        <f t="shared" si="270"/>
        <v>0.46666666666666667</v>
      </c>
      <c r="R1713" s="8">
        <f t="shared" si="271"/>
        <v>14</v>
      </c>
      <c r="S1713" s="8">
        <f t="shared" si="269"/>
        <v>14.466666666666667</v>
      </c>
      <c r="T1713" s="18">
        <f t="shared" si="264"/>
        <v>2.1051190194220748</v>
      </c>
      <c r="U1713" s="20">
        <f t="shared" si="266"/>
        <v>3096.7244729985759</v>
      </c>
      <c r="V1713" s="29" t="s">
        <v>2983</v>
      </c>
    </row>
    <row r="1714" spans="1:22" ht="15" customHeight="1" x14ac:dyDescent="0.25">
      <c r="A1714" t="s">
        <v>287</v>
      </c>
      <c r="B1714" t="s">
        <v>2864</v>
      </c>
      <c r="C1714" t="s">
        <v>2920</v>
      </c>
      <c r="D1714" t="s">
        <v>2921</v>
      </c>
      <c r="E1714" t="s">
        <v>480</v>
      </c>
      <c r="F1714" s="5">
        <v>203.15</v>
      </c>
      <c r="G1714" t="s">
        <v>2885</v>
      </c>
      <c r="H1714" s="3">
        <v>96</v>
      </c>
      <c r="I1714" s="3">
        <v>80</v>
      </c>
      <c r="J1714" s="3">
        <v>55</v>
      </c>
      <c r="K1714" s="3">
        <v>8</v>
      </c>
      <c r="L1714">
        <f t="shared" si="267"/>
        <v>0.4224</v>
      </c>
      <c r="M1714">
        <f t="shared" si="265"/>
        <v>5.9135999999999997</v>
      </c>
      <c r="N1714" s="8">
        <v>14</v>
      </c>
      <c r="O1714" s="14">
        <f t="shared" si="268"/>
        <v>2844.1</v>
      </c>
      <c r="P1714" s="8">
        <v>30</v>
      </c>
      <c r="Q1714" s="8">
        <f t="shared" si="270"/>
        <v>0.46666666666666667</v>
      </c>
      <c r="R1714" s="8">
        <f t="shared" si="271"/>
        <v>14</v>
      </c>
      <c r="S1714" s="8">
        <f t="shared" si="269"/>
        <v>14.466666666666667</v>
      </c>
      <c r="T1714" s="18">
        <f t="shared" si="264"/>
        <v>2.1051190194220748</v>
      </c>
      <c r="U1714" s="20">
        <f t="shared" si="266"/>
        <v>3098.829592017998</v>
      </c>
      <c r="V1714" s="29" t="s">
        <v>2983</v>
      </c>
    </row>
    <row r="1715" spans="1:22" ht="15" customHeight="1" x14ac:dyDescent="0.25">
      <c r="A1715" t="s">
        <v>287</v>
      </c>
      <c r="B1715" t="s">
        <v>2738</v>
      </c>
      <c r="C1715" t="s">
        <v>2769</v>
      </c>
      <c r="D1715" t="s">
        <v>2776</v>
      </c>
      <c r="E1715" t="s">
        <v>480</v>
      </c>
      <c r="F1715" s="5">
        <v>185</v>
      </c>
      <c r="G1715" t="s">
        <v>2763</v>
      </c>
      <c r="H1715" s="3">
        <v>37</v>
      </c>
      <c r="I1715" s="3">
        <v>48</v>
      </c>
      <c r="J1715" s="3">
        <v>32</v>
      </c>
      <c r="K1715" s="3">
        <v>17</v>
      </c>
      <c r="L1715">
        <f t="shared" si="267"/>
        <v>5.6832000000000001E-2</v>
      </c>
      <c r="M1715">
        <f t="shared" si="265"/>
        <v>0.85248000000000002</v>
      </c>
      <c r="N1715" s="8">
        <v>15</v>
      </c>
      <c r="O1715" s="14">
        <f t="shared" si="268"/>
        <v>2775</v>
      </c>
      <c r="P1715" s="8">
        <v>40</v>
      </c>
      <c r="Q1715" s="8">
        <f t="shared" si="270"/>
        <v>0.375</v>
      </c>
      <c r="R1715" s="8">
        <f t="shared" si="271"/>
        <v>20</v>
      </c>
      <c r="S1715" s="8">
        <f t="shared" si="269"/>
        <v>20.375</v>
      </c>
      <c r="T1715" s="18">
        <f t="shared" si="264"/>
        <v>2.0539732354334439</v>
      </c>
      <c r="U1715" s="20">
        <f t="shared" si="266"/>
        <v>3100.8835652534317</v>
      </c>
      <c r="V1715" s="29" t="s">
        <v>2983</v>
      </c>
    </row>
    <row r="1716" spans="1:22" ht="15" customHeight="1" x14ac:dyDescent="0.25">
      <c r="A1716" t="s">
        <v>287</v>
      </c>
      <c r="B1716" t="s">
        <v>479</v>
      </c>
      <c r="C1716" t="s">
        <v>2819</v>
      </c>
      <c r="D1716" t="s">
        <v>514</v>
      </c>
      <c r="E1716" t="s">
        <v>480</v>
      </c>
      <c r="F1716" s="5">
        <v>329.9</v>
      </c>
      <c r="G1716" t="s">
        <v>515</v>
      </c>
      <c r="H1716" s="3">
        <v>45</v>
      </c>
      <c r="I1716" s="3">
        <v>101</v>
      </c>
      <c r="J1716" s="3">
        <v>51</v>
      </c>
      <c r="K1716" s="3">
        <v>6</v>
      </c>
      <c r="L1716">
        <f t="shared" si="267"/>
        <v>0.231795</v>
      </c>
      <c r="M1716">
        <f t="shared" si="265"/>
        <v>1.85436</v>
      </c>
      <c r="N1716" s="8">
        <v>8</v>
      </c>
      <c r="O1716" s="14">
        <f t="shared" si="268"/>
        <v>2639.2</v>
      </c>
      <c r="P1716" s="8">
        <v>40</v>
      </c>
      <c r="Q1716" s="8">
        <f t="shared" si="270"/>
        <v>0.2</v>
      </c>
      <c r="R1716" s="8">
        <f t="shared" si="271"/>
        <v>10.666666666666666</v>
      </c>
      <c r="S1716" s="8">
        <f t="shared" si="269"/>
        <v>10.866666666666665</v>
      </c>
      <c r="T1716" s="18">
        <f t="shared" si="264"/>
        <v>1.9534580767408811</v>
      </c>
      <c r="U1716" s="20">
        <f t="shared" si="266"/>
        <v>3102.8370233301725</v>
      </c>
      <c r="V1716" s="29" t="s">
        <v>2983</v>
      </c>
    </row>
    <row r="1717" spans="1:22" ht="15" customHeight="1" x14ac:dyDescent="0.25">
      <c r="A1717" t="s">
        <v>287</v>
      </c>
      <c r="B1717" t="s">
        <v>2738</v>
      </c>
      <c r="C1717" t="s">
        <v>2769</v>
      </c>
      <c r="D1717" t="s">
        <v>2777</v>
      </c>
      <c r="E1717" t="s">
        <v>480</v>
      </c>
      <c r="F1717" s="5">
        <v>163</v>
      </c>
      <c r="G1717" t="s">
        <v>2763</v>
      </c>
      <c r="H1717" s="3">
        <v>43</v>
      </c>
      <c r="I1717" s="3">
        <v>52</v>
      </c>
      <c r="J1717" s="3">
        <v>41</v>
      </c>
      <c r="K1717" s="3">
        <v>15.3</v>
      </c>
      <c r="L1717">
        <f t="shared" si="267"/>
        <v>9.1675999999999994E-2</v>
      </c>
      <c r="M1717">
        <f t="shared" si="265"/>
        <v>1.3751399999999998</v>
      </c>
      <c r="N1717" s="8">
        <v>15</v>
      </c>
      <c r="O1717" s="14">
        <f t="shared" si="268"/>
        <v>2445</v>
      </c>
      <c r="P1717" s="8">
        <v>40</v>
      </c>
      <c r="Q1717" s="8">
        <f t="shared" si="270"/>
        <v>0.375</v>
      </c>
      <c r="R1717" s="8">
        <f t="shared" si="271"/>
        <v>20</v>
      </c>
      <c r="S1717" s="8">
        <f t="shared" si="269"/>
        <v>20.375</v>
      </c>
      <c r="T1717" s="18">
        <f t="shared" ref="T1717:T1746" si="272">O1717/O$1749</f>
        <v>1.8097169587873045</v>
      </c>
      <c r="U1717" s="20">
        <f t="shared" si="266"/>
        <v>3104.6467402889598</v>
      </c>
      <c r="V1717" s="29" t="s">
        <v>2983</v>
      </c>
    </row>
    <row r="1718" spans="1:22" ht="15" customHeight="1" x14ac:dyDescent="0.25">
      <c r="A1718" t="s">
        <v>287</v>
      </c>
      <c r="B1718" t="s">
        <v>2864</v>
      </c>
      <c r="C1718" t="s">
        <v>2873</v>
      </c>
      <c r="D1718" t="s">
        <v>2874</v>
      </c>
      <c r="E1718" t="s">
        <v>480</v>
      </c>
      <c r="F1718" s="5">
        <v>371.9</v>
      </c>
      <c r="G1718" t="s">
        <v>2875</v>
      </c>
      <c r="H1718" s="3">
        <v>97</v>
      </c>
      <c r="I1718" s="3">
        <v>68</v>
      </c>
      <c r="J1718" s="3">
        <v>134</v>
      </c>
      <c r="K1718" s="3">
        <v>26</v>
      </c>
      <c r="L1718">
        <f t="shared" si="267"/>
        <v>0.88386399999999998</v>
      </c>
      <c r="M1718">
        <f t="shared" si="265"/>
        <v>5.3031839999999999</v>
      </c>
      <c r="N1718" s="8">
        <v>6</v>
      </c>
      <c r="O1718" s="14">
        <f t="shared" si="268"/>
        <v>2231.3999999999996</v>
      </c>
      <c r="P1718" s="8">
        <v>30</v>
      </c>
      <c r="Q1718" s="8">
        <f t="shared" si="270"/>
        <v>0.2</v>
      </c>
      <c r="R1718" s="8">
        <f t="shared" si="271"/>
        <v>6</v>
      </c>
      <c r="S1718" s="8">
        <f t="shared" si="269"/>
        <v>6.2</v>
      </c>
      <c r="T1718" s="18">
        <f t="shared" si="272"/>
        <v>1.6516165324490761</v>
      </c>
      <c r="U1718" s="20">
        <f t="shared" si="266"/>
        <v>3106.298356821409</v>
      </c>
      <c r="V1718" s="29" t="s">
        <v>2983</v>
      </c>
    </row>
    <row r="1719" spans="1:22" ht="15" customHeight="1" x14ac:dyDescent="0.25">
      <c r="A1719" t="s">
        <v>287</v>
      </c>
      <c r="B1719" t="s">
        <v>2864</v>
      </c>
      <c r="C1719" t="s">
        <v>2909</v>
      </c>
      <c r="D1719" t="s">
        <v>2910</v>
      </c>
      <c r="E1719" t="s">
        <v>480</v>
      </c>
      <c r="F1719" s="5">
        <v>143.75</v>
      </c>
      <c r="G1719" t="s">
        <v>2885</v>
      </c>
      <c r="H1719" s="3">
        <v>105</v>
      </c>
      <c r="I1719" s="3">
        <v>56</v>
      </c>
      <c r="J1719" s="3">
        <v>68</v>
      </c>
      <c r="K1719" s="3">
        <v>5.4</v>
      </c>
      <c r="L1719">
        <f t="shared" si="267"/>
        <v>0.39983999999999997</v>
      </c>
      <c r="M1719">
        <f t="shared" si="265"/>
        <v>5.9975999999999994</v>
      </c>
      <c r="N1719" s="8">
        <v>15</v>
      </c>
      <c r="O1719" s="14">
        <f t="shared" si="268"/>
        <v>2156.25</v>
      </c>
      <c r="P1719" s="8">
        <v>30</v>
      </c>
      <c r="Q1719" s="8">
        <f t="shared" si="270"/>
        <v>0.5</v>
      </c>
      <c r="R1719" s="8">
        <f t="shared" si="271"/>
        <v>15</v>
      </c>
      <c r="S1719" s="8">
        <f t="shared" si="269"/>
        <v>15.5</v>
      </c>
      <c r="T1719" s="18">
        <f t="shared" si="272"/>
        <v>1.5959927167219328</v>
      </c>
      <c r="U1719" s="20">
        <f t="shared" si="266"/>
        <v>3107.8943495381309</v>
      </c>
      <c r="V1719" s="29" t="s">
        <v>2983</v>
      </c>
    </row>
    <row r="1720" spans="1:22" ht="15" customHeight="1" x14ac:dyDescent="0.25">
      <c r="A1720" t="s">
        <v>287</v>
      </c>
      <c r="B1720" t="s">
        <v>2864</v>
      </c>
      <c r="C1720" t="s">
        <v>2911</v>
      </c>
      <c r="D1720" t="s">
        <v>2912</v>
      </c>
      <c r="E1720" t="s">
        <v>480</v>
      </c>
      <c r="F1720" s="5">
        <v>143.65</v>
      </c>
      <c r="G1720" t="s">
        <v>2885</v>
      </c>
      <c r="H1720" s="3">
        <v>105</v>
      </c>
      <c r="I1720" s="3">
        <v>56</v>
      </c>
      <c r="J1720" s="3">
        <v>68</v>
      </c>
      <c r="K1720" s="3">
        <v>5.4</v>
      </c>
      <c r="L1720">
        <f t="shared" si="267"/>
        <v>0.39983999999999997</v>
      </c>
      <c r="M1720">
        <f t="shared" si="265"/>
        <v>5.9975999999999994</v>
      </c>
      <c r="N1720" s="8">
        <v>15</v>
      </c>
      <c r="O1720" s="14">
        <f t="shared" si="268"/>
        <v>2154.75</v>
      </c>
      <c r="P1720" s="8">
        <v>30</v>
      </c>
      <c r="Q1720" s="8">
        <f t="shared" si="270"/>
        <v>0.5</v>
      </c>
      <c r="R1720" s="8">
        <f t="shared" si="271"/>
        <v>15</v>
      </c>
      <c r="S1720" s="8">
        <f t="shared" si="269"/>
        <v>15.5</v>
      </c>
      <c r="T1720" s="18">
        <f t="shared" si="272"/>
        <v>1.5948824609189958</v>
      </c>
      <c r="U1720" s="20">
        <f t="shared" si="266"/>
        <v>3109.4892319990499</v>
      </c>
      <c r="V1720" s="29" t="s">
        <v>2983</v>
      </c>
    </row>
    <row r="1721" spans="1:22" ht="15" customHeight="1" x14ac:dyDescent="0.25">
      <c r="A1721" t="s">
        <v>287</v>
      </c>
      <c r="B1721" t="s">
        <v>2864</v>
      </c>
      <c r="C1721" t="s">
        <v>2913</v>
      </c>
      <c r="D1721" t="s">
        <v>2205</v>
      </c>
      <c r="E1721" t="s">
        <v>480</v>
      </c>
      <c r="F1721" s="5">
        <v>143.65</v>
      </c>
      <c r="G1721" t="s">
        <v>2885</v>
      </c>
      <c r="H1721" s="3">
        <v>105</v>
      </c>
      <c r="I1721" s="3">
        <v>56</v>
      </c>
      <c r="J1721" s="3">
        <v>68</v>
      </c>
      <c r="K1721" s="3">
        <v>5.4</v>
      </c>
      <c r="L1721">
        <f t="shared" si="267"/>
        <v>0.39983999999999997</v>
      </c>
      <c r="M1721">
        <f t="shared" si="265"/>
        <v>5.9975999999999994</v>
      </c>
      <c r="N1721" s="8">
        <v>15</v>
      </c>
      <c r="O1721" s="14">
        <f t="shared" si="268"/>
        <v>2154.75</v>
      </c>
      <c r="P1721" s="8">
        <v>30</v>
      </c>
      <c r="Q1721" s="8">
        <f t="shared" si="270"/>
        <v>0.5</v>
      </c>
      <c r="R1721" s="8">
        <f t="shared" si="271"/>
        <v>15</v>
      </c>
      <c r="S1721" s="8">
        <f t="shared" si="269"/>
        <v>15.5</v>
      </c>
      <c r="T1721" s="18">
        <f t="shared" si="272"/>
        <v>1.5948824609189958</v>
      </c>
      <c r="U1721" s="20">
        <f t="shared" si="266"/>
        <v>3111.084114459969</v>
      </c>
      <c r="V1721" s="29" t="s">
        <v>2983</v>
      </c>
    </row>
    <row r="1722" spans="1:22" ht="15" customHeight="1" x14ac:dyDescent="0.25">
      <c r="A1722" t="s">
        <v>287</v>
      </c>
      <c r="B1722" t="s">
        <v>479</v>
      </c>
      <c r="C1722" t="s">
        <v>2812</v>
      </c>
      <c r="D1722" t="s">
        <v>505</v>
      </c>
      <c r="E1722" t="s">
        <v>480</v>
      </c>
      <c r="F1722" s="5">
        <v>529.9</v>
      </c>
      <c r="G1722" t="s">
        <v>506</v>
      </c>
      <c r="H1722" s="3">
        <v>83</v>
      </c>
      <c r="I1722" s="3">
        <v>45</v>
      </c>
      <c r="J1722" s="3">
        <v>45</v>
      </c>
      <c r="K1722" s="3">
        <v>3.5</v>
      </c>
      <c r="L1722">
        <f t="shared" si="267"/>
        <v>0.168075</v>
      </c>
      <c r="M1722">
        <f t="shared" si="265"/>
        <v>0.67230000000000001</v>
      </c>
      <c r="N1722" s="8">
        <v>4</v>
      </c>
      <c r="O1722" s="14">
        <f t="shared" si="268"/>
        <v>2119.6</v>
      </c>
      <c r="P1722" s="8">
        <v>40</v>
      </c>
      <c r="Q1722" s="8">
        <f t="shared" si="270"/>
        <v>0.1</v>
      </c>
      <c r="R1722" s="8">
        <f t="shared" si="271"/>
        <v>5.333333333333333</v>
      </c>
      <c r="S1722" s="8">
        <f t="shared" si="269"/>
        <v>5.4333333333333327</v>
      </c>
      <c r="T1722" s="18">
        <f t="shared" si="272"/>
        <v>1.5688654666035053</v>
      </c>
      <c r="U1722" s="20">
        <f t="shared" si="266"/>
        <v>3112.6529799265727</v>
      </c>
      <c r="V1722" s="29" t="s">
        <v>2983</v>
      </c>
    </row>
    <row r="1723" spans="1:22" ht="15" customHeight="1" x14ac:dyDescent="0.25">
      <c r="A1723" t="s">
        <v>287</v>
      </c>
      <c r="B1723" t="s">
        <v>479</v>
      </c>
      <c r="C1723" t="s">
        <v>2819</v>
      </c>
      <c r="D1723" t="s">
        <v>2822</v>
      </c>
      <c r="E1723" t="s">
        <v>480</v>
      </c>
      <c r="F1723" s="5">
        <v>279.89999999999998</v>
      </c>
      <c r="G1723" t="s">
        <v>513</v>
      </c>
      <c r="H1723" s="3">
        <v>107</v>
      </c>
      <c r="I1723" s="3">
        <v>48</v>
      </c>
      <c r="J1723" s="3">
        <v>47</v>
      </c>
      <c r="K1723" s="3">
        <v>10.6</v>
      </c>
      <c r="L1723">
        <f t="shared" si="267"/>
        <v>0.241392</v>
      </c>
      <c r="M1723">
        <f t="shared" ref="M1723:M1746" si="273">L1723*N1723</f>
        <v>1.6897439999999999</v>
      </c>
      <c r="N1723" s="8">
        <v>7</v>
      </c>
      <c r="O1723" s="14">
        <f t="shared" si="268"/>
        <v>1959.2999999999997</v>
      </c>
      <c r="P1723" s="8">
        <v>40</v>
      </c>
      <c r="Q1723" s="8">
        <f t="shared" si="270"/>
        <v>0.17499999999999999</v>
      </c>
      <c r="R1723" s="8">
        <f t="shared" si="271"/>
        <v>9.3333333333333339</v>
      </c>
      <c r="S1723" s="8">
        <f t="shared" si="269"/>
        <v>9.5083333333333346</v>
      </c>
      <c r="T1723" s="18">
        <f t="shared" si="272"/>
        <v>1.450216129796305</v>
      </c>
      <c r="U1723" s="20">
        <f t="shared" si="266"/>
        <v>3114.1031960563691</v>
      </c>
      <c r="V1723" s="29" t="s">
        <v>2983</v>
      </c>
    </row>
    <row r="1724" spans="1:22" ht="15" customHeight="1" x14ac:dyDescent="0.25">
      <c r="A1724" t="s">
        <v>287</v>
      </c>
      <c r="B1724" t="s">
        <v>479</v>
      </c>
      <c r="C1724" t="s">
        <v>2802</v>
      </c>
      <c r="D1724" t="s">
        <v>491</v>
      </c>
      <c r="E1724" t="s">
        <v>480</v>
      </c>
      <c r="F1724" s="5">
        <v>230.3</v>
      </c>
      <c r="G1724" t="s">
        <v>490</v>
      </c>
      <c r="H1724" s="3">
        <v>60</v>
      </c>
      <c r="I1724" s="3">
        <v>70</v>
      </c>
      <c r="J1724" s="3">
        <v>70</v>
      </c>
      <c r="K1724" s="3">
        <v>5.5</v>
      </c>
      <c r="L1724">
        <f t="shared" si="267"/>
        <v>0.29399999999999998</v>
      </c>
      <c r="M1724">
        <f t="shared" si="273"/>
        <v>2.3519999999999999</v>
      </c>
      <c r="N1724" s="8">
        <v>8</v>
      </c>
      <c r="O1724" s="14">
        <f t="shared" si="268"/>
        <v>1842.4</v>
      </c>
      <c r="P1724" s="8">
        <v>40</v>
      </c>
      <c r="Q1724" s="8">
        <f t="shared" si="270"/>
        <v>0.2</v>
      </c>
      <c r="R1724" s="8">
        <f t="shared" si="271"/>
        <v>10.666666666666666</v>
      </c>
      <c r="S1724" s="8">
        <f t="shared" si="269"/>
        <v>10.866666666666665</v>
      </c>
      <c r="T1724" s="18">
        <f t="shared" si="272"/>
        <v>1.3636901942207487</v>
      </c>
      <c r="U1724" s="20">
        <f t="shared" si="266"/>
        <v>3115.4668862505901</v>
      </c>
      <c r="V1724" s="29" t="s">
        <v>2983</v>
      </c>
    </row>
    <row r="1725" spans="1:22" ht="15" customHeight="1" x14ac:dyDescent="0.25">
      <c r="A1725" t="s">
        <v>287</v>
      </c>
      <c r="B1725" t="s">
        <v>288</v>
      </c>
      <c r="C1725" t="s">
        <v>2732</v>
      </c>
      <c r="D1725" t="s">
        <v>2733</v>
      </c>
      <c r="E1725" t="s">
        <v>284</v>
      </c>
      <c r="F1725" s="5">
        <v>11.9</v>
      </c>
      <c r="G1725" t="s">
        <v>2734</v>
      </c>
      <c r="H1725" s="3">
        <v>5</v>
      </c>
      <c r="I1725" s="3">
        <v>50</v>
      </c>
      <c r="J1725" s="3">
        <v>70</v>
      </c>
      <c r="K1725" s="3">
        <v>0.45</v>
      </c>
      <c r="L1725">
        <f t="shared" si="267"/>
        <v>1.7500000000000002E-2</v>
      </c>
      <c r="M1725">
        <f t="shared" si="273"/>
        <v>2.6250000000000004</v>
      </c>
      <c r="N1725" s="8">
        <v>150</v>
      </c>
      <c r="O1725" s="14">
        <f t="shared" si="268"/>
        <v>1785</v>
      </c>
      <c r="P1725" s="8">
        <v>25</v>
      </c>
      <c r="Q1725" s="8">
        <f t="shared" si="270"/>
        <v>6</v>
      </c>
      <c r="R1725" s="8">
        <f t="shared" si="271"/>
        <v>125</v>
      </c>
      <c r="S1725" s="8">
        <f t="shared" si="269"/>
        <v>131</v>
      </c>
      <c r="T1725" s="18">
        <f t="shared" si="272"/>
        <v>1.321204405495026</v>
      </c>
      <c r="U1725" s="20">
        <f t="shared" si="266"/>
        <v>3116.7880906560849</v>
      </c>
      <c r="V1725" s="29" t="s">
        <v>2983</v>
      </c>
    </row>
    <row r="1726" spans="1:22" ht="15" customHeight="1" x14ac:dyDescent="0.25">
      <c r="A1726" t="s">
        <v>287</v>
      </c>
      <c r="B1726" t="s">
        <v>479</v>
      </c>
      <c r="C1726" t="s">
        <v>2819</v>
      </c>
      <c r="D1726" t="s">
        <v>2823</v>
      </c>
      <c r="E1726" t="s">
        <v>480</v>
      </c>
      <c r="F1726" s="5">
        <v>219.9</v>
      </c>
      <c r="G1726" t="s">
        <v>513</v>
      </c>
      <c r="H1726" s="3">
        <v>93.5</v>
      </c>
      <c r="I1726" s="3">
        <v>51</v>
      </c>
      <c r="J1726" s="3">
        <v>50</v>
      </c>
      <c r="K1726" s="3">
        <v>6</v>
      </c>
      <c r="L1726">
        <f t="shared" si="267"/>
        <v>0.238425</v>
      </c>
      <c r="M1726">
        <f t="shared" si="273"/>
        <v>1.9074</v>
      </c>
      <c r="N1726" s="8">
        <v>8</v>
      </c>
      <c r="O1726" s="14">
        <f t="shared" si="268"/>
        <v>1759.2</v>
      </c>
      <c r="P1726" s="8">
        <v>40</v>
      </c>
      <c r="Q1726" s="8">
        <f t="shared" si="270"/>
        <v>0.2</v>
      </c>
      <c r="R1726" s="8">
        <f t="shared" si="271"/>
        <v>10.666666666666666</v>
      </c>
      <c r="S1726" s="8">
        <f t="shared" si="269"/>
        <v>10.866666666666665</v>
      </c>
      <c r="T1726" s="18">
        <f t="shared" si="272"/>
        <v>1.3021080056845098</v>
      </c>
      <c r="U1726" s="20">
        <f t="shared" si="266"/>
        <v>3118.0901986617696</v>
      </c>
      <c r="V1726" s="29" t="s">
        <v>2983</v>
      </c>
    </row>
    <row r="1727" spans="1:22" ht="15" customHeight="1" x14ac:dyDescent="0.25">
      <c r="A1727" t="s">
        <v>287</v>
      </c>
      <c r="B1727" t="s">
        <v>2738</v>
      </c>
      <c r="C1727" t="s">
        <v>2769</v>
      </c>
      <c r="D1727" t="s">
        <v>2773</v>
      </c>
      <c r="E1727" t="s">
        <v>480</v>
      </c>
      <c r="F1727" s="5">
        <v>111</v>
      </c>
      <c r="G1727" t="s">
        <v>2763</v>
      </c>
      <c r="H1727" s="3">
        <v>40</v>
      </c>
      <c r="I1727" s="3">
        <v>48</v>
      </c>
      <c r="J1727" s="3">
        <v>48</v>
      </c>
      <c r="K1727" s="3">
        <v>14.5</v>
      </c>
      <c r="L1727">
        <f t="shared" si="267"/>
        <v>9.2160000000000006E-2</v>
      </c>
      <c r="M1727">
        <f t="shared" si="273"/>
        <v>1.3824000000000001</v>
      </c>
      <c r="N1727" s="8">
        <v>15</v>
      </c>
      <c r="O1727" s="14">
        <f t="shared" si="268"/>
        <v>1665</v>
      </c>
      <c r="P1727" s="8">
        <v>40</v>
      </c>
      <c r="Q1727" s="8">
        <f t="shared" si="270"/>
        <v>0.375</v>
      </c>
      <c r="R1727" s="8">
        <f t="shared" si="271"/>
        <v>20</v>
      </c>
      <c r="S1727" s="8">
        <f t="shared" si="269"/>
        <v>20.375</v>
      </c>
      <c r="T1727" s="18">
        <f t="shared" si="272"/>
        <v>1.2323839412600663</v>
      </c>
      <c r="U1727" s="20">
        <f t="shared" si="266"/>
        <v>3119.3225826030298</v>
      </c>
      <c r="V1727" s="29" t="s">
        <v>2983</v>
      </c>
    </row>
    <row r="1728" spans="1:22" ht="15" customHeight="1" x14ac:dyDescent="0.25">
      <c r="A1728" t="s">
        <v>287</v>
      </c>
      <c r="B1728" t="s">
        <v>2738</v>
      </c>
      <c r="C1728" t="s">
        <v>2769</v>
      </c>
      <c r="D1728" t="s">
        <v>475</v>
      </c>
      <c r="E1728" t="s">
        <v>480</v>
      </c>
      <c r="F1728" s="5">
        <v>110</v>
      </c>
      <c r="G1728" t="s">
        <v>2762</v>
      </c>
      <c r="H1728" s="3">
        <v>48</v>
      </c>
      <c r="I1728" s="3">
        <v>54</v>
      </c>
      <c r="J1728" s="3">
        <v>38</v>
      </c>
      <c r="K1728" s="3">
        <v>16</v>
      </c>
      <c r="L1728">
        <f t="shared" si="267"/>
        <v>9.8496E-2</v>
      </c>
      <c r="M1728">
        <f t="shared" si="273"/>
        <v>1.4774400000000001</v>
      </c>
      <c r="N1728" s="8">
        <v>15</v>
      </c>
      <c r="O1728" s="14">
        <f t="shared" si="268"/>
        <v>1650</v>
      </c>
      <c r="P1728" s="8">
        <v>40</v>
      </c>
      <c r="Q1728" s="8">
        <f t="shared" si="270"/>
        <v>0.375</v>
      </c>
      <c r="R1728" s="8">
        <f t="shared" si="271"/>
        <v>20</v>
      </c>
      <c r="S1728" s="8">
        <f t="shared" si="269"/>
        <v>20.375</v>
      </c>
      <c r="T1728" s="18">
        <f t="shared" si="272"/>
        <v>1.2212813832306963</v>
      </c>
      <c r="U1728" s="20">
        <f t="shared" ref="U1728:U1746" si="274">U1727+T1728</f>
        <v>3120.5438639862605</v>
      </c>
      <c r="V1728" s="29" t="s">
        <v>2983</v>
      </c>
    </row>
    <row r="1729" spans="1:22" ht="15" customHeight="1" x14ac:dyDescent="0.25">
      <c r="A1729" t="s">
        <v>287</v>
      </c>
      <c r="B1729" t="s">
        <v>2738</v>
      </c>
      <c r="C1729" t="s">
        <v>2769</v>
      </c>
      <c r="D1729" t="s">
        <v>2774</v>
      </c>
      <c r="E1729" t="s">
        <v>480</v>
      </c>
      <c r="F1729" s="5">
        <v>104</v>
      </c>
      <c r="G1729" t="s">
        <v>2763</v>
      </c>
      <c r="H1729" s="3">
        <v>55</v>
      </c>
      <c r="I1729" s="3">
        <v>52</v>
      </c>
      <c r="J1729" s="3">
        <v>34</v>
      </c>
      <c r="K1729" s="3">
        <v>12.8</v>
      </c>
      <c r="L1729">
        <f t="shared" si="267"/>
        <v>9.7239999999999993E-2</v>
      </c>
      <c r="M1729">
        <f t="shared" si="273"/>
        <v>1.4585999999999999</v>
      </c>
      <c r="N1729" s="8">
        <v>15</v>
      </c>
      <c r="O1729" s="14">
        <f t="shared" si="268"/>
        <v>1560</v>
      </c>
      <c r="P1729" s="8">
        <v>40</v>
      </c>
      <c r="Q1729" s="8">
        <f t="shared" si="270"/>
        <v>0.375</v>
      </c>
      <c r="R1729" s="8">
        <f t="shared" si="271"/>
        <v>20</v>
      </c>
      <c r="S1729" s="8">
        <f t="shared" si="269"/>
        <v>20.375</v>
      </c>
      <c r="T1729" s="18">
        <f t="shared" si="272"/>
        <v>1.1546660350544766</v>
      </c>
      <c r="U1729" s="20">
        <f t="shared" si="274"/>
        <v>3121.698530021315</v>
      </c>
      <c r="V1729" s="29" t="s">
        <v>2983</v>
      </c>
    </row>
    <row r="1730" spans="1:22" ht="15" customHeight="1" x14ac:dyDescent="0.25">
      <c r="A1730" t="s">
        <v>287</v>
      </c>
      <c r="B1730" t="s">
        <v>479</v>
      </c>
      <c r="C1730" t="s">
        <v>2812</v>
      </c>
      <c r="D1730" t="s">
        <v>501</v>
      </c>
      <c r="E1730" t="s">
        <v>480</v>
      </c>
      <c r="F1730" s="5">
        <v>389.9</v>
      </c>
      <c r="G1730" t="s">
        <v>502</v>
      </c>
      <c r="H1730" s="3">
        <v>80</v>
      </c>
      <c r="I1730" s="3">
        <v>78</v>
      </c>
      <c r="J1730" s="3">
        <v>78</v>
      </c>
      <c r="K1730" s="3">
        <v>4.5</v>
      </c>
      <c r="L1730">
        <f t="shared" ref="L1730:L1746" si="275">J1730*I1730*H1730/1000000</f>
        <v>0.48671999999999999</v>
      </c>
      <c r="M1730">
        <f t="shared" si="273"/>
        <v>1.9468799999999999</v>
      </c>
      <c r="N1730" s="8">
        <v>4</v>
      </c>
      <c r="O1730" s="14">
        <f t="shared" ref="O1730:O1746" si="276">N1730*F1730</f>
        <v>1559.6</v>
      </c>
      <c r="P1730" s="8">
        <v>40</v>
      </c>
      <c r="Q1730" s="8">
        <f t="shared" si="270"/>
        <v>0.1</v>
      </c>
      <c r="R1730" s="8">
        <f t="shared" si="271"/>
        <v>5.333333333333333</v>
      </c>
      <c r="S1730" s="8">
        <f t="shared" ref="S1730:S1746" si="277">Q1730+R1730</f>
        <v>5.4333333333333327</v>
      </c>
      <c r="T1730" s="18">
        <f t="shared" si="272"/>
        <v>1.15436996684036</v>
      </c>
      <c r="U1730" s="20">
        <f t="shared" si="274"/>
        <v>3122.8528999881555</v>
      </c>
      <c r="V1730" s="29" t="s">
        <v>2983</v>
      </c>
    </row>
    <row r="1731" spans="1:22" ht="15" customHeight="1" x14ac:dyDescent="0.25">
      <c r="A1731" t="s">
        <v>287</v>
      </c>
      <c r="B1731" t="s">
        <v>479</v>
      </c>
      <c r="C1731" t="s">
        <v>2819</v>
      </c>
      <c r="D1731" t="s">
        <v>508</v>
      </c>
      <c r="E1731" t="s">
        <v>480</v>
      </c>
      <c r="F1731" s="5">
        <v>189.9</v>
      </c>
      <c r="G1731" t="s">
        <v>496</v>
      </c>
      <c r="H1731" s="3">
        <v>96</v>
      </c>
      <c r="I1731" s="3">
        <v>56</v>
      </c>
      <c r="J1731" s="3">
        <v>49.5</v>
      </c>
      <c r="K1731" s="3">
        <v>6.7</v>
      </c>
      <c r="L1731">
        <f t="shared" si="275"/>
        <v>0.26611200000000002</v>
      </c>
      <c r="M1731">
        <f t="shared" si="273"/>
        <v>2.1288960000000001</v>
      </c>
      <c r="N1731" s="8">
        <v>8</v>
      </c>
      <c r="O1731" s="14">
        <f t="shared" si="276"/>
        <v>1519.2</v>
      </c>
      <c r="P1731" s="8">
        <v>40</v>
      </c>
      <c r="Q1731" s="8">
        <f t="shared" si="270"/>
        <v>0.2</v>
      </c>
      <c r="R1731" s="8">
        <f t="shared" si="271"/>
        <v>10.666666666666666</v>
      </c>
      <c r="S1731" s="8">
        <f t="shared" si="277"/>
        <v>10.866666666666665</v>
      </c>
      <c r="T1731" s="18">
        <f t="shared" si="272"/>
        <v>1.1244670772145904</v>
      </c>
      <c r="U1731" s="20">
        <f t="shared" si="274"/>
        <v>3123.9773670653699</v>
      </c>
      <c r="V1731" s="29" t="s">
        <v>2983</v>
      </c>
    </row>
    <row r="1732" spans="1:22" ht="15" customHeight="1" x14ac:dyDescent="0.25">
      <c r="A1732" t="s">
        <v>287</v>
      </c>
      <c r="B1732" t="s">
        <v>479</v>
      </c>
      <c r="C1732" t="s">
        <v>2819</v>
      </c>
      <c r="D1732" t="s">
        <v>516</v>
      </c>
      <c r="E1732" t="s">
        <v>480</v>
      </c>
      <c r="F1732" s="5">
        <v>189.9</v>
      </c>
      <c r="G1732" t="s">
        <v>496</v>
      </c>
      <c r="H1732" s="3">
        <v>96</v>
      </c>
      <c r="I1732" s="3">
        <v>56</v>
      </c>
      <c r="J1732" s="3">
        <v>49.5</v>
      </c>
      <c r="K1732" s="3">
        <v>6.7</v>
      </c>
      <c r="L1732">
        <f t="shared" si="275"/>
        <v>0.26611200000000002</v>
      </c>
      <c r="M1732">
        <f t="shared" si="273"/>
        <v>2.1288960000000001</v>
      </c>
      <c r="N1732" s="8">
        <v>8</v>
      </c>
      <c r="O1732" s="14">
        <f t="shared" si="276"/>
        <v>1519.2</v>
      </c>
      <c r="P1732" s="8">
        <v>40</v>
      </c>
      <c r="Q1732" s="8">
        <f t="shared" si="270"/>
        <v>0.2</v>
      </c>
      <c r="R1732" s="8">
        <f t="shared" si="271"/>
        <v>10.666666666666666</v>
      </c>
      <c r="S1732" s="8">
        <f t="shared" si="277"/>
        <v>10.866666666666665</v>
      </c>
      <c r="T1732" s="18">
        <f t="shared" si="272"/>
        <v>1.1244670772145904</v>
      </c>
      <c r="U1732" s="20">
        <f t="shared" si="274"/>
        <v>3125.1018341425843</v>
      </c>
      <c r="V1732" s="29" t="s">
        <v>2983</v>
      </c>
    </row>
    <row r="1733" spans="1:22" ht="15" customHeight="1" x14ac:dyDescent="0.25">
      <c r="A1733" t="s">
        <v>287</v>
      </c>
      <c r="B1733" t="s">
        <v>2738</v>
      </c>
      <c r="C1733" t="s">
        <v>2769</v>
      </c>
      <c r="D1733" t="s">
        <v>2775</v>
      </c>
      <c r="E1733" t="s">
        <v>480</v>
      </c>
      <c r="F1733" s="5">
        <v>99.7</v>
      </c>
      <c r="G1733" t="s">
        <v>2763</v>
      </c>
      <c r="H1733" s="3">
        <v>57</v>
      </c>
      <c r="I1733" s="3">
        <v>48</v>
      </c>
      <c r="J1733" s="3">
        <v>48</v>
      </c>
      <c r="K1733" s="3">
        <v>14.6</v>
      </c>
      <c r="L1733">
        <f t="shared" si="275"/>
        <v>0.131328</v>
      </c>
      <c r="M1733">
        <f t="shared" si="273"/>
        <v>1.9699200000000001</v>
      </c>
      <c r="N1733" s="8">
        <v>15</v>
      </c>
      <c r="O1733" s="14">
        <f t="shared" si="276"/>
        <v>1495.5</v>
      </c>
      <c r="P1733" s="8">
        <v>40</v>
      </c>
      <c r="Q1733" s="8">
        <f t="shared" si="270"/>
        <v>0.375</v>
      </c>
      <c r="R1733" s="8">
        <f t="shared" si="271"/>
        <v>20</v>
      </c>
      <c r="S1733" s="8">
        <f t="shared" si="277"/>
        <v>20.375</v>
      </c>
      <c r="T1733" s="18">
        <f t="shared" si="272"/>
        <v>1.1069250355281857</v>
      </c>
      <c r="U1733" s="20">
        <f t="shared" si="274"/>
        <v>3126.2087591781124</v>
      </c>
      <c r="V1733" s="29" t="s">
        <v>2983</v>
      </c>
    </row>
    <row r="1734" spans="1:22" ht="15" customHeight="1" x14ac:dyDescent="0.25">
      <c r="A1734" t="s">
        <v>287</v>
      </c>
      <c r="B1734" t="s">
        <v>2738</v>
      </c>
      <c r="C1734" t="s">
        <v>2769</v>
      </c>
      <c r="D1734" t="s">
        <v>2772</v>
      </c>
      <c r="E1734" t="s">
        <v>480</v>
      </c>
      <c r="F1734" s="5">
        <v>89.9</v>
      </c>
      <c r="G1734" t="s">
        <v>2771</v>
      </c>
      <c r="H1734" s="3">
        <v>46</v>
      </c>
      <c r="I1734" s="3">
        <v>40</v>
      </c>
      <c r="J1734" s="3">
        <v>32</v>
      </c>
      <c r="K1734" s="3">
        <v>15</v>
      </c>
      <c r="L1734">
        <f t="shared" si="275"/>
        <v>5.8880000000000002E-2</v>
      </c>
      <c r="M1734">
        <f t="shared" si="273"/>
        <v>0.88319999999999999</v>
      </c>
      <c r="N1734" s="8">
        <v>15</v>
      </c>
      <c r="O1734" s="14">
        <f t="shared" si="276"/>
        <v>1348.5</v>
      </c>
      <c r="P1734" s="8">
        <v>40</v>
      </c>
      <c r="Q1734" s="8">
        <f t="shared" si="270"/>
        <v>0.375</v>
      </c>
      <c r="R1734" s="8">
        <f t="shared" si="271"/>
        <v>20</v>
      </c>
      <c r="S1734" s="8">
        <f t="shared" si="277"/>
        <v>20.375</v>
      </c>
      <c r="T1734" s="18">
        <f t="shared" si="272"/>
        <v>0.99811996684036008</v>
      </c>
      <c r="U1734" s="20">
        <f t="shared" si="274"/>
        <v>3127.2068791449528</v>
      </c>
      <c r="V1734" s="29" t="s">
        <v>2983</v>
      </c>
    </row>
    <row r="1735" spans="1:22" ht="15" customHeight="1" x14ac:dyDescent="0.25">
      <c r="A1735" t="s">
        <v>287</v>
      </c>
      <c r="B1735" t="s">
        <v>2738</v>
      </c>
      <c r="C1735" t="s">
        <v>2769</v>
      </c>
      <c r="D1735" t="s">
        <v>473</v>
      </c>
      <c r="E1735" t="s">
        <v>480</v>
      </c>
      <c r="F1735" s="5">
        <v>87.9</v>
      </c>
      <c r="G1735" t="s">
        <v>2762</v>
      </c>
      <c r="H1735" s="3">
        <v>48</v>
      </c>
      <c r="I1735" s="3">
        <v>54</v>
      </c>
      <c r="J1735" s="3">
        <v>37</v>
      </c>
      <c r="K1735" s="3">
        <v>13</v>
      </c>
      <c r="L1735">
        <f t="shared" si="275"/>
        <v>9.5904000000000003E-2</v>
      </c>
      <c r="M1735">
        <f t="shared" si="273"/>
        <v>1.4385600000000001</v>
      </c>
      <c r="N1735" s="8">
        <v>15</v>
      </c>
      <c r="O1735" s="14">
        <f t="shared" si="276"/>
        <v>1318.5</v>
      </c>
      <c r="P1735" s="8">
        <v>40</v>
      </c>
      <c r="Q1735" s="8">
        <f t="shared" si="270"/>
        <v>0.375</v>
      </c>
      <c r="R1735" s="8">
        <f t="shared" si="271"/>
        <v>20</v>
      </c>
      <c r="S1735" s="8">
        <f t="shared" si="277"/>
        <v>20.375</v>
      </c>
      <c r="T1735" s="18">
        <f t="shared" si="272"/>
        <v>0.9759148507816201</v>
      </c>
      <c r="U1735" s="20">
        <f t="shared" si="274"/>
        <v>3128.1827939957343</v>
      </c>
      <c r="V1735" s="29" t="s">
        <v>2983</v>
      </c>
    </row>
    <row r="1736" spans="1:22" ht="15" customHeight="1" x14ac:dyDescent="0.25">
      <c r="A1736" t="s">
        <v>287</v>
      </c>
      <c r="B1736" t="s">
        <v>2738</v>
      </c>
      <c r="C1736" t="s">
        <v>2769</v>
      </c>
      <c r="D1736" t="s">
        <v>474</v>
      </c>
      <c r="E1736" t="s">
        <v>480</v>
      </c>
      <c r="F1736" s="5">
        <v>87.9</v>
      </c>
      <c r="G1736" t="s">
        <v>2762</v>
      </c>
      <c r="H1736" s="3">
        <v>48</v>
      </c>
      <c r="I1736" s="3">
        <v>54</v>
      </c>
      <c r="J1736" s="3">
        <v>37</v>
      </c>
      <c r="K1736" s="3">
        <v>13</v>
      </c>
      <c r="L1736">
        <f t="shared" si="275"/>
        <v>9.5904000000000003E-2</v>
      </c>
      <c r="M1736">
        <f t="shared" si="273"/>
        <v>1.4385600000000001</v>
      </c>
      <c r="N1736" s="8">
        <v>15</v>
      </c>
      <c r="O1736" s="14">
        <f t="shared" si="276"/>
        <v>1318.5</v>
      </c>
      <c r="P1736" s="8">
        <v>40</v>
      </c>
      <c r="Q1736" s="8">
        <f t="shared" si="270"/>
        <v>0.375</v>
      </c>
      <c r="R1736" s="8">
        <f t="shared" si="271"/>
        <v>20</v>
      </c>
      <c r="S1736" s="8">
        <f t="shared" si="277"/>
        <v>20.375</v>
      </c>
      <c r="T1736" s="18">
        <f t="shared" si="272"/>
        <v>0.9759148507816201</v>
      </c>
      <c r="U1736" s="20">
        <f t="shared" si="274"/>
        <v>3129.1587088465158</v>
      </c>
      <c r="V1736" s="29" t="s">
        <v>2983</v>
      </c>
    </row>
    <row r="1737" spans="1:22" ht="15" customHeight="1" x14ac:dyDescent="0.25">
      <c r="A1737" t="s">
        <v>287</v>
      </c>
      <c r="B1737" t="s">
        <v>479</v>
      </c>
      <c r="C1737" t="s">
        <v>2802</v>
      </c>
      <c r="D1737" t="s">
        <v>493</v>
      </c>
      <c r="E1737" t="s">
        <v>480</v>
      </c>
      <c r="F1737" s="5">
        <v>153.30000000000001</v>
      </c>
      <c r="G1737" t="s">
        <v>490</v>
      </c>
      <c r="H1737" s="3">
        <v>90</v>
      </c>
      <c r="I1737" s="3">
        <v>50</v>
      </c>
      <c r="J1737" s="3">
        <v>70</v>
      </c>
      <c r="K1737" s="3">
        <v>5.5</v>
      </c>
      <c r="L1737">
        <f t="shared" si="275"/>
        <v>0.315</v>
      </c>
      <c r="M1737">
        <f t="shared" si="273"/>
        <v>2.52</v>
      </c>
      <c r="N1737" s="8">
        <v>8</v>
      </c>
      <c r="O1737" s="14">
        <f t="shared" si="276"/>
        <v>1226.4000000000001</v>
      </c>
      <c r="P1737" s="8">
        <v>40</v>
      </c>
      <c r="Q1737" s="8">
        <f t="shared" si="270"/>
        <v>0.2</v>
      </c>
      <c r="R1737" s="8">
        <f t="shared" si="271"/>
        <v>10.666666666666666</v>
      </c>
      <c r="S1737" s="8">
        <f t="shared" si="277"/>
        <v>10.866666666666665</v>
      </c>
      <c r="T1737" s="18">
        <f t="shared" si="272"/>
        <v>0.90774514448128862</v>
      </c>
      <c r="U1737" s="20">
        <f t="shared" si="274"/>
        <v>3130.0664539909972</v>
      </c>
      <c r="V1737" s="29" t="s">
        <v>2983</v>
      </c>
    </row>
    <row r="1738" spans="1:22" ht="15" customHeight="1" x14ac:dyDescent="0.25">
      <c r="A1738" t="s">
        <v>287</v>
      </c>
      <c r="B1738" t="s">
        <v>479</v>
      </c>
      <c r="C1738" t="s">
        <v>2802</v>
      </c>
      <c r="D1738" t="s">
        <v>492</v>
      </c>
      <c r="E1738" t="s">
        <v>480</v>
      </c>
      <c r="F1738" s="5">
        <v>174.3</v>
      </c>
      <c r="G1738" t="s">
        <v>490</v>
      </c>
      <c r="H1738" s="3">
        <v>60</v>
      </c>
      <c r="I1738" s="3">
        <v>60</v>
      </c>
      <c r="J1738" s="3">
        <v>60</v>
      </c>
      <c r="K1738" s="3">
        <v>10</v>
      </c>
      <c r="L1738">
        <f t="shared" si="275"/>
        <v>0.216</v>
      </c>
      <c r="M1738">
        <f t="shared" si="273"/>
        <v>1.512</v>
      </c>
      <c r="N1738" s="8">
        <v>7</v>
      </c>
      <c r="O1738" s="14">
        <f t="shared" si="276"/>
        <v>1220.1000000000001</v>
      </c>
      <c r="P1738" s="8">
        <v>40</v>
      </c>
      <c r="Q1738" s="8">
        <f t="shared" si="270"/>
        <v>0.17499999999999999</v>
      </c>
      <c r="R1738" s="8">
        <f t="shared" si="271"/>
        <v>9.3333333333333339</v>
      </c>
      <c r="S1738" s="8">
        <f t="shared" si="277"/>
        <v>9.5083333333333346</v>
      </c>
      <c r="T1738" s="18">
        <f t="shared" si="272"/>
        <v>0.90308207010895325</v>
      </c>
      <c r="U1738" s="20">
        <f t="shared" si="274"/>
        <v>3130.9695360611063</v>
      </c>
      <c r="V1738" s="29" t="s">
        <v>2983</v>
      </c>
    </row>
    <row r="1739" spans="1:22" ht="15" customHeight="1" x14ac:dyDescent="0.25">
      <c r="A1739" t="s">
        <v>287</v>
      </c>
      <c r="B1739" t="s">
        <v>479</v>
      </c>
      <c r="C1739" t="s">
        <v>2787</v>
      </c>
      <c r="D1739" t="s">
        <v>485</v>
      </c>
      <c r="E1739" t="s">
        <v>480</v>
      </c>
      <c r="F1739" s="5">
        <v>127.92</v>
      </c>
      <c r="G1739" t="s">
        <v>483</v>
      </c>
      <c r="H1739" s="3">
        <v>95</v>
      </c>
      <c r="I1739" s="3">
        <v>24.5</v>
      </c>
      <c r="J1739" s="3">
        <v>95</v>
      </c>
      <c r="K1739" s="3">
        <v>7.1</v>
      </c>
      <c r="L1739">
        <f t="shared" si="275"/>
        <v>0.22111249999999999</v>
      </c>
      <c r="M1739">
        <f t="shared" si="273"/>
        <v>1.7688999999999999</v>
      </c>
      <c r="N1739" s="8">
        <v>8</v>
      </c>
      <c r="O1739" s="14">
        <f t="shared" si="276"/>
        <v>1023.36</v>
      </c>
      <c r="P1739" s="8">
        <v>40</v>
      </c>
      <c r="Q1739" s="8">
        <f t="shared" si="270"/>
        <v>0.2</v>
      </c>
      <c r="R1739" s="8">
        <f t="shared" si="271"/>
        <v>10.666666666666666</v>
      </c>
      <c r="S1739" s="8">
        <f t="shared" si="277"/>
        <v>10.866666666666665</v>
      </c>
      <c r="T1739" s="18">
        <f t="shared" si="272"/>
        <v>0.75746091899573664</v>
      </c>
      <c r="U1739" s="20">
        <f t="shared" si="274"/>
        <v>3131.7269969801018</v>
      </c>
      <c r="V1739" s="29" t="s">
        <v>2983</v>
      </c>
    </row>
    <row r="1740" spans="1:22" ht="15" customHeight="1" x14ac:dyDescent="0.25">
      <c r="A1740" t="s">
        <v>287</v>
      </c>
      <c r="B1740" t="s">
        <v>2738</v>
      </c>
      <c r="C1740" t="s">
        <v>2769</v>
      </c>
      <c r="D1740" t="s">
        <v>2770</v>
      </c>
      <c r="E1740" t="s">
        <v>480</v>
      </c>
      <c r="F1740" s="5">
        <v>66</v>
      </c>
      <c r="G1740" t="s">
        <v>2771</v>
      </c>
      <c r="H1740" s="3">
        <v>50</v>
      </c>
      <c r="I1740" s="3">
        <v>52</v>
      </c>
      <c r="J1740" s="3">
        <v>35</v>
      </c>
      <c r="K1740" s="3">
        <v>14</v>
      </c>
      <c r="L1740">
        <f t="shared" si="275"/>
        <v>9.0999999999999998E-2</v>
      </c>
      <c r="M1740">
        <f t="shared" si="273"/>
        <v>1.365</v>
      </c>
      <c r="N1740" s="8">
        <v>15</v>
      </c>
      <c r="O1740" s="14">
        <f t="shared" si="276"/>
        <v>990</v>
      </c>
      <c r="P1740" s="8">
        <v>40</v>
      </c>
      <c r="Q1740" s="8">
        <f t="shared" si="270"/>
        <v>0.375</v>
      </c>
      <c r="R1740" s="8">
        <f t="shared" si="271"/>
        <v>20</v>
      </c>
      <c r="S1740" s="8">
        <f t="shared" si="277"/>
        <v>20.375</v>
      </c>
      <c r="T1740" s="18">
        <f t="shared" si="272"/>
        <v>0.73276882993841785</v>
      </c>
      <c r="U1740" s="20">
        <f t="shared" si="274"/>
        <v>3132.4597658100402</v>
      </c>
      <c r="V1740" s="29" t="s">
        <v>2983</v>
      </c>
    </row>
    <row r="1741" spans="1:22" ht="15" customHeight="1" x14ac:dyDescent="0.25">
      <c r="A1741" t="s">
        <v>287</v>
      </c>
      <c r="B1741" t="s">
        <v>479</v>
      </c>
      <c r="C1741" t="s">
        <v>2793</v>
      </c>
      <c r="D1741" t="s">
        <v>2799</v>
      </c>
      <c r="E1741" t="s">
        <v>480</v>
      </c>
      <c r="F1741" s="5">
        <v>103.92</v>
      </c>
      <c r="G1741" t="s">
        <v>488</v>
      </c>
      <c r="H1741" s="3">
        <v>45</v>
      </c>
      <c r="I1741" s="3">
        <v>50</v>
      </c>
      <c r="J1741" s="3">
        <v>85</v>
      </c>
      <c r="K1741" s="3">
        <v>7.8</v>
      </c>
      <c r="L1741">
        <f t="shared" si="275"/>
        <v>0.19125</v>
      </c>
      <c r="M1741">
        <f t="shared" si="273"/>
        <v>1.3387500000000001</v>
      </c>
      <c r="N1741" s="8">
        <v>7</v>
      </c>
      <c r="O1741" s="14">
        <f t="shared" si="276"/>
        <v>727.44</v>
      </c>
      <c r="P1741" s="8">
        <v>40</v>
      </c>
      <c r="Q1741" s="8">
        <f t="shared" si="270"/>
        <v>0.17499999999999999</v>
      </c>
      <c r="R1741" s="8">
        <f t="shared" si="271"/>
        <v>9.3333333333333339</v>
      </c>
      <c r="S1741" s="8">
        <f t="shared" si="277"/>
        <v>9.5083333333333346</v>
      </c>
      <c r="T1741" s="18">
        <f t="shared" si="272"/>
        <v>0.53842965419232591</v>
      </c>
      <c r="U1741" s="20">
        <f t="shared" si="274"/>
        <v>3132.9981954642326</v>
      </c>
      <c r="V1741" s="29" t="s">
        <v>2983</v>
      </c>
    </row>
    <row r="1742" spans="1:22" ht="15" customHeight="1" x14ac:dyDescent="0.25">
      <c r="A1742" t="s">
        <v>287</v>
      </c>
      <c r="B1742" t="s">
        <v>479</v>
      </c>
      <c r="C1742" t="s">
        <v>2802</v>
      </c>
      <c r="D1742" t="s">
        <v>494</v>
      </c>
      <c r="E1742" t="s">
        <v>480</v>
      </c>
      <c r="F1742" s="5">
        <v>174.3</v>
      </c>
      <c r="G1742" t="s">
        <v>490</v>
      </c>
      <c r="H1742" s="3">
        <v>70</v>
      </c>
      <c r="I1742" s="3">
        <v>60</v>
      </c>
      <c r="J1742" s="3">
        <v>60</v>
      </c>
      <c r="K1742" s="3">
        <v>5</v>
      </c>
      <c r="L1742">
        <f t="shared" si="275"/>
        <v>0.252</v>
      </c>
      <c r="M1742">
        <f t="shared" si="273"/>
        <v>1.008</v>
      </c>
      <c r="N1742" s="8">
        <v>4</v>
      </c>
      <c r="O1742" s="14">
        <f t="shared" si="276"/>
        <v>697.2</v>
      </c>
      <c r="P1742" s="8">
        <v>40</v>
      </c>
      <c r="Q1742" s="8">
        <f t="shared" si="270"/>
        <v>0.1</v>
      </c>
      <c r="R1742" s="8">
        <f t="shared" si="271"/>
        <v>5.333333333333333</v>
      </c>
      <c r="S1742" s="8">
        <f t="shared" si="277"/>
        <v>5.4333333333333327</v>
      </c>
      <c r="T1742" s="18">
        <f t="shared" si="272"/>
        <v>0.5160468972051161</v>
      </c>
      <c r="U1742" s="20">
        <f t="shared" si="274"/>
        <v>3133.5142423614379</v>
      </c>
      <c r="V1742" s="29" t="s">
        <v>2983</v>
      </c>
    </row>
    <row r="1743" spans="1:22" ht="15" customHeight="1" x14ac:dyDescent="0.25">
      <c r="A1743" t="s">
        <v>287</v>
      </c>
      <c r="B1743" t="s">
        <v>479</v>
      </c>
      <c r="C1743" t="s">
        <v>2802</v>
      </c>
      <c r="D1743" t="s">
        <v>489</v>
      </c>
      <c r="E1743" t="s">
        <v>480</v>
      </c>
      <c r="F1743" s="5">
        <v>84.95</v>
      </c>
      <c r="G1743" t="s">
        <v>490</v>
      </c>
      <c r="H1743" s="3">
        <v>90</v>
      </c>
      <c r="I1743" s="3">
        <v>60</v>
      </c>
      <c r="J1743" s="3">
        <v>76</v>
      </c>
      <c r="K1743" s="3">
        <v>5</v>
      </c>
      <c r="L1743">
        <f t="shared" si="275"/>
        <v>0.41039999999999999</v>
      </c>
      <c r="M1743">
        <f t="shared" si="273"/>
        <v>3.2831999999999999</v>
      </c>
      <c r="N1743" s="8">
        <v>8</v>
      </c>
      <c r="O1743" s="14">
        <f t="shared" si="276"/>
        <v>679.6</v>
      </c>
      <c r="P1743" s="8">
        <v>40</v>
      </c>
      <c r="Q1743" s="8">
        <f t="shared" si="270"/>
        <v>0.2</v>
      </c>
      <c r="R1743" s="8">
        <f t="shared" si="271"/>
        <v>10.666666666666666</v>
      </c>
      <c r="S1743" s="8">
        <f t="shared" si="277"/>
        <v>10.866666666666665</v>
      </c>
      <c r="T1743" s="18">
        <f t="shared" si="272"/>
        <v>0.50301989578398865</v>
      </c>
      <c r="U1743" s="20">
        <f t="shared" si="274"/>
        <v>3134.0172622572218</v>
      </c>
      <c r="V1743" s="29" t="s">
        <v>2983</v>
      </c>
    </row>
    <row r="1744" spans="1:22" ht="15" customHeight="1" x14ac:dyDescent="0.25">
      <c r="A1744" t="s">
        <v>287</v>
      </c>
      <c r="B1744" t="s">
        <v>479</v>
      </c>
      <c r="C1744" t="s">
        <v>2802</v>
      </c>
      <c r="D1744" t="s">
        <v>497</v>
      </c>
      <c r="E1744" t="s">
        <v>480</v>
      </c>
      <c r="F1744" s="5">
        <v>84.95</v>
      </c>
      <c r="G1744" t="s">
        <v>490</v>
      </c>
      <c r="H1744" s="3">
        <v>90</v>
      </c>
      <c r="I1744" s="3">
        <v>60</v>
      </c>
      <c r="J1744" s="3">
        <v>76</v>
      </c>
      <c r="K1744" s="3">
        <v>5</v>
      </c>
      <c r="L1744">
        <f t="shared" si="275"/>
        <v>0.41039999999999999</v>
      </c>
      <c r="M1744">
        <f t="shared" si="273"/>
        <v>3.2831999999999999</v>
      </c>
      <c r="N1744" s="8">
        <v>8</v>
      </c>
      <c r="O1744" s="14">
        <f t="shared" si="276"/>
        <v>679.6</v>
      </c>
      <c r="P1744" s="8">
        <v>40</v>
      </c>
      <c r="Q1744" s="8">
        <f t="shared" si="270"/>
        <v>0.2</v>
      </c>
      <c r="R1744" s="8">
        <f t="shared" si="271"/>
        <v>10.666666666666666</v>
      </c>
      <c r="S1744" s="8">
        <f t="shared" si="277"/>
        <v>10.866666666666665</v>
      </c>
      <c r="T1744" s="18">
        <f t="shared" si="272"/>
        <v>0.50301989578398865</v>
      </c>
      <c r="U1744" s="20">
        <f t="shared" si="274"/>
        <v>3134.5202821530056</v>
      </c>
      <c r="V1744" s="29" t="s">
        <v>2983</v>
      </c>
    </row>
    <row r="1745" spans="1:22" ht="15" customHeight="1" x14ac:dyDescent="0.25">
      <c r="A1745" t="s">
        <v>287</v>
      </c>
      <c r="B1745" t="s">
        <v>479</v>
      </c>
      <c r="C1745" t="s">
        <v>2802</v>
      </c>
      <c r="D1745" t="s">
        <v>498</v>
      </c>
      <c r="E1745" t="s">
        <v>480</v>
      </c>
      <c r="F1745" s="5">
        <v>84.95</v>
      </c>
      <c r="G1745" t="s">
        <v>490</v>
      </c>
      <c r="H1745" s="3">
        <v>90</v>
      </c>
      <c r="I1745" s="3">
        <v>60</v>
      </c>
      <c r="J1745" s="3">
        <v>76</v>
      </c>
      <c r="K1745" s="3">
        <v>5</v>
      </c>
      <c r="L1745">
        <f t="shared" si="275"/>
        <v>0.41039999999999999</v>
      </c>
      <c r="M1745">
        <f t="shared" si="273"/>
        <v>3.2831999999999999</v>
      </c>
      <c r="N1745" s="8">
        <v>8</v>
      </c>
      <c r="O1745" s="14">
        <f t="shared" si="276"/>
        <v>679.6</v>
      </c>
      <c r="P1745" s="8">
        <v>40</v>
      </c>
      <c r="Q1745" s="8">
        <f t="shared" si="270"/>
        <v>0.2</v>
      </c>
      <c r="R1745" s="8">
        <f t="shared" si="271"/>
        <v>10.666666666666666</v>
      </c>
      <c r="S1745" s="8">
        <f t="shared" si="277"/>
        <v>10.866666666666665</v>
      </c>
      <c r="T1745" s="18">
        <f t="shared" si="272"/>
        <v>0.50301989578398865</v>
      </c>
      <c r="U1745" s="20">
        <f t="shared" si="274"/>
        <v>3135.0233020487894</v>
      </c>
      <c r="V1745" s="29" t="s">
        <v>2983</v>
      </c>
    </row>
    <row r="1746" spans="1:22" ht="15" customHeight="1" x14ac:dyDescent="0.25">
      <c r="A1746" t="s">
        <v>287</v>
      </c>
      <c r="B1746" t="s">
        <v>479</v>
      </c>
      <c r="C1746" t="s">
        <v>2802</v>
      </c>
      <c r="D1746" t="s">
        <v>499</v>
      </c>
      <c r="E1746" t="s">
        <v>480</v>
      </c>
      <c r="F1746" s="5">
        <v>83.93</v>
      </c>
      <c r="G1746" t="s">
        <v>490</v>
      </c>
      <c r="H1746" s="3">
        <v>50</v>
      </c>
      <c r="I1746" s="3">
        <v>35</v>
      </c>
      <c r="J1746" s="3">
        <v>35</v>
      </c>
      <c r="K1746" s="3">
        <v>5.5</v>
      </c>
      <c r="L1746">
        <f t="shared" si="275"/>
        <v>6.1249999999999999E-2</v>
      </c>
      <c r="M1746">
        <f t="shared" si="273"/>
        <v>0.49</v>
      </c>
      <c r="N1746" s="8">
        <v>8</v>
      </c>
      <c r="O1746" s="14">
        <f t="shared" si="276"/>
        <v>671.44</v>
      </c>
      <c r="P1746" s="8">
        <v>40</v>
      </c>
      <c r="Q1746" s="8">
        <f t="shared" si="270"/>
        <v>0.2</v>
      </c>
      <c r="R1746" s="8">
        <f t="shared" si="271"/>
        <v>10.666666666666666</v>
      </c>
      <c r="S1746" s="8">
        <f t="shared" si="277"/>
        <v>10.866666666666665</v>
      </c>
      <c r="T1746" s="18">
        <f t="shared" si="272"/>
        <v>0.49698010421601141</v>
      </c>
      <c r="U1746" s="20">
        <f t="shared" si="274"/>
        <v>3135.5202821530056</v>
      </c>
      <c r="V1746" s="29" t="s">
        <v>2983</v>
      </c>
    </row>
    <row r="1747" spans="1:22" ht="15" customHeight="1" x14ac:dyDescent="0.25">
      <c r="M1747" t="e">
        <f>SUM(#REF!)</f>
        <v>#REF!</v>
      </c>
      <c r="O1747" s="15">
        <f>SUM(O1746:O1746)</f>
        <v>671.44</v>
      </c>
      <c r="P1747"/>
      <c r="T1747"/>
    </row>
    <row r="1748" spans="1:22" x14ac:dyDescent="0.25">
      <c r="O1748" s="14" t="e">
        <f>SUM(#REF!)</f>
        <v>#REF!</v>
      </c>
      <c r="T1748"/>
    </row>
    <row r="1749" spans="1:22" x14ac:dyDescent="0.25">
      <c r="O1749" s="14">
        <f>SUM(O1745:O1746)</f>
        <v>1351.04</v>
      </c>
    </row>
  </sheetData>
  <autoFilter ref="A1:V1749">
    <sortState ref="A2:V1749">
      <sortCondition ref="A1:A1749"/>
    </sortState>
  </autoFilter>
  <sortState ref="A2:O1746">
    <sortCondition ref="A2:A1746"/>
    <sortCondition ref="B2:B174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F24" sqref="F24:F25"/>
    </sheetView>
  </sheetViews>
  <sheetFormatPr defaultRowHeight="15" x14ac:dyDescent="0.25"/>
  <cols>
    <col min="1" max="1" width="27.5703125" bestFit="1" customWidth="1"/>
    <col min="2" max="2" width="16.42578125" bestFit="1" customWidth="1"/>
  </cols>
  <sheetData>
    <row r="1" spans="1:2" x14ac:dyDescent="0.25">
      <c r="A1" s="4" t="s">
        <v>4</v>
      </c>
      <c r="B1" s="4" t="s">
        <v>2936</v>
      </c>
    </row>
    <row r="2" spans="1:2" x14ac:dyDescent="0.25">
      <c r="A2" t="s">
        <v>1408</v>
      </c>
      <c r="B2">
        <v>10</v>
      </c>
    </row>
    <row r="3" spans="1:2" x14ac:dyDescent="0.25">
      <c r="A3" t="s">
        <v>22</v>
      </c>
      <c r="B3">
        <v>8</v>
      </c>
    </row>
    <row r="4" spans="1:2" x14ac:dyDescent="0.25">
      <c r="A4" t="s">
        <v>2576</v>
      </c>
      <c r="B4">
        <v>25</v>
      </c>
    </row>
    <row r="5" spans="1:2" x14ac:dyDescent="0.25">
      <c r="A5" t="s">
        <v>286</v>
      </c>
      <c r="B5">
        <v>30</v>
      </c>
    </row>
    <row r="6" spans="1:2" x14ac:dyDescent="0.25">
      <c r="A6" t="s">
        <v>1790</v>
      </c>
      <c r="B6">
        <v>40</v>
      </c>
    </row>
    <row r="7" spans="1:2" x14ac:dyDescent="0.25">
      <c r="A7" t="s">
        <v>288</v>
      </c>
      <c r="B7">
        <v>25</v>
      </c>
    </row>
    <row r="8" spans="1:2" x14ac:dyDescent="0.25">
      <c r="A8" t="s">
        <v>1988</v>
      </c>
      <c r="B8">
        <v>22</v>
      </c>
    </row>
    <row r="9" spans="1:2" x14ac:dyDescent="0.25">
      <c r="A9" t="s">
        <v>407</v>
      </c>
      <c r="B9">
        <v>40</v>
      </c>
    </row>
    <row r="10" spans="1:2" x14ac:dyDescent="0.25">
      <c r="A10" t="s">
        <v>2738</v>
      </c>
      <c r="B10">
        <v>40</v>
      </c>
    </row>
    <row r="11" spans="1:2" x14ac:dyDescent="0.25">
      <c r="A11" t="s">
        <v>2505</v>
      </c>
      <c r="B11">
        <v>60</v>
      </c>
    </row>
    <row r="12" spans="1:2" x14ac:dyDescent="0.25">
      <c r="A12" t="s">
        <v>2778</v>
      </c>
      <c r="B12">
        <v>40</v>
      </c>
    </row>
    <row r="13" spans="1:2" x14ac:dyDescent="0.25">
      <c r="A13" t="s">
        <v>2597</v>
      </c>
      <c r="B13">
        <v>20</v>
      </c>
    </row>
    <row r="14" spans="1:2" x14ac:dyDescent="0.25">
      <c r="A14" t="s">
        <v>479</v>
      </c>
      <c r="B14">
        <v>40</v>
      </c>
    </row>
    <row r="15" spans="1:2" x14ac:dyDescent="0.25">
      <c r="A15" t="s">
        <v>2824</v>
      </c>
      <c r="B15">
        <v>40</v>
      </c>
    </row>
    <row r="16" spans="1:2" x14ac:dyDescent="0.25">
      <c r="A16" t="s">
        <v>291</v>
      </c>
      <c r="B16">
        <v>30</v>
      </c>
    </row>
    <row r="17" spans="1:2" x14ac:dyDescent="0.25">
      <c r="A17" t="s">
        <v>1091</v>
      </c>
      <c r="B17">
        <v>20</v>
      </c>
    </row>
    <row r="18" spans="1:2" x14ac:dyDescent="0.25">
      <c r="A18" t="s">
        <v>12</v>
      </c>
      <c r="B18">
        <v>40</v>
      </c>
    </row>
    <row r="19" spans="1:2" x14ac:dyDescent="0.25">
      <c r="A19" t="s">
        <v>1791</v>
      </c>
      <c r="B19">
        <v>40</v>
      </c>
    </row>
    <row r="20" spans="1:2" x14ac:dyDescent="0.25">
      <c r="A20" t="s">
        <v>2660</v>
      </c>
      <c r="B20">
        <v>30</v>
      </c>
    </row>
    <row r="21" spans="1:2" x14ac:dyDescent="0.25">
      <c r="A21" t="s">
        <v>1914</v>
      </c>
      <c r="B21">
        <v>15</v>
      </c>
    </row>
    <row r="22" spans="1:2" x14ac:dyDescent="0.25">
      <c r="A22" t="s">
        <v>904</v>
      </c>
      <c r="B22">
        <v>15</v>
      </c>
    </row>
    <row r="23" spans="1:2" x14ac:dyDescent="0.25">
      <c r="A23" t="s">
        <v>2864</v>
      </c>
      <c r="B23">
        <v>30</v>
      </c>
    </row>
    <row r="24" spans="1:2" x14ac:dyDescent="0.25">
      <c r="A24" t="s">
        <v>1315</v>
      </c>
      <c r="B24">
        <v>30</v>
      </c>
    </row>
    <row r="25" spans="1:2" x14ac:dyDescent="0.25">
      <c r="A25" t="s">
        <v>1637</v>
      </c>
      <c r="B25">
        <v>40</v>
      </c>
    </row>
    <row r="26" spans="1:2" x14ac:dyDescent="0.25">
      <c r="A26" t="s">
        <v>637</v>
      </c>
      <c r="B26">
        <v>20</v>
      </c>
    </row>
    <row r="27" spans="1:2" x14ac:dyDescent="0.25">
      <c r="A27" t="s">
        <v>1090</v>
      </c>
      <c r="B27">
        <v>20</v>
      </c>
    </row>
    <row r="28" spans="1:2" x14ac:dyDescent="0.25">
      <c r="A28" t="s">
        <v>296</v>
      </c>
      <c r="B28">
        <v>40</v>
      </c>
    </row>
    <row r="29" spans="1:2" x14ac:dyDescent="0.25">
      <c r="A29" t="s">
        <v>936</v>
      </c>
      <c r="B29">
        <v>40</v>
      </c>
    </row>
    <row r="30" spans="1:2" x14ac:dyDescent="0.25">
      <c r="A30" t="s">
        <v>876</v>
      </c>
      <c r="B30">
        <v>25</v>
      </c>
    </row>
    <row r="31" spans="1:2" x14ac:dyDescent="0.25">
      <c r="A31" t="s">
        <v>1756</v>
      </c>
      <c r="B31">
        <v>22</v>
      </c>
    </row>
    <row r="32" spans="1:2" x14ac:dyDescent="0.25">
      <c r="A32" t="s">
        <v>292</v>
      </c>
      <c r="B32">
        <v>20</v>
      </c>
    </row>
    <row r="33" spans="1:2" x14ac:dyDescent="0.25">
      <c r="A33" t="s">
        <v>1344</v>
      </c>
      <c r="B33">
        <v>20</v>
      </c>
    </row>
    <row r="34" spans="1:2" x14ac:dyDescent="0.25">
      <c r="A34" t="s">
        <v>1818</v>
      </c>
      <c r="B34">
        <v>30</v>
      </c>
    </row>
    <row r="35" spans="1:2" x14ac:dyDescent="0.25">
      <c r="A35" t="s">
        <v>303</v>
      </c>
      <c r="B35">
        <v>10</v>
      </c>
    </row>
    <row r="36" spans="1:2" x14ac:dyDescent="0.25">
      <c r="A36" t="s">
        <v>519</v>
      </c>
      <c r="B36">
        <v>30</v>
      </c>
    </row>
    <row r="37" spans="1:2" x14ac:dyDescent="0.25">
      <c r="A37" t="s">
        <v>126</v>
      </c>
      <c r="B37">
        <v>30</v>
      </c>
    </row>
    <row r="38" spans="1:2" x14ac:dyDescent="0.25">
      <c r="A38" t="s">
        <v>1960</v>
      </c>
      <c r="B38">
        <v>40</v>
      </c>
    </row>
    <row r="39" spans="1:2" x14ac:dyDescent="0.25">
      <c r="A39" t="s">
        <v>2681</v>
      </c>
      <c r="B39">
        <v>40</v>
      </c>
    </row>
    <row r="40" spans="1:2" x14ac:dyDescent="0.25">
      <c r="A40" t="s">
        <v>1373</v>
      </c>
      <c r="B40">
        <v>15</v>
      </c>
    </row>
    <row r="41" spans="1:2" x14ac:dyDescent="0.25">
      <c r="A41" t="s">
        <v>45</v>
      </c>
      <c r="B41">
        <v>15</v>
      </c>
    </row>
    <row r="42" spans="1:2" x14ac:dyDescent="0.25">
      <c r="A42" t="s">
        <v>111</v>
      </c>
      <c r="B42">
        <v>15</v>
      </c>
    </row>
    <row r="43" spans="1:2" x14ac:dyDescent="0.25">
      <c r="A43" t="s">
        <v>297</v>
      </c>
      <c r="B43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42"/>
  <sheetViews>
    <sheetView workbookViewId="0">
      <selection activeCell="I24" sqref="I24"/>
    </sheetView>
  </sheetViews>
  <sheetFormatPr defaultRowHeight="15" x14ac:dyDescent="0.25"/>
  <cols>
    <col min="1" max="1" width="29.28515625" customWidth="1"/>
    <col min="2" max="2" width="40.140625" customWidth="1"/>
    <col min="3" max="3" width="34.5703125" style="14" customWidth="1"/>
    <col min="4" max="9" width="8.5703125" customWidth="1"/>
    <col min="10" max="71" width="9.5703125" customWidth="1"/>
    <col min="72" max="270" width="10.5703125" customWidth="1"/>
    <col min="271" max="446" width="12.140625" customWidth="1"/>
    <col min="447" max="447" width="12.140625" bestFit="1" customWidth="1"/>
    <col min="448" max="511" width="12.140625" customWidth="1"/>
    <col min="512" max="514" width="12.140625" bestFit="1" customWidth="1"/>
    <col min="515" max="620" width="12.140625" customWidth="1"/>
    <col min="621" max="621" width="12.140625" bestFit="1" customWidth="1"/>
    <col min="622" max="631" width="12.140625" customWidth="1"/>
    <col min="632" max="632" width="12.140625" bestFit="1" customWidth="1"/>
    <col min="633" max="633" width="12.140625" customWidth="1"/>
    <col min="634" max="636" width="12.140625" bestFit="1" customWidth="1"/>
    <col min="637" max="666" width="12.140625" customWidth="1"/>
    <col min="667" max="669" width="13.28515625" customWidth="1"/>
    <col min="670" max="670" width="13.28515625" bestFit="1" customWidth="1"/>
    <col min="671" max="674" width="13.28515625" customWidth="1"/>
    <col min="675" max="675" width="13.28515625" bestFit="1" customWidth="1"/>
    <col min="676" max="676" width="13.28515625" customWidth="1"/>
    <col min="677" max="677" width="13.28515625" bestFit="1" customWidth="1"/>
    <col min="678" max="681" width="13.28515625" customWidth="1"/>
    <col min="682" max="683" width="13.28515625" bestFit="1" customWidth="1"/>
    <col min="684" max="685" width="13.28515625" customWidth="1"/>
    <col min="686" max="686" width="13.28515625" bestFit="1" customWidth="1"/>
    <col min="687" max="687" width="13.28515625" customWidth="1"/>
    <col min="688" max="688" width="13.28515625" bestFit="1" customWidth="1"/>
    <col min="689" max="695" width="13.28515625" customWidth="1"/>
    <col min="696" max="699" width="13.28515625" bestFit="1" customWidth="1"/>
    <col min="700" max="718" width="13.28515625" customWidth="1"/>
    <col min="719" max="720" width="13.28515625" bestFit="1" customWidth="1"/>
    <col min="721" max="722" width="13.28515625" customWidth="1"/>
    <col min="723" max="723" width="13.28515625" bestFit="1" customWidth="1"/>
    <col min="724" max="724" width="13.28515625" customWidth="1"/>
    <col min="725" max="725" width="13.28515625" bestFit="1" customWidth="1"/>
    <col min="726" max="726" width="13.28515625" customWidth="1"/>
    <col min="727" max="727" width="13.28515625" bestFit="1" customWidth="1"/>
    <col min="728" max="730" width="13.28515625" customWidth="1"/>
    <col min="731" max="732" width="13.28515625" bestFit="1" customWidth="1"/>
    <col min="733" max="735" width="13.28515625" customWidth="1"/>
    <col min="736" max="736" width="13.28515625" bestFit="1" customWidth="1"/>
    <col min="737" max="759" width="13.28515625" customWidth="1"/>
    <col min="760" max="760" width="13.28515625" bestFit="1" customWidth="1"/>
    <col min="761" max="767" width="13.28515625" customWidth="1"/>
    <col min="768" max="768" width="13.28515625" bestFit="1" customWidth="1"/>
    <col min="769" max="769" width="13.28515625" customWidth="1"/>
    <col min="770" max="770" width="13.28515625" bestFit="1" customWidth="1"/>
    <col min="771" max="791" width="13.28515625" customWidth="1"/>
    <col min="792" max="792" width="13.28515625" bestFit="1" customWidth="1"/>
    <col min="793" max="793" width="13.28515625" customWidth="1"/>
    <col min="794" max="794" width="13.28515625" bestFit="1" customWidth="1"/>
    <col min="795" max="796" width="13.28515625" customWidth="1"/>
    <col min="797" max="798" width="13.28515625" bestFit="1" customWidth="1"/>
    <col min="799" max="800" width="13.28515625" customWidth="1"/>
    <col min="801" max="801" width="13.28515625" bestFit="1" customWidth="1"/>
    <col min="802" max="806" width="13.28515625" customWidth="1"/>
    <col min="807" max="807" width="13.28515625" bestFit="1" customWidth="1"/>
    <col min="808" max="808" width="13.28515625" customWidth="1"/>
    <col min="809" max="809" width="13.28515625" bestFit="1" customWidth="1"/>
    <col min="810" max="811" width="13.28515625" customWidth="1"/>
    <col min="812" max="812" width="13.28515625" bestFit="1" customWidth="1"/>
    <col min="813" max="835" width="13.28515625" customWidth="1"/>
    <col min="836" max="836" width="13.28515625" bestFit="1" customWidth="1"/>
    <col min="837" max="851" width="13.28515625" customWidth="1"/>
    <col min="852" max="852" width="13.28515625" bestFit="1" customWidth="1"/>
    <col min="853" max="892" width="13.28515625" customWidth="1"/>
    <col min="893" max="893" width="13.28515625" bestFit="1" customWidth="1"/>
    <col min="894" max="946" width="13.28515625" customWidth="1"/>
    <col min="947" max="947" width="13.28515625" bestFit="1" customWidth="1"/>
    <col min="948" max="987" width="13.28515625" customWidth="1"/>
    <col min="988" max="988" width="13.28515625" bestFit="1" customWidth="1"/>
    <col min="989" max="1011" width="13.28515625" customWidth="1"/>
    <col min="1012" max="1013" width="13.28515625" bestFit="1" customWidth="1"/>
    <col min="1014" max="1038" width="13.28515625" customWidth="1"/>
    <col min="1039" max="1039" width="13.28515625" bestFit="1" customWidth="1"/>
    <col min="1040" max="1040" width="13.28515625" customWidth="1"/>
    <col min="1041" max="1041" width="13.28515625" bestFit="1" customWidth="1"/>
    <col min="1042" max="1047" width="13.28515625" customWidth="1"/>
    <col min="1048" max="1048" width="13.28515625" bestFit="1" customWidth="1"/>
    <col min="1049" max="1050" width="13.28515625" customWidth="1"/>
    <col min="1051" max="1051" width="13.28515625" bestFit="1" customWidth="1"/>
    <col min="1052" max="1060" width="13.28515625" customWidth="1"/>
    <col min="1061" max="1061" width="13.28515625" bestFit="1" customWidth="1"/>
    <col min="1062" max="1073" width="13.28515625" customWidth="1"/>
    <col min="1074" max="1074" width="13.28515625" bestFit="1" customWidth="1"/>
    <col min="1075" max="1081" width="13.28515625" customWidth="1"/>
    <col min="1082" max="1082" width="13.28515625" bestFit="1" customWidth="1"/>
    <col min="1083" max="1116" width="13.28515625" customWidth="1"/>
    <col min="1117" max="1118" width="13.28515625" bestFit="1" customWidth="1"/>
    <col min="1119" max="1132" width="13.28515625" customWidth="1"/>
    <col min="1133" max="1133" width="13.28515625" bestFit="1" customWidth="1"/>
    <col min="1134" max="1141" width="13.28515625" customWidth="1"/>
    <col min="1142" max="1143" width="13.28515625" bestFit="1" customWidth="1"/>
    <col min="1144" max="1156" width="13.28515625" customWidth="1"/>
    <col min="1157" max="1157" width="13.28515625" bestFit="1" customWidth="1"/>
    <col min="1158" max="1166" width="13.28515625" customWidth="1"/>
    <col min="1167" max="1167" width="13.28515625" bestFit="1" customWidth="1"/>
    <col min="1168" max="1173" width="13.28515625" customWidth="1"/>
    <col min="1174" max="1174" width="13.28515625" bestFit="1" customWidth="1"/>
    <col min="1175" max="1184" width="13.28515625" customWidth="1"/>
    <col min="1185" max="1186" width="13.28515625" bestFit="1" customWidth="1"/>
    <col min="1187" max="1187" width="13.28515625" customWidth="1"/>
    <col min="1188" max="1188" width="13.28515625" bestFit="1" customWidth="1"/>
    <col min="1189" max="1202" width="14.28515625" customWidth="1"/>
    <col min="1203" max="1203" width="14.28515625" bestFit="1" customWidth="1"/>
    <col min="1204" max="1230" width="14.28515625" customWidth="1"/>
    <col min="1231" max="1231" width="14.28515625" bestFit="1" customWidth="1"/>
    <col min="1232" max="1232" width="14.28515625" customWidth="1"/>
    <col min="1233" max="1233" width="14.28515625" bestFit="1" customWidth="1"/>
    <col min="1234" max="1251" width="14.28515625" customWidth="1"/>
    <col min="1252" max="1253" width="14.28515625" bestFit="1" customWidth="1"/>
    <col min="1254" max="1255" width="14.28515625" customWidth="1"/>
    <col min="1256" max="1258" width="14.28515625" bestFit="1" customWidth="1"/>
    <col min="1259" max="1269" width="14.28515625" customWidth="1"/>
    <col min="1270" max="1271" width="14.28515625" bestFit="1" customWidth="1"/>
    <col min="1272" max="1275" width="14.28515625" customWidth="1"/>
    <col min="1276" max="1276" width="14.28515625" bestFit="1" customWidth="1"/>
    <col min="1277" max="1277" width="14.28515625" customWidth="1"/>
    <col min="1278" max="1278" width="14.28515625" bestFit="1" customWidth="1"/>
    <col min="1279" max="1283" width="14.28515625" customWidth="1"/>
    <col min="1284" max="1284" width="14.28515625" bestFit="1" customWidth="1"/>
    <col min="1285" max="1289" width="14.28515625" customWidth="1"/>
    <col min="1290" max="1290" width="14.28515625" bestFit="1" customWidth="1"/>
    <col min="1291" max="1296" width="14.28515625" customWidth="1"/>
    <col min="1297" max="1297" width="14.28515625" bestFit="1" customWidth="1"/>
    <col min="1298" max="1303" width="14.28515625" customWidth="1"/>
    <col min="1304" max="1304" width="14.28515625" bestFit="1" customWidth="1"/>
    <col min="1305" max="1323" width="14.28515625" customWidth="1"/>
    <col min="1324" max="1324" width="14.28515625" bestFit="1" customWidth="1"/>
    <col min="1325" max="1333" width="14.28515625" customWidth="1"/>
    <col min="1334" max="1337" width="14.28515625" bestFit="1" customWidth="1"/>
    <col min="1338" max="1339" width="14.28515625" customWidth="1"/>
    <col min="1340" max="1340" width="14.28515625" bestFit="1" customWidth="1"/>
    <col min="1341" max="1342" width="14.28515625" customWidth="1"/>
    <col min="1343" max="1344" width="14.28515625" bestFit="1" customWidth="1"/>
    <col min="1345" max="1346" width="14.28515625" customWidth="1"/>
    <col min="1347" max="1348" width="14.28515625" bestFit="1" customWidth="1"/>
    <col min="1349" max="1373" width="14.28515625" customWidth="1"/>
    <col min="1374" max="1374" width="14.28515625" bestFit="1" customWidth="1"/>
    <col min="1375" max="1376" width="14.28515625" customWidth="1"/>
    <col min="1377" max="1377" width="15.85546875" customWidth="1"/>
    <col min="1378" max="1378" width="15.85546875" bestFit="1" customWidth="1"/>
    <col min="1379" max="1382" width="15.85546875" customWidth="1"/>
    <col min="1383" max="1383" width="15.85546875" bestFit="1" customWidth="1"/>
    <col min="1384" max="1387" width="15.85546875" customWidth="1"/>
    <col min="1388" max="1388" width="15.85546875" bestFit="1" customWidth="1"/>
    <col min="1389" max="1392" width="15.85546875" customWidth="1"/>
    <col min="1393" max="1393" width="15.85546875" bestFit="1" customWidth="1"/>
    <col min="1394" max="1394" width="15.85546875" customWidth="1"/>
    <col min="1395" max="1395" width="15.85546875" bestFit="1" customWidth="1"/>
    <col min="1396" max="1396" width="15.85546875" customWidth="1"/>
    <col min="1397" max="1397" width="12.140625" customWidth="1"/>
    <col min="1398" max="1398" width="13.28515625" customWidth="1"/>
    <col min="1399" max="1399" width="13.28515625" bestFit="1" customWidth="1"/>
    <col min="1400" max="1400" width="13.28515625" customWidth="1"/>
    <col min="1401" max="1401" width="14.28515625" customWidth="1"/>
    <col min="1402" max="1403" width="14.28515625" bestFit="1" customWidth="1"/>
    <col min="1404" max="1404" width="14.28515625" customWidth="1"/>
    <col min="1405" max="1405" width="14.28515625" bestFit="1" customWidth="1"/>
    <col min="1406" max="1406" width="12.42578125" customWidth="1"/>
    <col min="1407" max="1407" width="13.28515625" customWidth="1"/>
    <col min="1408" max="1408" width="9.42578125" customWidth="1"/>
    <col min="1409" max="1409" width="13.28515625" customWidth="1"/>
    <col min="1410" max="1410" width="9.42578125" customWidth="1"/>
    <col min="1411" max="1411" width="13.85546875" customWidth="1"/>
    <col min="1412" max="1412" width="16.5703125" customWidth="1"/>
    <col min="1413" max="1413" width="13.28515625" customWidth="1"/>
    <col min="1414" max="1414" width="9.42578125" customWidth="1"/>
    <col min="1415" max="1415" width="13.28515625" customWidth="1"/>
    <col min="1416" max="1416" width="12.42578125" bestFit="1" customWidth="1"/>
    <col min="1417" max="1417" width="12.140625" customWidth="1"/>
    <col min="1418" max="1418" width="9.42578125" customWidth="1"/>
    <col min="1419" max="1419" width="13.28515625" customWidth="1"/>
    <col min="1420" max="1420" width="13.5703125" customWidth="1"/>
    <col min="1421" max="1421" width="13.28515625" customWidth="1"/>
    <col min="1422" max="1422" width="12.42578125" customWidth="1"/>
    <col min="1423" max="1423" width="10.5703125" customWidth="1"/>
    <col min="1424" max="1424" width="12.140625" customWidth="1"/>
    <col min="1425" max="1425" width="8.42578125" customWidth="1"/>
    <col min="1426" max="1426" width="12.140625" customWidth="1"/>
    <col min="1427" max="1427" width="12.140625" bestFit="1" customWidth="1"/>
    <col min="1428" max="1428" width="12.140625" customWidth="1"/>
    <col min="1429" max="1429" width="13.28515625" customWidth="1"/>
    <col min="1430" max="1430" width="9.42578125" customWidth="1"/>
    <col min="1431" max="1431" width="12.140625" customWidth="1"/>
    <col min="1432" max="1432" width="10.42578125" customWidth="1"/>
    <col min="1433" max="1434" width="13.28515625" customWidth="1"/>
    <col min="1435" max="1435" width="11.42578125" customWidth="1"/>
    <col min="1436" max="1440" width="9.5703125" customWidth="1"/>
    <col min="1441" max="1442" width="10.5703125" customWidth="1"/>
    <col min="1443" max="1443" width="10.5703125" bestFit="1" customWidth="1"/>
    <col min="1444" max="1449" width="10.5703125" customWidth="1"/>
    <col min="1450" max="1452" width="12.140625" customWidth="1"/>
    <col min="1453" max="1453" width="9.42578125" customWidth="1"/>
    <col min="1454" max="1457" width="9.5703125" customWidth="1"/>
    <col min="1458" max="1476" width="10.5703125" customWidth="1"/>
    <col min="1477" max="1478" width="12.140625" customWidth="1"/>
    <col min="1479" max="1479" width="12.140625" bestFit="1" customWidth="1"/>
    <col min="1480" max="1488" width="12.140625" customWidth="1"/>
    <col min="1489" max="1491" width="13.28515625" customWidth="1"/>
    <col min="1492" max="1493" width="13.28515625" bestFit="1" customWidth="1"/>
    <col min="1494" max="1494" width="13.28515625" customWidth="1"/>
    <col min="1495" max="1495" width="13.28515625" bestFit="1" customWidth="1"/>
    <col min="1496" max="1496" width="13.28515625" customWidth="1"/>
    <col min="1497" max="1497" width="13.28515625" bestFit="1" customWidth="1"/>
    <col min="1498" max="1498" width="6.85546875" customWidth="1"/>
    <col min="1499" max="1499" width="13.28515625" bestFit="1" customWidth="1"/>
    <col min="1500" max="1500" width="9.42578125" customWidth="1"/>
    <col min="1501" max="1504" width="13.28515625" bestFit="1" customWidth="1"/>
    <col min="1505" max="1505" width="13.28515625" customWidth="1"/>
    <col min="1506" max="1506" width="14.28515625" bestFit="1" customWidth="1"/>
    <col min="1507" max="1507" width="11.42578125" bestFit="1" customWidth="1"/>
    <col min="1508" max="1508" width="13.28515625" bestFit="1" customWidth="1"/>
    <col min="1509" max="1509" width="12.42578125" bestFit="1" customWidth="1"/>
    <col min="1510" max="1510" width="13.28515625" bestFit="1" customWidth="1"/>
    <col min="1511" max="1511" width="12.42578125" bestFit="1" customWidth="1"/>
    <col min="1512" max="1512" width="12.140625" bestFit="1" customWidth="1"/>
    <col min="1513" max="1513" width="11.42578125" customWidth="1"/>
    <col min="1514" max="1514" width="13.28515625" bestFit="1" customWidth="1"/>
    <col min="1515" max="1515" width="10.42578125" customWidth="1"/>
    <col min="1516" max="1516" width="12.140625" customWidth="1"/>
    <col min="1517" max="1517" width="10.42578125" customWidth="1"/>
    <col min="1518" max="1518" width="13.28515625" bestFit="1" customWidth="1"/>
    <col min="1519" max="1519" width="10.42578125" customWidth="1"/>
    <col min="1520" max="1520" width="13.28515625" bestFit="1" customWidth="1"/>
    <col min="1521" max="1521" width="13.28515625" customWidth="1"/>
    <col min="1522" max="1522" width="15.5703125" bestFit="1" customWidth="1"/>
    <col min="1523" max="1523" width="13.28515625" customWidth="1"/>
    <col min="1524" max="1524" width="15.5703125" customWidth="1"/>
    <col min="1525" max="1525" width="13.28515625" customWidth="1"/>
    <col min="1526" max="1526" width="12.42578125" customWidth="1"/>
    <col min="1527" max="1527" width="13.28515625" customWidth="1"/>
    <col min="1528" max="1528" width="9.42578125" customWidth="1"/>
    <col min="1529" max="1529" width="12.140625" customWidth="1"/>
    <col min="1530" max="1531" width="13.28515625" customWidth="1"/>
    <col min="1532" max="1532" width="10.42578125" customWidth="1"/>
    <col min="1533" max="1533" width="13.28515625" customWidth="1"/>
    <col min="1534" max="1534" width="9.42578125" customWidth="1"/>
    <col min="1535" max="1535" width="12.140625" customWidth="1"/>
    <col min="1536" max="1536" width="10.42578125" customWidth="1"/>
    <col min="1537" max="1537" width="14.28515625" bestFit="1" customWidth="1"/>
    <col min="1538" max="1538" width="8.42578125" customWidth="1"/>
    <col min="1539" max="1539" width="12.140625" customWidth="1"/>
    <col min="1540" max="1540" width="13.5703125" customWidth="1"/>
    <col min="1541" max="1541" width="12.140625" customWidth="1"/>
    <col min="1542" max="1542" width="11.42578125" customWidth="1"/>
    <col min="1543" max="1543" width="13.28515625" customWidth="1"/>
    <col min="1544" max="1544" width="12.42578125" customWidth="1"/>
    <col min="1545" max="1545" width="14.28515625" customWidth="1"/>
    <col min="1546" max="1546" width="10.42578125" customWidth="1"/>
    <col min="1547" max="1549" width="12.140625" customWidth="1"/>
    <col min="1550" max="1550" width="13.28515625" bestFit="1" customWidth="1"/>
    <col min="1551" max="1551" width="8.42578125" customWidth="1"/>
    <col min="1552" max="1552" width="12.140625" customWidth="1"/>
    <col min="1553" max="1553" width="11.42578125" customWidth="1"/>
    <col min="1554" max="1558" width="13.28515625" customWidth="1"/>
    <col min="1559" max="1559" width="9.42578125" customWidth="1"/>
    <col min="1560" max="1560" width="13.28515625" customWidth="1"/>
    <col min="1561" max="1561" width="8.42578125" customWidth="1"/>
    <col min="1562" max="1562" width="13.28515625" customWidth="1"/>
    <col min="1563" max="1563" width="10.42578125" customWidth="1"/>
    <col min="1564" max="1564" width="13.28515625" customWidth="1"/>
    <col min="1565" max="1565" width="10.42578125" customWidth="1"/>
    <col min="1566" max="1566" width="14.28515625" customWidth="1"/>
    <col min="1567" max="1567" width="9.42578125" customWidth="1"/>
    <col min="1568" max="1568" width="13.28515625" customWidth="1"/>
    <col min="1569" max="1569" width="10.42578125" customWidth="1"/>
    <col min="1570" max="1571" width="12.140625" customWidth="1"/>
    <col min="1572" max="1572" width="11.42578125" customWidth="1"/>
    <col min="1573" max="1573" width="12.140625" customWidth="1"/>
    <col min="1574" max="1574" width="10.42578125" customWidth="1"/>
    <col min="1575" max="1575" width="13.28515625" customWidth="1"/>
    <col min="1576" max="1576" width="10.42578125" customWidth="1"/>
    <col min="1577" max="1577" width="10.5703125" customWidth="1"/>
    <col min="1578" max="1578" width="10.42578125" customWidth="1"/>
    <col min="1579" max="1579" width="14.28515625" customWidth="1"/>
    <col min="1580" max="1580" width="9.42578125" customWidth="1"/>
    <col min="1581" max="1581" width="13.28515625" customWidth="1"/>
    <col min="1582" max="1582" width="10.42578125" customWidth="1"/>
    <col min="1583" max="1583" width="12.140625" customWidth="1"/>
    <col min="1584" max="1584" width="11.42578125" customWidth="1"/>
    <col min="1585" max="1586" width="12.140625" customWidth="1"/>
    <col min="1587" max="1587" width="11.42578125" customWidth="1"/>
    <col min="1588" max="1588" width="12.140625" customWidth="1"/>
    <col min="1589" max="1589" width="13.28515625" customWidth="1"/>
    <col min="1590" max="1590" width="6.85546875" customWidth="1"/>
    <col min="1591" max="1591" width="13.28515625" customWidth="1"/>
    <col min="1592" max="1592" width="9.42578125" customWidth="1"/>
    <col min="1593" max="1593" width="12.140625" customWidth="1"/>
    <col min="1594" max="1594" width="12.42578125" customWidth="1"/>
    <col min="1595" max="1595" width="13.28515625" customWidth="1"/>
    <col min="1596" max="1596" width="10.42578125" customWidth="1"/>
    <col min="1597" max="1597" width="13.28515625" customWidth="1"/>
    <col min="1598" max="1598" width="14.5703125" customWidth="1"/>
    <col min="1599" max="1599" width="12.140625" customWidth="1"/>
    <col min="1600" max="1600" width="13.5703125" bestFit="1" customWidth="1"/>
    <col min="1601" max="1601" width="12.140625" bestFit="1" customWidth="1"/>
    <col min="1602" max="1602" width="10.42578125" customWidth="1"/>
    <col min="1603" max="1603" width="12.140625" customWidth="1"/>
    <col min="1604" max="1604" width="8.42578125" customWidth="1"/>
    <col min="1605" max="1605" width="9.5703125" customWidth="1"/>
    <col min="1606" max="1606" width="10.42578125" customWidth="1"/>
    <col min="1607" max="1607" width="12.140625" customWidth="1"/>
    <col min="1608" max="1608" width="10.42578125" customWidth="1"/>
    <col min="1609" max="1609" width="13.28515625" customWidth="1"/>
    <col min="1610" max="1610" width="11.42578125" customWidth="1"/>
    <col min="1611" max="1611" width="12.140625" customWidth="1"/>
    <col min="1612" max="1612" width="12.42578125" customWidth="1"/>
    <col min="1613" max="1613" width="13.28515625" customWidth="1"/>
    <col min="1614" max="1614" width="11.42578125" customWidth="1"/>
    <col min="1615" max="1617" width="14.28515625" customWidth="1"/>
    <col min="1618" max="1618" width="12.42578125" customWidth="1"/>
    <col min="1619" max="1619" width="8.5703125" customWidth="1"/>
    <col min="1620" max="1620" width="9.5703125" customWidth="1"/>
    <col min="1621" max="1621" width="10.5703125" customWidth="1"/>
    <col min="1622" max="1624" width="12.140625" customWidth="1"/>
    <col min="1625" max="1625" width="12.140625" bestFit="1" customWidth="1"/>
    <col min="1626" max="1628" width="13.28515625" customWidth="1"/>
    <col min="1629" max="1630" width="14.28515625" customWidth="1"/>
    <col min="1631" max="1631" width="15.85546875" customWidth="1"/>
    <col min="1632" max="1632" width="8.42578125" customWidth="1"/>
    <col min="1633" max="1633" width="12.140625" customWidth="1"/>
    <col min="1634" max="1634" width="12.42578125" customWidth="1"/>
    <col min="1635" max="1635" width="13.28515625" customWidth="1"/>
    <col min="1636" max="1636" width="12.42578125" customWidth="1"/>
    <col min="1637" max="1640" width="13.28515625" customWidth="1"/>
    <col min="1641" max="1641" width="13.28515625" bestFit="1" customWidth="1"/>
    <col min="1642" max="1644" width="13.28515625" customWidth="1"/>
    <col min="1645" max="1645" width="14.28515625" customWidth="1"/>
    <col min="1646" max="1646" width="11.42578125" customWidth="1"/>
    <col min="1647" max="1647" width="12.140625" customWidth="1"/>
    <col min="1648" max="1648" width="12.140625" bestFit="1" customWidth="1"/>
    <col min="1649" max="1650" width="12.140625" customWidth="1"/>
    <col min="1651" max="1651" width="9.42578125" customWidth="1"/>
    <col min="1652" max="1652" width="13.28515625" customWidth="1"/>
    <col min="1653" max="1653" width="6.85546875" customWidth="1"/>
    <col min="1654" max="1654" width="13.28515625" customWidth="1"/>
    <col min="1655" max="1655" width="9.42578125" customWidth="1"/>
    <col min="1656" max="1656" width="12.140625" customWidth="1"/>
    <col min="1657" max="1657" width="11.42578125" customWidth="1"/>
    <col min="1658" max="1658" width="13.28515625" customWidth="1"/>
    <col min="1659" max="1659" width="10.42578125" customWidth="1"/>
    <col min="1660" max="1660" width="13.28515625" customWidth="1"/>
    <col min="1661" max="1661" width="12.42578125" customWidth="1"/>
    <col min="1662" max="1662" width="14.28515625" customWidth="1"/>
    <col min="1663" max="1663" width="10.42578125" customWidth="1"/>
    <col min="1664" max="1664" width="13.28515625" customWidth="1"/>
    <col min="1665" max="1665" width="12.42578125" customWidth="1"/>
    <col min="1666" max="1666" width="13.28515625" customWidth="1"/>
    <col min="1667" max="1667" width="10.42578125" customWidth="1"/>
    <col min="1668" max="1668" width="13.28515625" customWidth="1"/>
    <col min="1669" max="1669" width="11.42578125" customWidth="1"/>
    <col min="1670" max="1670" width="13.28515625" bestFit="1" customWidth="1"/>
    <col min="1671" max="1671" width="11.42578125" customWidth="1"/>
    <col min="1672" max="1672" width="13.28515625" customWidth="1"/>
    <col min="1673" max="1673" width="9.42578125" customWidth="1"/>
    <col min="1674" max="1676" width="13.28515625" customWidth="1"/>
    <col min="1677" max="1677" width="13.28515625" bestFit="1" customWidth="1"/>
    <col min="1678" max="1678" width="12.42578125" customWidth="1"/>
    <col min="1679" max="1679" width="12.140625" customWidth="1"/>
    <col min="1680" max="1680" width="10.42578125" customWidth="1"/>
    <col min="1681" max="1681" width="12.140625" customWidth="1"/>
    <col min="1682" max="1682" width="12.42578125" customWidth="1"/>
    <col min="1683" max="1683" width="12.140625" customWidth="1"/>
    <col min="1684" max="1684" width="13.28515625" bestFit="1" customWidth="1"/>
    <col min="1685" max="1685" width="13.28515625" customWidth="1"/>
    <col min="1686" max="1686" width="8.42578125" customWidth="1"/>
    <col min="1687" max="1687" width="13.28515625" customWidth="1"/>
    <col min="1688" max="1688" width="11.42578125" customWidth="1"/>
    <col min="1689" max="1689" width="12.140625" bestFit="1" customWidth="1"/>
    <col min="1690" max="1690" width="11.42578125" customWidth="1"/>
    <col min="1691" max="1691" width="13.28515625" bestFit="1" customWidth="1"/>
    <col min="1692" max="1692" width="13.28515625" customWidth="1"/>
    <col min="1693" max="1693" width="13.28515625" bestFit="1" customWidth="1"/>
    <col min="1694" max="1694" width="9.42578125" customWidth="1"/>
    <col min="1695" max="1695" width="15.85546875" bestFit="1" customWidth="1"/>
    <col min="1696" max="1696" width="14.5703125" bestFit="1" customWidth="1"/>
    <col min="1697" max="1697" width="13.28515625" customWidth="1"/>
    <col min="1698" max="1698" width="9.42578125" customWidth="1"/>
    <col min="1699" max="1699" width="13.28515625" customWidth="1"/>
    <col min="1700" max="1700" width="9.42578125" customWidth="1"/>
    <col min="1701" max="1701" width="13.28515625" bestFit="1" customWidth="1"/>
    <col min="1702" max="1702" width="9.42578125" customWidth="1"/>
    <col min="1703" max="1703" width="12.85546875" customWidth="1"/>
    <col min="1704" max="1704" width="15.5703125" bestFit="1" customWidth="1"/>
    <col min="1705" max="1705" width="13.28515625" customWidth="1"/>
    <col min="1706" max="1709" width="13.28515625" bestFit="1" customWidth="1"/>
    <col min="1710" max="1710" width="10.42578125" customWidth="1"/>
    <col min="1711" max="1711" width="12.140625" customWidth="1"/>
    <col min="1712" max="1712" width="11.42578125" bestFit="1" customWidth="1"/>
    <col min="1713" max="1713" width="13.28515625" bestFit="1" customWidth="1"/>
    <col min="1714" max="1714" width="12.42578125" bestFit="1" customWidth="1"/>
    <col min="1715" max="1715" width="13.28515625" bestFit="1" customWidth="1"/>
    <col min="1716" max="1716" width="10.42578125" customWidth="1"/>
    <col min="1717" max="1717" width="13.28515625" bestFit="1" customWidth="1"/>
    <col min="1718" max="1718" width="14.5703125" bestFit="1" customWidth="1"/>
    <col min="1719" max="1719" width="13.28515625" customWidth="1"/>
    <col min="1720" max="1720" width="11.42578125" customWidth="1"/>
    <col min="1721" max="1721" width="10.5703125" bestFit="1" customWidth="1"/>
    <col min="1722" max="1722" width="11.42578125" customWidth="1"/>
    <col min="1723" max="1723" width="12.140625" bestFit="1" customWidth="1"/>
    <col min="1724" max="1724" width="11.42578125" bestFit="1" customWidth="1"/>
    <col min="1725" max="1725" width="12.140625" customWidth="1"/>
    <col min="1726" max="1726" width="13.5703125" customWidth="1"/>
    <col min="1727" max="1727" width="15.85546875" bestFit="1" customWidth="1"/>
    <col min="1728" max="1728" width="10.42578125" customWidth="1"/>
    <col min="1729" max="1729" width="13.28515625" bestFit="1" customWidth="1"/>
    <col min="1730" max="1730" width="14.5703125" customWidth="1"/>
    <col min="1731" max="1731" width="13.28515625" customWidth="1"/>
    <col min="1732" max="1732" width="9.42578125" customWidth="1"/>
    <col min="1733" max="1733" width="12.140625" bestFit="1" customWidth="1"/>
    <col min="1734" max="1734" width="13.5703125" bestFit="1" customWidth="1"/>
    <col min="1735" max="1735" width="12.140625" bestFit="1" customWidth="1"/>
    <col min="1736" max="1736" width="11.42578125" customWidth="1"/>
    <col min="1737" max="1737" width="13.28515625" bestFit="1" customWidth="1"/>
    <col min="1738" max="1738" width="13.5703125" bestFit="1" customWidth="1"/>
    <col min="1739" max="1739" width="13.28515625" bestFit="1" customWidth="1"/>
    <col min="1740" max="1740" width="10.42578125" customWidth="1"/>
    <col min="1741" max="1741" width="12.140625" customWidth="1"/>
    <col min="1742" max="1742" width="13.28515625" bestFit="1" customWidth="1"/>
    <col min="1743" max="1743" width="14.28515625" bestFit="1" customWidth="1"/>
    <col min="1744" max="1744" width="8.42578125" customWidth="1"/>
    <col min="1745" max="1745" width="12.140625" customWidth="1"/>
    <col min="1746" max="1746" width="13.5703125" bestFit="1" customWidth="1"/>
    <col min="1747" max="1747" width="13.28515625" bestFit="1" customWidth="1"/>
    <col min="1748" max="1748" width="11.42578125" customWidth="1"/>
    <col min="1749" max="1749" width="13.28515625" bestFit="1" customWidth="1"/>
    <col min="1750" max="1750" width="9.42578125" customWidth="1"/>
    <col min="1751" max="1751" width="13.28515625" bestFit="1" customWidth="1"/>
    <col min="1752" max="1752" width="9.42578125" customWidth="1"/>
    <col min="1753" max="1753" width="13.28515625" bestFit="1" customWidth="1"/>
    <col min="1754" max="1754" width="10.42578125" customWidth="1"/>
    <col min="1755" max="1755" width="13.28515625" bestFit="1" customWidth="1"/>
    <col min="1756" max="1756" width="11.42578125" customWidth="1"/>
    <col min="1757" max="1761" width="14.28515625" bestFit="1" customWidth="1"/>
    <col min="1762" max="1762" width="11.42578125" customWidth="1"/>
    <col min="1763" max="1763" width="13.28515625" bestFit="1" customWidth="1"/>
    <col min="1764" max="1764" width="6.85546875" customWidth="1"/>
    <col min="1765" max="1765" width="12.140625" customWidth="1"/>
    <col min="1766" max="1766" width="12.42578125" customWidth="1"/>
    <col min="1767" max="1767" width="12.140625" customWidth="1"/>
    <col min="1768" max="1768" width="9.42578125" customWidth="1"/>
    <col min="1769" max="1769" width="12.140625" customWidth="1"/>
    <col min="1770" max="1770" width="12.42578125" customWidth="1"/>
    <col min="1771" max="1771" width="12.140625" customWidth="1"/>
    <col min="1772" max="1772" width="11.42578125" customWidth="1"/>
    <col min="1773" max="1773" width="13.28515625" bestFit="1" customWidth="1"/>
    <col min="1774" max="1774" width="13.5703125" bestFit="1" customWidth="1"/>
    <col min="1775" max="1775" width="12.140625" customWidth="1"/>
    <col min="1776" max="1776" width="12.42578125" customWidth="1"/>
    <col min="1777" max="1777" width="15.85546875" bestFit="1" customWidth="1"/>
    <col min="1778" max="1778" width="12.42578125" customWidth="1"/>
    <col min="1779" max="1779" width="13.28515625" bestFit="1" customWidth="1"/>
    <col min="1780" max="1780" width="9.42578125" customWidth="1"/>
    <col min="1781" max="1781" width="12.140625" customWidth="1"/>
    <col min="1782" max="1782" width="12.42578125" customWidth="1"/>
    <col min="1783" max="1785" width="13.28515625" bestFit="1" customWidth="1"/>
    <col min="1786" max="1786" width="12.42578125" customWidth="1"/>
    <col min="1787" max="1787" width="13.28515625" bestFit="1" customWidth="1"/>
    <col min="1788" max="1788" width="11.42578125" customWidth="1"/>
    <col min="1789" max="1791" width="13.28515625" bestFit="1" customWidth="1"/>
    <col min="1792" max="1792" width="9.42578125" customWidth="1"/>
    <col min="1793" max="1793" width="15.85546875" bestFit="1" customWidth="1"/>
    <col min="1794" max="1794" width="11.42578125" customWidth="1"/>
    <col min="1795" max="1795" width="13.28515625" bestFit="1" customWidth="1"/>
    <col min="1796" max="1796" width="10.42578125" customWidth="1"/>
    <col min="1797" max="1797" width="13.28515625" bestFit="1" customWidth="1"/>
    <col min="1798" max="1798" width="8.42578125" customWidth="1"/>
    <col min="1799" max="1799" width="13.28515625" bestFit="1" customWidth="1"/>
    <col min="1800" max="1800" width="12.42578125" bestFit="1" customWidth="1"/>
    <col min="1801" max="1801" width="15.85546875" bestFit="1" customWidth="1"/>
    <col min="1802" max="1802" width="12.42578125" customWidth="1"/>
    <col min="1803" max="1803" width="13.28515625" bestFit="1" customWidth="1"/>
    <col min="1804" max="1804" width="11.42578125" customWidth="1"/>
    <col min="1805" max="1805" width="13.28515625" customWidth="1"/>
    <col min="1806" max="1806" width="9.42578125" customWidth="1"/>
    <col min="1807" max="1807" width="12.140625" customWidth="1"/>
    <col min="1808" max="1808" width="13.5703125" customWidth="1"/>
    <col min="1809" max="1810" width="13.28515625" bestFit="1" customWidth="1"/>
    <col min="1811" max="1811" width="12.42578125" bestFit="1" customWidth="1"/>
    <col min="1812" max="1812" width="13.28515625" bestFit="1" customWidth="1"/>
    <col min="1813" max="1813" width="12.42578125" customWidth="1"/>
    <col min="1814" max="1814" width="13.28515625" customWidth="1"/>
    <col min="1815" max="1815" width="9.42578125" customWidth="1"/>
    <col min="1816" max="1817" width="13.28515625" customWidth="1"/>
    <col min="1818" max="1818" width="13.5703125" customWidth="1"/>
    <col min="1819" max="1819" width="12.140625" customWidth="1"/>
    <col min="1820" max="1820" width="9.42578125" customWidth="1"/>
    <col min="1821" max="1822" width="13.28515625" customWidth="1"/>
    <col min="1823" max="1823" width="13.5703125" customWidth="1"/>
    <col min="1824" max="1825" width="12.140625" bestFit="1" customWidth="1"/>
    <col min="1826" max="1826" width="9.42578125" customWidth="1"/>
    <col min="1827" max="1827" width="13.28515625" bestFit="1" customWidth="1"/>
    <col min="1828" max="1828" width="14.5703125" customWidth="1"/>
    <col min="1829" max="1829" width="10.5703125" customWidth="1"/>
    <col min="1830" max="1830" width="11.42578125" bestFit="1" customWidth="1"/>
    <col min="1831" max="1831" width="12.140625" customWidth="1"/>
    <col min="1832" max="1832" width="11.42578125" customWidth="1"/>
    <col min="1833" max="1833" width="12.140625" customWidth="1"/>
    <col min="1834" max="1834" width="13.5703125" customWidth="1"/>
    <col min="1835" max="1835" width="15.85546875" bestFit="1" customWidth="1"/>
    <col min="1836" max="1836" width="14.5703125" bestFit="1" customWidth="1"/>
    <col min="1837" max="1838" width="10.5703125" customWidth="1"/>
    <col min="1839" max="1839" width="13.28515625" bestFit="1" customWidth="1"/>
    <col min="1840" max="1840" width="7.85546875" customWidth="1"/>
    <col min="1841" max="1841" width="13.28515625" customWidth="1"/>
    <col min="1842" max="1842" width="12.42578125" bestFit="1" customWidth="1"/>
    <col min="1843" max="1843" width="12.140625" customWidth="1"/>
    <col min="1844" max="1844" width="11.42578125" customWidth="1"/>
    <col min="1845" max="1845" width="12.140625" customWidth="1"/>
    <col min="1846" max="1846" width="14.5703125" bestFit="1" customWidth="1"/>
    <col min="1847" max="1847" width="12.140625" customWidth="1"/>
    <col min="1848" max="1848" width="11.42578125" customWidth="1"/>
    <col min="1849" max="1849" width="12.140625" customWidth="1"/>
    <col min="1850" max="1850" width="13.5703125" bestFit="1" customWidth="1"/>
    <col min="1851" max="1851" width="13.28515625" customWidth="1"/>
    <col min="1852" max="1852" width="11.42578125" customWidth="1"/>
    <col min="1853" max="1853" width="12.140625" customWidth="1"/>
    <col min="1854" max="1854" width="14.28515625" customWidth="1"/>
    <col min="1855" max="1855" width="9.42578125" customWidth="1"/>
    <col min="1856" max="1856" width="12.140625" bestFit="1" customWidth="1"/>
    <col min="1857" max="1857" width="13.5703125" bestFit="1" customWidth="1"/>
    <col min="1858" max="1858" width="10.5703125" bestFit="1" customWidth="1"/>
    <col min="1859" max="1859" width="11.42578125" customWidth="1"/>
    <col min="1860" max="1860" width="13.28515625" bestFit="1" customWidth="1"/>
    <col min="1861" max="1861" width="11.42578125" customWidth="1"/>
    <col min="1862" max="1862" width="13.28515625" bestFit="1" customWidth="1"/>
    <col min="1863" max="1863" width="12.42578125" bestFit="1" customWidth="1"/>
    <col min="1864" max="1864" width="12.140625" customWidth="1"/>
    <col min="1865" max="1865" width="12.42578125" bestFit="1" customWidth="1"/>
    <col min="1866" max="1866" width="13.28515625" bestFit="1" customWidth="1"/>
    <col min="1867" max="1867" width="10.42578125" customWidth="1"/>
    <col min="1868" max="1868" width="12.140625" customWidth="1"/>
    <col min="1869" max="1869" width="13.5703125" bestFit="1" customWidth="1"/>
    <col min="1870" max="1870" width="12.140625" customWidth="1"/>
    <col min="1871" max="1871" width="11.42578125" customWidth="1"/>
    <col min="1872" max="1872" width="14.28515625" bestFit="1" customWidth="1"/>
    <col min="1873" max="1873" width="14.28515625" customWidth="1"/>
    <col min="1874" max="1875" width="14.28515625" bestFit="1" customWidth="1"/>
    <col min="1876" max="1876" width="12.42578125" customWidth="1"/>
    <col min="1877" max="1877" width="13.28515625" bestFit="1" customWidth="1"/>
    <col min="1878" max="1878" width="14.5703125" bestFit="1" customWidth="1"/>
    <col min="1879" max="1879" width="12.140625" customWidth="1"/>
    <col min="1880" max="1880" width="12.42578125" bestFit="1" customWidth="1"/>
    <col min="1881" max="1881" width="13.28515625" customWidth="1"/>
    <col min="1882" max="1882" width="13.28515625" bestFit="1" customWidth="1"/>
    <col min="1883" max="1884" width="13.28515625" customWidth="1"/>
    <col min="1885" max="1885" width="11.42578125" customWidth="1"/>
    <col min="1886" max="1887" width="13.28515625" bestFit="1" customWidth="1"/>
    <col min="1888" max="1888" width="13.28515625" customWidth="1"/>
    <col min="1889" max="1891" width="13.28515625" bestFit="1" customWidth="1"/>
    <col min="1892" max="1892" width="9.42578125" customWidth="1"/>
    <col min="1893" max="1893" width="12.140625" bestFit="1" customWidth="1"/>
    <col min="1894" max="1894" width="14.5703125" bestFit="1" customWidth="1"/>
    <col min="1895" max="1895" width="12.140625" customWidth="1"/>
    <col min="1896" max="1896" width="11.42578125" bestFit="1" customWidth="1"/>
    <col min="1897" max="1897" width="13.28515625" customWidth="1"/>
    <col min="1898" max="1898" width="10.42578125" customWidth="1"/>
    <col min="1899" max="1899" width="12.140625" bestFit="1" customWidth="1"/>
    <col min="1900" max="1900" width="13.5703125" bestFit="1" customWidth="1"/>
    <col min="1901" max="1901" width="14.28515625" bestFit="1" customWidth="1"/>
    <col min="1902" max="1902" width="9.42578125" customWidth="1"/>
    <col min="1903" max="1903" width="13.28515625" bestFit="1" customWidth="1"/>
    <col min="1904" max="1904" width="15.5703125" bestFit="1" customWidth="1"/>
    <col min="1905" max="1905" width="13.28515625" bestFit="1" customWidth="1"/>
    <col min="1906" max="1906" width="13.28515625" customWidth="1"/>
    <col min="1907" max="1907" width="11.42578125" customWidth="1"/>
    <col min="1908" max="1908" width="14.28515625" customWidth="1"/>
    <col min="1909" max="1909" width="12.42578125" customWidth="1"/>
    <col min="1910" max="1910" width="13.28515625" bestFit="1" customWidth="1"/>
    <col min="1911" max="1911" width="9.42578125" customWidth="1"/>
    <col min="1912" max="1912" width="12.140625" customWidth="1"/>
    <col min="1913" max="1913" width="11.42578125" customWidth="1"/>
    <col min="1914" max="1914" width="13.28515625" bestFit="1" customWidth="1"/>
    <col min="1915" max="1915" width="13.5703125" bestFit="1" customWidth="1"/>
    <col min="1916" max="1916" width="15.85546875" bestFit="1" customWidth="1"/>
    <col min="1917" max="1917" width="13.5703125" bestFit="1" customWidth="1"/>
    <col min="1918" max="1918" width="12.140625" bestFit="1" customWidth="1"/>
    <col min="1919" max="1919" width="12.42578125" customWidth="1"/>
    <col min="1920" max="1920" width="13.28515625" bestFit="1" customWidth="1"/>
    <col min="1921" max="1921" width="14.5703125" bestFit="1" customWidth="1"/>
    <col min="1922" max="1922" width="13.28515625" bestFit="1" customWidth="1"/>
    <col min="1923" max="1923" width="15.5703125" bestFit="1" customWidth="1"/>
    <col min="1924" max="1924" width="14.28515625" bestFit="1" customWidth="1"/>
    <col min="1925" max="1925" width="12.42578125" bestFit="1" customWidth="1"/>
    <col min="1926" max="1926" width="14.28515625" customWidth="1"/>
    <col min="1927" max="1927" width="7.85546875" customWidth="1"/>
    <col min="1928" max="1928" width="14.28515625" bestFit="1" customWidth="1"/>
    <col min="1929" max="1929" width="10.42578125" customWidth="1"/>
    <col min="1930" max="1930" width="12.140625" customWidth="1"/>
    <col min="1931" max="1931" width="13.5703125" bestFit="1" customWidth="1"/>
    <col min="1932" max="1932" width="14.28515625" bestFit="1" customWidth="1"/>
    <col min="1933" max="1933" width="9.42578125" bestFit="1" customWidth="1"/>
    <col min="1934" max="1934" width="12.140625" customWidth="1"/>
    <col min="1935" max="1935" width="13.5703125" bestFit="1" customWidth="1"/>
    <col min="1936" max="1936" width="13.28515625" customWidth="1"/>
    <col min="1937" max="1937" width="9.42578125" customWidth="1"/>
    <col min="1938" max="1938" width="13.28515625" customWidth="1"/>
    <col min="1939" max="1939" width="14.5703125" bestFit="1" customWidth="1"/>
    <col min="1940" max="1940" width="12.140625" customWidth="1"/>
    <col min="1941" max="1941" width="9.42578125" customWidth="1"/>
    <col min="1942" max="1942" width="10.5703125" customWidth="1"/>
    <col min="1943" max="1943" width="9.42578125" customWidth="1"/>
    <col min="1944" max="1946" width="13.28515625" bestFit="1" customWidth="1"/>
    <col min="1947" max="1947" width="13.28515625" customWidth="1"/>
    <col min="1948" max="1948" width="14.28515625" bestFit="1" customWidth="1"/>
    <col min="1949" max="1949" width="12.42578125" customWidth="1"/>
    <col min="1950" max="1950" width="13.28515625" customWidth="1"/>
    <col min="1951" max="1951" width="13.5703125" bestFit="1" customWidth="1"/>
    <col min="1952" max="1952" width="13.28515625" bestFit="1" customWidth="1"/>
    <col min="1953" max="1953" width="13.5703125" bestFit="1" customWidth="1"/>
    <col min="1954" max="1954" width="13.28515625" bestFit="1" customWidth="1"/>
    <col min="1955" max="1955" width="10.42578125" customWidth="1"/>
    <col min="1956" max="1956" width="10.5703125" customWidth="1"/>
    <col min="1957" max="1957" width="10.42578125" customWidth="1"/>
    <col min="1958" max="1958" width="13.28515625" customWidth="1"/>
    <col min="1959" max="1959" width="12.42578125" customWidth="1"/>
    <col min="1960" max="1960" width="12.85546875" bestFit="1" customWidth="1"/>
    <col min="1961" max="1961" width="15.5703125" bestFit="1" customWidth="1"/>
    <col min="1962" max="1962" width="12.140625" bestFit="1" customWidth="1"/>
    <col min="1963" max="1963" width="14.28515625" customWidth="1"/>
    <col min="1964" max="1964" width="9.42578125" customWidth="1"/>
    <col min="1965" max="1965" width="13.85546875" customWidth="1"/>
    <col min="1966" max="1966" width="16.5703125" bestFit="1" customWidth="1"/>
    <col min="1967" max="1967" width="10.5703125" customWidth="1"/>
    <col min="1968" max="1968" width="11.42578125" bestFit="1" customWidth="1"/>
    <col min="1969" max="1969" width="12.140625" customWidth="1"/>
    <col min="1970" max="1970" width="14.5703125" bestFit="1" customWidth="1"/>
    <col min="1971" max="1971" width="13.28515625" bestFit="1" customWidth="1"/>
    <col min="1972" max="1972" width="13.5703125" bestFit="1" customWidth="1"/>
    <col min="1973" max="1973" width="13.28515625" bestFit="1" customWidth="1"/>
    <col min="1974" max="1974" width="12.42578125" bestFit="1" customWidth="1"/>
    <col min="1975" max="1975" width="13.28515625" bestFit="1" customWidth="1"/>
    <col min="1976" max="1976" width="9.42578125" bestFit="1" customWidth="1"/>
    <col min="1977" max="1977" width="14.28515625" customWidth="1"/>
    <col min="1978" max="1978" width="13.5703125" customWidth="1"/>
    <col min="1979" max="1979" width="13.28515625" customWidth="1"/>
    <col min="1980" max="1980" width="13.5703125" bestFit="1" customWidth="1"/>
    <col min="1981" max="1981" width="14.28515625" customWidth="1"/>
    <col min="1982" max="1982" width="11.42578125" customWidth="1"/>
    <col min="1983" max="1983" width="13.28515625" bestFit="1" customWidth="1"/>
    <col min="1984" max="1984" width="12.42578125" bestFit="1" customWidth="1"/>
    <col min="1985" max="1985" width="13.28515625" bestFit="1" customWidth="1"/>
    <col min="1986" max="1986" width="11.42578125" customWidth="1"/>
    <col min="1987" max="1987" width="12.140625" customWidth="1"/>
    <col min="1988" max="1988" width="11.42578125" customWidth="1"/>
    <col min="1989" max="1989" width="13.85546875" bestFit="1" customWidth="1"/>
    <col min="1990" max="1990" width="17.7109375" bestFit="1" customWidth="1"/>
    <col min="1991" max="1991" width="13.28515625" bestFit="1" customWidth="1"/>
    <col min="1992" max="1992" width="11.42578125" customWidth="1"/>
    <col min="1993" max="1993" width="13.28515625" bestFit="1" customWidth="1"/>
    <col min="1994" max="1994" width="10.42578125" customWidth="1"/>
    <col min="1995" max="1995" width="14.28515625" customWidth="1"/>
    <col min="1996" max="1996" width="11.42578125" customWidth="1"/>
    <col min="1997" max="1997" width="14.28515625" customWidth="1"/>
    <col min="1998" max="1998" width="13.5703125" customWidth="1"/>
    <col min="1999" max="1999" width="12.140625" bestFit="1" customWidth="1"/>
    <col min="2000" max="2000" width="12.42578125" customWidth="1"/>
    <col min="2001" max="2001" width="13.28515625" bestFit="1" customWidth="1"/>
    <col min="2002" max="2002" width="13.5703125" customWidth="1"/>
    <col min="2003" max="2003" width="14.28515625" bestFit="1" customWidth="1"/>
    <col min="2004" max="2004" width="14.5703125" bestFit="1" customWidth="1"/>
    <col min="2005" max="2005" width="10.5703125" bestFit="1" customWidth="1"/>
    <col min="2006" max="2006" width="10.42578125" customWidth="1"/>
    <col min="2007" max="2010" width="13.28515625" bestFit="1" customWidth="1"/>
    <col min="2011" max="2011" width="9.42578125" customWidth="1"/>
    <col min="2012" max="2012" width="13.28515625" bestFit="1" customWidth="1"/>
    <col min="2013" max="2013" width="13.5703125" bestFit="1" customWidth="1"/>
    <col min="2014" max="2014" width="14.28515625" bestFit="1" customWidth="1"/>
    <col min="2015" max="2015" width="13.5703125" bestFit="1" customWidth="1"/>
    <col min="2016" max="2016" width="13.28515625" bestFit="1" customWidth="1"/>
    <col min="2017" max="2017" width="12.42578125" bestFit="1" customWidth="1"/>
    <col min="2018" max="2018" width="13.28515625" bestFit="1" customWidth="1"/>
    <col min="2019" max="2019" width="11.42578125" bestFit="1" customWidth="1"/>
    <col min="2020" max="2020" width="13.28515625" bestFit="1" customWidth="1"/>
    <col min="2021" max="2021" width="12.42578125" bestFit="1" customWidth="1"/>
    <col min="2022" max="2022" width="13.28515625" customWidth="1"/>
    <col min="2023" max="2023" width="10.42578125" customWidth="1"/>
    <col min="2024" max="2024" width="13.28515625" customWidth="1"/>
    <col min="2025" max="2025" width="13.5703125" bestFit="1" customWidth="1"/>
    <col min="2026" max="2026" width="12.140625" customWidth="1"/>
    <col min="2027" max="2027" width="9.42578125" customWidth="1"/>
    <col min="2028" max="2028" width="13.28515625" bestFit="1" customWidth="1"/>
    <col min="2029" max="2029" width="13.5703125" bestFit="1" customWidth="1"/>
    <col min="2030" max="2030" width="10.5703125" bestFit="1" customWidth="1"/>
    <col min="2031" max="2031" width="11.42578125" customWidth="1"/>
    <col min="2032" max="2032" width="13.28515625" customWidth="1"/>
    <col min="2033" max="2033" width="9.42578125" customWidth="1"/>
    <col min="2034" max="2034" width="13.28515625" bestFit="1" customWidth="1"/>
    <col min="2035" max="2035" width="11.42578125" customWidth="1"/>
    <col min="2036" max="2036" width="13.28515625" bestFit="1" customWidth="1"/>
    <col min="2037" max="2037" width="13.5703125" bestFit="1" customWidth="1"/>
    <col min="2038" max="2038" width="13.28515625" bestFit="1" customWidth="1"/>
    <col min="2039" max="2039" width="10.42578125" customWidth="1"/>
    <col min="2040" max="2040" width="13.28515625" bestFit="1" customWidth="1"/>
    <col min="2041" max="2041" width="9.42578125" customWidth="1"/>
    <col min="2042" max="2042" width="13.28515625" bestFit="1" customWidth="1"/>
    <col min="2043" max="2043" width="13.5703125" bestFit="1" customWidth="1"/>
    <col min="2044" max="2044" width="13.28515625" customWidth="1"/>
    <col min="2045" max="2045" width="9.42578125" customWidth="1"/>
    <col min="2046" max="2046" width="13.85546875" customWidth="1"/>
    <col min="2047" max="2047" width="17.7109375" bestFit="1" customWidth="1"/>
    <col min="2048" max="2048" width="14.28515625" bestFit="1" customWidth="1"/>
    <col min="2049" max="2049" width="13.5703125" bestFit="1" customWidth="1"/>
    <col min="2050" max="2050" width="13.28515625" bestFit="1" customWidth="1"/>
    <col min="2051" max="2051" width="11.42578125" customWidth="1"/>
    <col min="2052" max="2052" width="13.28515625" bestFit="1" customWidth="1"/>
    <col min="2053" max="2053" width="13.28515625" customWidth="1"/>
    <col min="2054" max="2054" width="14.28515625" customWidth="1"/>
    <col min="2055" max="2063" width="14.28515625" bestFit="1" customWidth="1"/>
    <col min="2064" max="2064" width="14.28515625" customWidth="1"/>
    <col min="2065" max="2065" width="14.28515625" bestFit="1" customWidth="1"/>
    <col min="2066" max="2066" width="12.42578125" customWidth="1"/>
    <col min="2067" max="2067" width="13.28515625" customWidth="1"/>
    <col min="2068" max="2068" width="10.42578125" customWidth="1"/>
    <col min="2069" max="2069" width="14.28515625" customWidth="1"/>
    <col min="2070" max="2070" width="14.28515625" bestFit="1" customWidth="1"/>
    <col min="2071" max="2071" width="10.42578125" customWidth="1"/>
    <col min="2072" max="2072" width="13.28515625" bestFit="1" customWidth="1"/>
    <col min="2073" max="2073" width="13.5703125" bestFit="1" customWidth="1"/>
    <col min="2074" max="2074" width="13.28515625" bestFit="1" customWidth="1"/>
    <col min="2075" max="2075" width="11.42578125" bestFit="1" customWidth="1"/>
    <col min="2076" max="2076" width="14.28515625" customWidth="1"/>
    <col min="2077" max="2077" width="12.42578125" customWidth="1"/>
    <col min="2078" max="2078" width="14.28515625" bestFit="1" customWidth="1"/>
    <col min="2079" max="2079" width="12.42578125" customWidth="1"/>
    <col min="2080" max="2080" width="14.28515625" bestFit="1" customWidth="1"/>
    <col min="2081" max="2081" width="12.42578125" customWidth="1"/>
    <col min="2082" max="2082" width="13.28515625" bestFit="1" customWidth="1"/>
    <col min="2083" max="2083" width="10.42578125" customWidth="1"/>
    <col min="2084" max="2084" width="13.28515625" bestFit="1" customWidth="1"/>
    <col min="2085" max="2085" width="10.42578125" customWidth="1"/>
    <col min="2086" max="2086" width="14.28515625" customWidth="1"/>
    <col min="2087" max="2087" width="17.7109375" bestFit="1" customWidth="1"/>
    <col min="2088" max="2088" width="12.140625" customWidth="1"/>
    <col min="2089" max="2089" width="13.5703125" customWidth="1"/>
    <col min="2090" max="2090" width="13.85546875" bestFit="1" customWidth="1"/>
    <col min="2091" max="2091" width="16.5703125" customWidth="1"/>
    <col min="2092" max="2092" width="10.5703125" customWidth="1"/>
    <col min="2093" max="2093" width="13.28515625" bestFit="1" customWidth="1"/>
    <col min="2094" max="2094" width="11.42578125" customWidth="1"/>
    <col min="2095" max="2095" width="13.28515625" bestFit="1" customWidth="1"/>
    <col min="2096" max="2096" width="10.42578125" customWidth="1"/>
    <col min="2097" max="2097" width="13.28515625" customWidth="1"/>
    <col min="2098" max="2098" width="12.42578125" customWidth="1"/>
    <col min="2099" max="2099" width="13.28515625" customWidth="1"/>
    <col min="2100" max="2100" width="13.5703125" customWidth="1"/>
    <col min="2101" max="2101" width="14.28515625" customWidth="1"/>
    <col min="2102" max="2102" width="14.28515625" bestFit="1" customWidth="1"/>
    <col min="2103" max="2103" width="10.42578125" customWidth="1"/>
    <col min="2104" max="2104" width="13.28515625" customWidth="1"/>
    <col min="2105" max="2105" width="10.42578125" customWidth="1"/>
    <col min="2106" max="2106" width="13.28515625" customWidth="1"/>
    <col min="2107" max="2107" width="11.42578125" customWidth="1"/>
    <col min="2108" max="2108" width="13.28515625" customWidth="1"/>
    <col min="2109" max="2109" width="13.5703125" bestFit="1" customWidth="1"/>
    <col min="2110" max="2110" width="13.28515625" bestFit="1" customWidth="1"/>
    <col min="2111" max="2111" width="10.42578125" customWidth="1"/>
    <col min="2112" max="2112" width="13.28515625" customWidth="1"/>
    <col min="2113" max="2113" width="14.5703125" bestFit="1" customWidth="1"/>
    <col min="2114" max="2114" width="13.28515625" customWidth="1"/>
    <col min="2115" max="2115" width="13.5703125" bestFit="1" customWidth="1"/>
    <col min="2116" max="2116" width="13.28515625" bestFit="1" customWidth="1"/>
    <col min="2117" max="2117" width="11.42578125" customWidth="1"/>
    <col min="2118" max="2118" width="13.28515625" bestFit="1" customWidth="1"/>
    <col min="2119" max="2119" width="13.5703125" bestFit="1" customWidth="1"/>
    <col min="2120" max="2120" width="13.28515625" bestFit="1" customWidth="1"/>
    <col min="2121" max="2121" width="14.5703125" bestFit="1" customWidth="1"/>
    <col min="2122" max="2122" width="13.28515625" customWidth="1"/>
    <col min="2123" max="2123" width="13.5703125" customWidth="1"/>
    <col min="2124" max="2124" width="14.28515625" bestFit="1" customWidth="1"/>
    <col min="2125" max="2125" width="9.42578125" bestFit="1" customWidth="1"/>
    <col min="2126" max="2126" width="14.28515625" bestFit="1" customWidth="1"/>
    <col min="2127" max="2127" width="14.5703125" bestFit="1" customWidth="1"/>
    <col min="2128" max="2128" width="13.28515625" bestFit="1" customWidth="1"/>
    <col min="2129" max="2129" width="13.5703125" bestFit="1" customWidth="1"/>
    <col min="2130" max="2130" width="14.28515625" bestFit="1" customWidth="1"/>
    <col min="2131" max="2131" width="10.42578125" customWidth="1"/>
    <col min="2132" max="2132" width="13.28515625" customWidth="1"/>
    <col min="2133" max="2133" width="13.5703125" bestFit="1" customWidth="1"/>
    <col min="2134" max="2136" width="13.28515625" bestFit="1" customWidth="1"/>
    <col min="2137" max="2137" width="15.5703125" bestFit="1" customWidth="1"/>
    <col min="2138" max="2138" width="10.85546875" customWidth="1"/>
    <col min="2139" max="2139" width="13.5703125" customWidth="1"/>
    <col min="2140" max="2140" width="13.28515625" bestFit="1" customWidth="1"/>
    <col min="2141" max="2141" width="13.5703125" bestFit="1" customWidth="1"/>
    <col min="2142" max="2142" width="13.28515625" customWidth="1"/>
    <col min="2143" max="2143" width="7.85546875" customWidth="1"/>
    <col min="2144" max="2144" width="13.28515625" bestFit="1" customWidth="1"/>
    <col min="2145" max="2145" width="13.5703125" bestFit="1" customWidth="1"/>
    <col min="2146" max="2146" width="13.28515625" bestFit="1" customWidth="1"/>
    <col min="2147" max="2147" width="13.28515625" customWidth="1"/>
    <col min="2148" max="2148" width="13.28515625" bestFit="1" customWidth="1"/>
    <col min="2149" max="2149" width="11.42578125" customWidth="1"/>
    <col min="2150" max="2150" width="13.28515625" customWidth="1"/>
    <col min="2151" max="2151" width="13.5703125" bestFit="1" customWidth="1"/>
    <col min="2152" max="2152" width="13.28515625" customWidth="1"/>
    <col min="2153" max="2153" width="12.42578125" bestFit="1" customWidth="1"/>
    <col min="2154" max="2154" width="13.28515625" customWidth="1"/>
    <col min="2155" max="2155" width="11.42578125" customWidth="1"/>
    <col min="2156" max="2156" width="14.28515625" bestFit="1" customWidth="1"/>
    <col min="2157" max="2157" width="10.42578125" customWidth="1"/>
    <col min="2158" max="2158" width="13.28515625" customWidth="1"/>
    <col min="2159" max="2159" width="13.5703125" bestFit="1" customWidth="1"/>
    <col min="2160" max="2160" width="13.28515625" bestFit="1" customWidth="1"/>
    <col min="2161" max="2161" width="13.5703125" bestFit="1" customWidth="1"/>
    <col min="2162" max="2162" width="13.28515625" bestFit="1" customWidth="1"/>
    <col min="2163" max="2163" width="7.85546875" customWidth="1"/>
    <col min="2164" max="2164" width="12.140625" bestFit="1" customWidth="1"/>
    <col min="2165" max="2165" width="13.5703125" bestFit="1" customWidth="1"/>
    <col min="2166" max="2167" width="13.28515625" customWidth="1"/>
    <col min="2168" max="2169" width="13.28515625" bestFit="1" customWidth="1"/>
    <col min="2170" max="2170" width="13.28515625" customWidth="1"/>
    <col min="2171" max="2171" width="10.42578125" customWidth="1"/>
    <col min="2172" max="2172" width="14.28515625" bestFit="1" customWidth="1"/>
    <col min="2173" max="2173" width="13.5703125" bestFit="1" customWidth="1"/>
    <col min="2174" max="2174" width="13.28515625" bestFit="1" customWidth="1"/>
    <col min="2175" max="2175" width="13.5703125" customWidth="1"/>
    <col min="2176" max="2176" width="14.28515625" bestFit="1" customWidth="1"/>
    <col min="2177" max="2177" width="16.5703125" bestFit="1" customWidth="1"/>
    <col min="2178" max="2178" width="12.140625" bestFit="1" customWidth="1"/>
    <col min="2179" max="2179" width="14.5703125" bestFit="1" customWidth="1"/>
    <col min="2180" max="2180" width="13.28515625" bestFit="1" customWidth="1"/>
    <col min="2181" max="2181" width="13.5703125" bestFit="1" customWidth="1"/>
    <col min="2182" max="2182" width="14.28515625" bestFit="1" customWidth="1"/>
    <col min="2183" max="2183" width="11.42578125" customWidth="1"/>
    <col min="2184" max="2184" width="13.28515625" bestFit="1" customWidth="1"/>
    <col min="2185" max="2185" width="13.5703125" customWidth="1"/>
    <col min="2186" max="2186" width="10.5703125" customWidth="1"/>
    <col min="2187" max="2187" width="10.42578125" bestFit="1" customWidth="1"/>
    <col min="2188" max="2188" width="14.28515625" bestFit="1" customWidth="1"/>
    <col min="2189" max="2189" width="14.28515625" customWidth="1"/>
    <col min="2190" max="2190" width="14.28515625" bestFit="1" customWidth="1"/>
    <col min="2191" max="2193" width="14.28515625" customWidth="1"/>
    <col min="2194" max="2194" width="12.42578125" customWidth="1"/>
    <col min="2195" max="2195" width="13.28515625" customWidth="1"/>
    <col min="2196" max="2196" width="9.42578125" customWidth="1"/>
    <col min="2197" max="2197" width="14.28515625" bestFit="1" customWidth="1"/>
    <col min="2198" max="2198" width="16.5703125" customWidth="1"/>
    <col min="2199" max="2199" width="13.28515625" bestFit="1" customWidth="1"/>
    <col min="2200" max="2200" width="14.5703125" bestFit="1" customWidth="1"/>
    <col min="2201" max="2201" width="13.28515625" bestFit="1" customWidth="1"/>
    <col min="2202" max="2202" width="14.5703125" bestFit="1" customWidth="1"/>
    <col min="2203" max="2203" width="12.140625" customWidth="1"/>
    <col min="2204" max="2204" width="13.5703125" bestFit="1" customWidth="1"/>
    <col min="2205" max="2205" width="14.28515625" bestFit="1" customWidth="1"/>
    <col min="2206" max="2206" width="14.5703125" bestFit="1" customWidth="1"/>
    <col min="2207" max="2207" width="14.28515625" bestFit="1" customWidth="1"/>
    <col min="2208" max="2208" width="15.5703125" bestFit="1" customWidth="1"/>
    <col min="2209" max="2209" width="13.28515625" bestFit="1" customWidth="1"/>
    <col min="2210" max="2210" width="13.5703125" bestFit="1" customWidth="1"/>
    <col min="2211" max="2211" width="14.28515625" customWidth="1"/>
    <col min="2212" max="2212" width="12.42578125" customWidth="1"/>
    <col min="2213" max="2213" width="13.28515625" bestFit="1" customWidth="1"/>
    <col min="2214" max="2214" width="13.5703125" customWidth="1"/>
    <col min="2215" max="2215" width="13.28515625" customWidth="1"/>
    <col min="2216" max="2216" width="13.5703125" customWidth="1"/>
    <col min="2217" max="2217" width="13.28515625" bestFit="1" customWidth="1"/>
    <col min="2218" max="2218" width="13.5703125" bestFit="1" customWidth="1"/>
    <col min="2219" max="2219" width="13.28515625" bestFit="1" customWidth="1"/>
    <col min="2220" max="2220" width="13.28515625" customWidth="1"/>
    <col min="2221" max="2221" width="14.28515625" bestFit="1" customWidth="1"/>
    <col min="2222" max="2222" width="9.42578125" customWidth="1"/>
    <col min="2223" max="2223" width="13.28515625" bestFit="1" customWidth="1"/>
    <col min="2224" max="2224" width="13.5703125" bestFit="1" customWidth="1"/>
    <col min="2225" max="2225" width="13.28515625" customWidth="1"/>
    <col min="2226" max="2226" width="12.42578125" bestFit="1" customWidth="1"/>
    <col min="2227" max="2227" width="13.28515625" customWidth="1"/>
    <col min="2228" max="2228" width="13.5703125" customWidth="1"/>
    <col min="2229" max="2229" width="13.28515625" bestFit="1" customWidth="1"/>
    <col min="2230" max="2230" width="13.5703125" bestFit="1" customWidth="1"/>
    <col min="2231" max="2231" width="14.28515625" bestFit="1" customWidth="1"/>
    <col min="2232" max="2232" width="12.42578125" customWidth="1"/>
    <col min="2233" max="2233" width="13.28515625" bestFit="1" customWidth="1"/>
    <col min="2234" max="2234" width="13.5703125" customWidth="1"/>
    <col min="2235" max="2235" width="13.28515625" customWidth="1"/>
    <col min="2236" max="2236" width="12.42578125" bestFit="1" customWidth="1"/>
    <col min="2237" max="2237" width="13.28515625" customWidth="1"/>
    <col min="2238" max="2238" width="12.42578125" customWidth="1"/>
    <col min="2239" max="2239" width="14.28515625" bestFit="1" customWidth="1"/>
    <col min="2240" max="2240" width="14.28515625" customWidth="1"/>
    <col min="2241" max="2241" width="14.28515625" bestFit="1" customWidth="1"/>
    <col min="2242" max="2242" width="15.5703125" bestFit="1" customWidth="1"/>
    <col min="2243" max="2243" width="10.5703125" customWidth="1"/>
    <col min="2244" max="2244" width="11.42578125" customWidth="1"/>
    <col min="2245" max="2245" width="13.28515625" bestFit="1" customWidth="1"/>
    <col min="2246" max="2246" width="9.42578125" customWidth="1"/>
    <col min="2247" max="2255" width="10.5703125" customWidth="1"/>
    <col min="2256" max="2256" width="10.5703125" bestFit="1" customWidth="1"/>
    <col min="2257" max="2257" width="10.5703125" customWidth="1"/>
    <col min="2258" max="2258" width="12.140625" bestFit="1" customWidth="1"/>
    <col min="2259" max="2259" width="10.42578125" customWidth="1"/>
    <col min="2260" max="2260" width="13.28515625" bestFit="1" customWidth="1"/>
    <col min="2261" max="2261" width="12.42578125" bestFit="1" customWidth="1"/>
    <col min="2262" max="2262" width="13.28515625" customWidth="1"/>
    <col min="2263" max="2263" width="10.42578125" customWidth="1"/>
    <col min="2264" max="2264" width="13.28515625" bestFit="1" customWidth="1"/>
    <col min="2265" max="2265" width="10.42578125" customWidth="1"/>
    <col min="2266" max="2266" width="13.28515625" bestFit="1" customWidth="1"/>
    <col min="2267" max="2267" width="10.42578125" customWidth="1"/>
    <col min="2268" max="2268" width="10.5703125" customWidth="1"/>
    <col min="2269" max="2269" width="9.42578125" customWidth="1"/>
    <col min="2270" max="2270" width="14.28515625" bestFit="1" customWidth="1"/>
    <col min="2271" max="2271" width="10.42578125" bestFit="1" customWidth="1"/>
    <col min="2272" max="2272" width="14.28515625" bestFit="1" customWidth="1"/>
    <col min="2273" max="2273" width="11.42578125" customWidth="1"/>
    <col min="2274" max="2274" width="14.28515625" bestFit="1" customWidth="1"/>
    <col min="2275" max="2275" width="15.5703125" bestFit="1" customWidth="1"/>
    <col min="2276" max="2276" width="14.28515625" bestFit="1" customWidth="1"/>
    <col min="2277" max="2277" width="16.5703125" bestFit="1" customWidth="1"/>
    <col min="2278" max="2278" width="13.28515625" customWidth="1"/>
    <col min="2279" max="2279" width="11.42578125" customWidth="1"/>
    <col min="2280" max="2280" width="13.28515625" bestFit="1" customWidth="1"/>
    <col min="2281" max="2281" width="9.42578125" customWidth="1"/>
    <col min="2282" max="2282" width="12.140625" customWidth="1"/>
    <col min="2283" max="2283" width="14.5703125" bestFit="1" customWidth="1"/>
    <col min="2284" max="2284" width="13.28515625" customWidth="1"/>
    <col min="2285" max="2285" width="12.42578125" bestFit="1" customWidth="1"/>
    <col min="2286" max="2286" width="13.28515625" bestFit="1" customWidth="1"/>
    <col min="2287" max="2287" width="13.5703125" bestFit="1" customWidth="1"/>
    <col min="2288" max="2288" width="13.28515625" bestFit="1" customWidth="1"/>
    <col min="2289" max="2289" width="9.42578125" customWidth="1"/>
    <col min="2290" max="2290" width="14.28515625" bestFit="1" customWidth="1"/>
    <col min="2291" max="2291" width="10.42578125" customWidth="1"/>
    <col min="2292" max="2292" width="14.28515625" bestFit="1" customWidth="1"/>
    <col min="2293" max="2293" width="10.42578125" customWidth="1"/>
    <col min="2294" max="2294" width="13.28515625" bestFit="1" customWidth="1"/>
    <col min="2295" max="2295" width="13.5703125" customWidth="1"/>
    <col min="2296" max="2296" width="14.28515625" bestFit="1" customWidth="1"/>
    <col min="2297" max="2297" width="14.5703125" bestFit="1" customWidth="1"/>
    <col min="2298" max="2298" width="13.28515625" bestFit="1" customWidth="1"/>
    <col min="2299" max="2299" width="11.42578125" customWidth="1"/>
    <col min="2300" max="2300" width="13.28515625" customWidth="1"/>
    <col min="2301" max="2301" width="9.42578125" customWidth="1"/>
    <col min="2302" max="2302" width="13.28515625" customWidth="1"/>
    <col min="2303" max="2303" width="13.5703125" bestFit="1" customWidth="1"/>
    <col min="2304" max="2304" width="9.5703125" customWidth="1"/>
    <col min="2305" max="2305" width="10.42578125" customWidth="1"/>
    <col min="2306" max="2306" width="12.140625" bestFit="1" customWidth="1"/>
    <col min="2307" max="2307" width="10.42578125" customWidth="1"/>
    <col min="2308" max="2308" width="13.28515625" customWidth="1"/>
    <col min="2309" max="2309" width="11.42578125" customWidth="1"/>
    <col min="2310" max="2310" width="12.140625" customWidth="1"/>
    <col min="2311" max="2311" width="13.5703125" customWidth="1"/>
    <col min="2312" max="2312" width="13.28515625" customWidth="1"/>
    <col min="2313" max="2313" width="13.5703125" customWidth="1"/>
    <col min="2314" max="2314" width="13.28515625" customWidth="1"/>
    <col min="2315" max="2315" width="9.42578125" customWidth="1"/>
    <col min="2316" max="2317" width="14.28515625" customWidth="1"/>
    <col min="2318" max="2318" width="15.5703125" customWidth="1"/>
    <col min="2319" max="2320" width="10.5703125" customWidth="1"/>
    <col min="2321" max="2321" width="9.42578125" customWidth="1"/>
    <col min="2322" max="2322" width="12.140625" customWidth="1"/>
    <col min="2323" max="2323" width="7.85546875" customWidth="1"/>
    <col min="2324" max="2324" width="14.28515625" bestFit="1" customWidth="1"/>
    <col min="2325" max="2325" width="12.42578125" customWidth="1"/>
    <col min="2326" max="2327" width="14.28515625" bestFit="1" customWidth="1"/>
    <col min="2328" max="2328" width="13.5703125" customWidth="1"/>
    <col min="2329" max="2329" width="13.28515625" bestFit="1" customWidth="1"/>
    <col min="2330" max="2330" width="13.5703125" bestFit="1" customWidth="1"/>
    <col min="2331" max="2331" width="14.28515625" customWidth="1"/>
    <col min="2332" max="2332" width="10.42578125" customWidth="1"/>
    <col min="2333" max="2333" width="13.28515625" bestFit="1" customWidth="1"/>
    <col min="2334" max="2334" width="14.5703125" bestFit="1" customWidth="1"/>
    <col min="2335" max="2335" width="14.28515625" customWidth="1"/>
    <col min="2336" max="2336" width="10.42578125" customWidth="1"/>
    <col min="2337" max="2337" width="10.5703125" customWidth="1"/>
    <col min="2338" max="2338" width="11.42578125" customWidth="1"/>
    <col min="2339" max="2340" width="13.28515625" bestFit="1" customWidth="1"/>
    <col min="2341" max="2341" width="11.42578125" customWidth="1"/>
    <col min="2342" max="2342" width="14.28515625" bestFit="1" customWidth="1"/>
    <col min="2343" max="2343" width="13.5703125" customWidth="1"/>
    <col min="2344" max="2344" width="13.28515625" customWidth="1"/>
    <col min="2345" max="2345" width="12.42578125" bestFit="1" customWidth="1"/>
    <col min="2346" max="2346" width="14.28515625" bestFit="1" customWidth="1"/>
    <col min="2347" max="2347" width="17.7109375" bestFit="1" customWidth="1"/>
    <col min="2348" max="2348" width="13.28515625" bestFit="1" customWidth="1"/>
    <col min="2349" max="2349" width="13.5703125" bestFit="1" customWidth="1"/>
    <col min="2350" max="2350" width="13.28515625" customWidth="1"/>
    <col min="2351" max="2351" width="13.5703125" customWidth="1"/>
    <col min="2352" max="2352" width="14.28515625" bestFit="1" customWidth="1"/>
    <col min="2353" max="2353" width="12.42578125" customWidth="1"/>
    <col min="2354" max="2354" width="13.28515625" bestFit="1" customWidth="1"/>
    <col min="2355" max="2355" width="14.5703125" bestFit="1" customWidth="1"/>
    <col min="2356" max="2356" width="14.28515625" bestFit="1" customWidth="1"/>
    <col min="2357" max="2357" width="16.5703125" bestFit="1" customWidth="1"/>
    <col min="2358" max="2358" width="13.28515625" bestFit="1" customWidth="1"/>
    <col min="2359" max="2359" width="13.5703125" customWidth="1"/>
    <col min="2360" max="2360" width="13.28515625" customWidth="1"/>
    <col min="2361" max="2361" width="13.5703125" customWidth="1"/>
    <col min="2362" max="2364" width="9.5703125" customWidth="1"/>
    <col min="2365" max="2365" width="10.5703125" customWidth="1"/>
    <col min="2366" max="2366" width="7.85546875" customWidth="1"/>
    <col min="2367" max="2367" width="12.140625" customWidth="1"/>
    <col min="2368" max="2368" width="9.42578125" customWidth="1"/>
    <col min="2369" max="2369" width="13.28515625" customWidth="1"/>
    <col min="2370" max="2370" width="9.42578125" customWidth="1"/>
    <col min="2371" max="2371" width="14.28515625" customWidth="1"/>
    <col min="2372" max="2372" width="12.42578125" customWidth="1"/>
    <col min="2373" max="2373" width="15.85546875" customWidth="1"/>
    <col min="2374" max="2374" width="9.42578125" customWidth="1"/>
    <col min="2375" max="2375" width="9.5703125" customWidth="1"/>
    <col min="2376" max="2376" width="10.42578125" customWidth="1"/>
    <col min="2377" max="2377" width="13.28515625" customWidth="1"/>
    <col min="2378" max="2378" width="13.5703125" bestFit="1" customWidth="1"/>
    <col min="2379" max="2380" width="13.28515625" bestFit="1" customWidth="1"/>
    <col min="2381" max="2381" width="11.42578125" customWidth="1"/>
    <col min="2382" max="2382" width="12.140625" customWidth="1"/>
    <col min="2383" max="2383" width="10.42578125" customWidth="1"/>
    <col min="2384" max="2385" width="13.28515625" bestFit="1" customWidth="1"/>
    <col min="2386" max="2386" width="13.28515625" customWidth="1"/>
    <col min="2387" max="2387" width="13.5703125" customWidth="1"/>
    <col min="2388" max="2388" width="14.28515625" customWidth="1"/>
    <col min="2389" max="2389" width="10.42578125" customWidth="1"/>
    <col min="2390" max="2391" width="14.28515625" customWidth="1"/>
    <col min="2392" max="2392" width="12.42578125" customWidth="1"/>
    <col min="2393" max="2393" width="14.28515625" customWidth="1"/>
    <col min="2394" max="2394" width="11.42578125" customWidth="1"/>
    <col min="2395" max="2395" width="9.5703125" customWidth="1"/>
    <col min="2396" max="2396" width="11.42578125" customWidth="1"/>
    <col min="2397" max="2397" width="13.85546875" bestFit="1" customWidth="1"/>
    <col min="2398" max="2398" width="16.5703125" bestFit="1" customWidth="1"/>
    <col min="2399" max="2399" width="14.28515625" bestFit="1" customWidth="1"/>
    <col min="2400" max="2400" width="10.42578125" bestFit="1" customWidth="1"/>
    <col min="2401" max="2401" width="13.28515625" bestFit="1" customWidth="1"/>
    <col min="2402" max="2402" width="12.42578125" bestFit="1" customWidth="1"/>
    <col min="2403" max="2403" width="14.28515625" bestFit="1" customWidth="1"/>
    <col min="2404" max="2404" width="12.42578125" bestFit="1" customWidth="1"/>
    <col min="2405" max="2405" width="13.28515625" bestFit="1" customWidth="1"/>
    <col min="2406" max="2406" width="12.42578125" bestFit="1" customWidth="1"/>
    <col min="2407" max="2407" width="14.28515625" bestFit="1" customWidth="1"/>
    <col min="2408" max="2408" width="9.42578125" customWidth="1"/>
    <col min="2409" max="2409" width="14.28515625" bestFit="1" customWidth="1"/>
    <col min="2410" max="2410" width="12.42578125" bestFit="1" customWidth="1"/>
    <col min="2411" max="2411" width="14.28515625" bestFit="1" customWidth="1"/>
    <col min="2412" max="2412" width="14.5703125" bestFit="1" customWidth="1"/>
    <col min="2413" max="2413" width="13.28515625" bestFit="1" customWidth="1"/>
    <col min="2414" max="2414" width="13.5703125" bestFit="1" customWidth="1"/>
    <col min="2415" max="2415" width="14.28515625" bestFit="1" customWidth="1"/>
    <col min="2416" max="2416" width="7.85546875" customWidth="1"/>
    <col min="2417" max="2417" width="13.28515625" bestFit="1" customWidth="1"/>
    <col min="2418" max="2418" width="10.42578125" bestFit="1" customWidth="1"/>
    <col min="2419" max="2419" width="14.28515625" customWidth="1"/>
    <col min="2420" max="2420" width="11.42578125" customWidth="1"/>
    <col min="2421" max="2421" width="13.28515625" bestFit="1" customWidth="1"/>
    <col min="2422" max="2422" width="11.42578125" customWidth="1"/>
    <col min="2423" max="2423" width="13.28515625" customWidth="1"/>
    <col min="2424" max="2424" width="13.28515625" bestFit="1" customWidth="1"/>
    <col min="2425" max="2425" width="13.28515625" customWidth="1"/>
    <col min="2426" max="2431" width="14.28515625" bestFit="1" customWidth="1"/>
    <col min="2432" max="2432" width="15.85546875" bestFit="1" customWidth="1"/>
    <col min="2433" max="2433" width="7.85546875" customWidth="1"/>
    <col min="2434" max="2434" width="13.28515625" customWidth="1"/>
    <col min="2435" max="2435" width="13.28515625" bestFit="1" customWidth="1"/>
    <col min="2436" max="2436" width="11.42578125" customWidth="1"/>
    <col min="2437" max="2437" width="14.28515625" bestFit="1" customWidth="1"/>
    <col min="2438" max="2438" width="16.5703125" bestFit="1" customWidth="1"/>
    <col min="2439" max="2439" width="13.28515625" customWidth="1"/>
    <col min="2440" max="2440" width="12.42578125" customWidth="1"/>
    <col min="2441" max="2441" width="14.28515625" customWidth="1"/>
    <col min="2442" max="2442" width="9.42578125" customWidth="1"/>
    <col min="2443" max="2443" width="14.28515625" bestFit="1" customWidth="1"/>
    <col min="2444" max="2444" width="15.5703125" customWidth="1"/>
    <col min="2445" max="2445" width="13.28515625" customWidth="1"/>
    <col min="2446" max="2446" width="13.5703125" bestFit="1" customWidth="1"/>
    <col min="2447" max="2447" width="13.28515625" bestFit="1" customWidth="1"/>
    <col min="2448" max="2448" width="12.42578125" customWidth="1"/>
    <col min="2449" max="2449" width="14.28515625" bestFit="1" customWidth="1"/>
    <col min="2450" max="2450" width="16.5703125" bestFit="1" customWidth="1"/>
    <col min="2451" max="2451" width="13.28515625" bestFit="1" customWidth="1"/>
    <col min="2452" max="2452" width="12.42578125" customWidth="1"/>
    <col min="2453" max="2453" width="13.28515625" customWidth="1"/>
    <col min="2454" max="2454" width="10.42578125" customWidth="1"/>
    <col min="2455" max="2455" width="14.28515625" bestFit="1" customWidth="1"/>
    <col min="2456" max="2456" width="11.42578125" customWidth="1"/>
    <col min="2457" max="2457" width="13.28515625" bestFit="1" customWidth="1"/>
    <col min="2458" max="2458" width="14.5703125" bestFit="1" customWidth="1"/>
    <col min="2459" max="2460" width="13.28515625" bestFit="1" customWidth="1"/>
    <col min="2461" max="2461" width="14.28515625" bestFit="1" customWidth="1"/>
    <col min="2462" max="2462" width="13.5703125" bestFit="1" customWidth="1"/>
    <col min="2463" max="2463" width="13.28515625" bestFit="1" customWidth="1"/>
    <col min="2464" max="2464" width="14.5703125" customWidth="1"/>
    <col min="2465" max="2465" width="13.28515625" bestFit="1" customWidth="1"/>
    <col min="2466" max="2466" width="12.42578125" bestFit="1" customWidth="1"/>
    <col min="2467" max="2467" width="15.85546875" bestFit="1" customWidth="1"/>
    <col min="2468" max="2468" width="12.42578125" bestFit="1" customWidth="1"/>
    <col min="2469" max="2469" width="14.28515625" bestFit="1" customWidth="1"/>
    <col min="2470" max="2470" width="14.5703125" bestFit="1" customWidth="1"/>
    <col min="2471" max="2471" width="13.28515625" bestFit="1" customWidth="1"/>
    <col min="2472" max="2472" width="13.5703125" bestFit="1" customWidth="1"/>
    <col min="2473" max="2473" width="12.140625" bestFit="1" customWidth="1"/>
    <col min="2474" max="2474" width="8.85546875" customWidth="1"/>
    <col min="2475" max="2475" width="13.28515625" bestFit="1" customWidth="1"/>
    <col min="2476" max="2476" width="11.42578125" customWidth="1"/>
    <col min="2477" max="2477" width="14.28515625" bestFit="1" customWidth="1"/>
    <col min="2478" max="2478" width="12.42578125" bestFit="1" customWidth="1"/>
    <col min="2479" max="2479" width="14.28515625" bestFit="1" customWidth="1"/>
    <col min="2480" max="2480" width="12.42578125" customWidth="1"/>
    <col min="2481" max="2481" width="14.28515625" bestFit="1" customWidth="1"/>
    <col min="2482" max="2482" width="10.42578125" customWidth="1"/>
    <col min="2483" max="2483" width="14.28515625" bestFit="1" customWidth="1"/>
    <col min="2484" max="2484" width="8.85546875" customWidth="1"/>
    <col min="2485" max="2485" width="13.28515625" bestFit="1" customWidth="1"/>
    <col min="2486" max="2486" width="11.42578125" customWidth="1"/>
    <col min="2487" max="2487" width="14.28515625" bestFit="1" customWidth="1"/>
    <col min="2488" max="2488" width="14.5703125" bestFit="1" customWidth="1"/>
    <col min="2489" max="2489" width="14.28515625" bestFit="1" customWidth="1"/>
    <col min="2490" max="2490" width="13.5703125" customWidth="1"/>
    <col min="2491" max="2491" width="14.28515625" bestFit="1" customWidth="1"/>
    <col min="2492" max="2492" width="11.42578125" customWidth="1"/>
    <col min="2493" max="2493" width="14.28515625" bestFit="1" customWidth="1"/>
    <col min="2494" max="2494" width="13.5703125" bestFit="1" customWidth="1"/>
    <col min="2495" max="2495" width="14.28515625" customWidth="1"/>
    <col min="2496" max="2496" width="12.42578125" bestFit="1" customWidth="1"/>
    <col min="2497" max="2497" width="14.28515625" bestFit="1" customWidth="1"/>
    <col min="2498" max="2498" width="11.42578125" customWidth="1"/>
    <col min="2499" max="2499" width="15.85546875" bestFit="1" customWidth="1"/>
    <col min="2500" max="2500" width="14.5703125" customWidth="1"/>
    <col min="2501" max="2501" width="14.28515625" customWidth="1"/>
    <col min="2502" max="2502" width="10.42578125" customWidth="1"/>
    <col min="2503" max="2503" width="14.28515625" customWidth="1"/>
    <col min="2504" max="2504" width="10.42578125" customWidth="1"/>
    <col min="2505" max="2505" width="14.28515625" bestFit="1" customWidth="1"/>
    <col min="2506" max="2506" width="8.85546875" customWidth="1"/>
    <col min="2507" max="2507" width="14.28515625" bestFit="1" customWidth="1"/>
    <col min="2508" max="2508" width="10.42578125" customWidth="1"/>
    <col min="2509" max="2509" width="10.5703125" customWidth="1"/>
    <col min="2510" max="2510" width="10.42578125" customWidth="1"/>
    <col min="2511" max="2511" width="13.28515625" bestFit="1" customWidth="1"/>
    <col min="2512" max="2512" width="14.5703125" customWidth="1"/>
    <col min="2513" max="2513" width="14.28515625" customWidth="1"/>
    <col min="2514" max="2514" width="15.5703125" bestFit="1" customWidth="1"/>
    <col min="2515" max="2515" width="12.140625" customWidth="1"/>
    <col min="2516" max="2516" width="13.5703125" bestFit="1" customWidth="1"/>
    <col min="2517" max="2517" width="15.85546875" bestFit="1" customWidth="1"/>
    <col min="2518" max="2518" width="8.85546875" customWidth="1"/>
    <col min="2519" max="2519" width="15.85546875" bestFit="1" customWidth="1"/>
    <col min="2520" max="2520" width="8.85546875" customWidth="1"/>
    <col min="2521" max="2521" width="10.5703125" customWidth="1"/>
    <col min="2522" max="2522" width="10.42578125" bestFit="1" customWidth="1"/>
    <col min="2523" max="2523" width="10.5703125" customWidth="1"/>
    <col min="2524" max="2524" width="10.42578125" customWidth="1"/>
    <col min="2525" max="2525" width="10.5703125" customWidth="1"/>
    <col min="2526" max="2526" width="11.42578125" customWidth="1"/>
    <col min="2527" max="2527" width="12.140625" customWidth="1"/>
    <col min="2528" max="2528" width="14.5703125" bestFit="1" customWidth="1"/>
    <col min="2529" max="2529" width="13.28515625" customWidth="1"/>
    <col min="2530" max="2530" width="10.42578125" bestFit="1" customWidth="1"/>
    <col min="2531" max="2531" width="13.28515625" customWidth="1"/>
    <col min="2532" max="2532" width="8.85546875" customWidth="1"/>
    <col min="2533" max="2533" width="10.5703125" customWidth="1"/>
    <col min="2534" max="2534" width="12.42578125" customWidth="1"/>
    <col min="2535" max="2535" width="10.5703125" customWidth="1"/>
    <col min="2536" max="2536" width="9.85546875" customWidth="1"/>
    <col min="2537" max="2537" width="10.85546875" customWidth="1"/>
    <col min="2538" max="2538" width="13.5703125" bestFit="1" customWidth="1"/>
    <col min="2539" max="2539" width="14.28515625" bestFit="1" customWidth="1"/>
    <col min="2540" max="2540" width="9.85546875" customWidth="1"/>
    <col min="2541" max="2541" width="10.5703125" customWidth="1"/>
    <col min="2542" max="2542" width="12.42578125" customWidth="1"/>
    <col min="2543" max="2543" width="14.28515625" bestFit="1" customWidth="1"/>
    <col min="2544" max="2544" width="12.42578125" bestFit="1" customWidth="1"/>
    <col min="2545" max="2545" width="11.85546875" customWidth="1"/>
    <col min="2546" max="2546" width="14.5703125" bestFit="1" customWidth="1"/>
    <col min="2547" max="2547" width="10.85546875" customWidth="1"/>
    <col min="2548" max="2548" width="13.5703125" customWidth="1"/>
    <col min="2549" max="2549" width="12.140625" bestFit="1" customWidth="1"/>
    <col min="2550" max="2550" width="14.5703125" bestFit="1" customWidth="1"/>
    <col min="2551" max="2551" width="13.28515625" bestFit="1" customWidth="1"/>
    <col min="2552" max="2552" width="11.42578125" customWidth="1"/>
    <col min="2553" max="2553" width="10.85546875" customWidth="1"/>
    <col min="2554" max="2554" width="13.5703125" customWidth="1"/>
    <col min="2555" max="2555" width="12.140625" customWidth="1"/>
    <col min="2556" max="2556" width="11.42578125" customWidth="1"/>
    <col min="2557" max="2557" width="13.85546875" customWidth="1"/>
    <col min="2558" max="2558" width="16.5703125" customWidth="1"/>
    <col min="2559" max="2559" width="13.28515625" bestFit="1" customWidth="1"/>
    <col min="2560" max="2560" width="12.42578125" customWidth="1"/>
    <col min="2561" max="2561" width="13.28515625" bestFit="1" customWidth="1"/>
    <col min="2562" max="2562" width="14.5703125" bestFit="1" customWidth="1"/>
    <col min="2563" max="2563" width="12.140625" customWidth="1"/>
    <col min="2564" max="2564" width="14.5703125" bestFit="1" customWidth="1"/>
    <col min="2565" max="2565" width="13.85546875" bestFit="1" customWidth="1"/>
    <col min="2566" max="2566" width="16.5703125" bestFit="1" customWidth="1"/>
    <col min="2567" max="2567" width="14.28515625" customWidth="1"/>
    <col min="2568" max="2568" width="14.5703125" bestFit="1" customWidth="1"/>
    <col min="2569" max="2569" width="13.85546875" bestFit="1" customWidth="1"/>
    <col min="2570" max="2570" width="16.5703125" bestFit="1" customWidth="1"/>
    <col min="2571" max="2571" width="13.28515625" customWidth="1"/>
    <col min="2572" max="2572" width="11.85546875" customWidth="1"/>
    <col min="2573" max="2573" width="12.140625" customWidth="1"/>
    <col min="2574" max="2574" width="11.85546875" bestFit="1" customWidth="1"/>
    <col min="2575" max="2575" width="15.85546875" bestFit="1" customWidth="1"/>
    <col min="2576" max="2576" width="17.7109375" bestFit="1" customWidth="1"/>
    <col min="2577" max="2577" width="13.28515625" bestFit="1" customWidth="1"/>
    <col min="2578" max="2578" width="12.85546875" bestFit="1" customWidth="1"/>
    <col min="2579" max="2579" width="13.28515625" bestFit="1" customWidth="1"/>
    <col min="2580" max="2580" width="12.85546875" bestFit="1" customWidth="1"/>
    <col min="2581" max="2581" width="10.7109375" bestFit="1" customWidth="1"/>
    <col min="2582" max="2582" width="11.42578125" bestFit="1" customWidth="1"/>
    <col min="2583" max="2583" width="12.140625" bestFit="1" customWidth="1"/>
    <col min="2584" max="2584" width="13.5703125" bestFit="1" customWidth="1"/>
    <col min="2585" max="2585" width="10.5703125" bestFit="1" customWidth="1"/>
    <col min="2586" max="2586" width="10.42578125" bestFit="1" customWidth="1"/>
    <col min="2587" max="2587" width="12.140625" bestFit="1" customWidth="1"/>
    <col min="2588" max="2588" width="9.42578125" bestFit="1" customWidth="1"/>
    <col min="2589" max="2589" width="12.140625" bestFit="1" customWidth="1"/>
    <col min="2590" max="2590" width="10.42578125" bestFit="1" customWidth="1"/>
    <col min="2591" max="2591" width="12.140625" bestFit="1" customWidth="1"/>
    <col min="2592" max="2592" width="9.42578125" bestFit="1" customWidth="1"/>
    <col min="2593" max="2593" width="12.140625" bestFit="1" customWidth="1"/>
    <col min="2594" max="2594" width="9.5703125" bestFit="1" customWidth="1"/>
    <col min="2595" max="2595" width="11.42578125" bestFit="1" customWidth="1"/>
    <col min="2596" max="2596" width="12.42578125" bestFit="1" customWidth="1"/>
    <col min="2597" max="2597" width="12.140625" bestFit="1" customWidth="1"/>
    <col min="2598" max="2598" width="10.42578125" bestFit="1" customWidth="1"/>
    <col min="2599" max="2599" width="12.140625" bestFit="1" customWidth="1"/>
    <col min="2600" max="2600" width="10.42578125" bestFit="1" customWidth="1"/>
    <col min="2601" max="2601" width="12" bestFit="1" customWidth="1"/>
    <col min="2602" max="2602" width="12.140625" bestFit="1" customWidth="1"/>
    <col min="2603" max="2603" width="12.42578125" bestFit="1" customWidth="1"/>
    <col min="2604" max="2604" width="13.28515625" bestFit="1" customWidth="1"/>
    <col min="2605" max="2605" width="13.5703125" bestFit="1" customWidth="1"/>
    <col min="2606" max="2606" width="13.28515625" bestFit="1" customWidth="1"/>
    <col min="2607" max="2607" width="12.42578125" bestFit="1" customWidth="1"/>
    <col min="2608" max="2608" width="13.28515625" bestFit="1" customWidth="1"/>
    <col min="2609" max="2609" width="9.42578125" bestFit="1" customWidth="1"/>
    <col min="2610" max="2610" width="13.28515625" bestFit="1" customWidth="1"/>
    <col min="2611" max="2611" width="10.42578125" bestFit="1" customWidth="1"/>
    <col min="2612" max="2613" width="13.28515625" bestFit="1" customWidth="1"/>
    <col min="2614" max="2614" width="12.42578125" bestFit="1" customWidth="1"/>
    <col min="2615" max="2615" width="14.28515625" bestFit="1" customWidth="1"/>
    <col min="2616" max="2616" width="10.42578125" bestFit="1" customWidth="1"/>
    <col min="2617" max="2617" width="9.42578125" bestFit="1" customWidth="1"/>
    <col min="2618" max="2618" width="10.5703125" bestFit="1" customWidth="1"/>
    <col min="2619" max="2619" width="10.42578125" bestFit="1" customWidth="1"/>
    <col min="2621" max="2621" width="12.140625" bestFit="1" customWidth="1"/>
    <col min="2622" max="2622" width="11.42578125" bestFit="1" customWidth="1"/>
    <col min="2623" max="2623" width="13.28515625" bestFit="1" customWidth="1"/>
    <col min="2624" max="2624" width="12.42578125" bestFit="1" customWidth="1"/>
    <col min="2625" max="2625" width="9.7109375" bestFit="1" customWidth="1"/>
    <col min="2626" max="2626" width="13.28515625" bestFit="1" customWidth="1"/>
    <col min="2627" max="2627" width="9.42578125" bestFit="1" customWidth="1"/>
    <col min="2628" max="2628" width="10.5703125" bestFit="1" customWidth="1"/>
    <col min="2629" max="2629" width="9.42578125" bestFit="1" customWidth="1"/>
    <col min="2630" max="2630" width="10.5703125" bestFit="1" customWidth="1"/>
    <col min="2631" max="2631" width="9.42578125" bestFit="1" customWidth="1"/>
    <col min="2632" max="2632" width="10.5703125" bestFit="1" customWidth="1"/>
    <col min="2633" max="2633" width="9.42578125" bestFit="1" customWidth="1"/>
    <col min="2634" max="2634" width="16.42578125" bestFit="1" customWidth="1"/>
    <col min="2635" max="2635" width="13.28515625" bestFit="1" customWidth="1"/>
    <col min="2636" max="2636" width="11.42578125" bestFit="1" customWidth="1"/>
    <col min="2637" max="2637" width="13.28515625" bestFit="1" customWidth="1"/>
    <col min="2638" max="2638" width="13.85546875" bestFit="1" customWidth="1"/>
    <col min="2639" max="2639" width="18.7109375" bestFit="1" customWidth="1"/>
    <col min="2640" max="2640" width="13.85546875" bestFit="1" customWidth="1"/>
    <col min="2641" max="2641" width="16.5703125" bestFit="1" customWidth="1"/>
    <col min="2642" max="2642" width="13.85546875" bestFit="1" customWidth="1"/>
    <col min="2643" max="2643" width="16.5703125" bestFit="1" customWidth="1"/>
    <col min="2644" max="2644" width="15.85546875" bestFit="1" customWidth="1"/>
    <col min="2645" max="2645" width="15.5703125" bestFit="1" customWidth="1"/>
    <col min="2646" max="2646" width="14.28515625" bestFit="1" customWidth="1"/>
    <col min="2647" max="2647" width="17.7109375" bestFit="1" customWidth="1"/>
    <col min="2648" max="2648" width="14.28515625" bestFit="1" customWidth="1"/>
    <col min="2649" max="2649" width="16.5703125" bestFit="1" customWidth="1"/>
    <col min="2650" max="2650" width="13.28515625" bestFit="1" customWidth="1"/>
    <col min="2651" max="2651" width="12.42578125" bestFit="1" customWidth="1"/>
    <col min="2652" max="2652" width="13.28515625" bestFit="1" customWidth="1"/>
    <col min="2653" max="2653" width="11.42578125" bestFit="1" customWidth="1"/>
    <col min="2654" max="2654" width="10.85546875" bestFit="1" customWidth="1"/>
    <col min="2655" max="2656" width="14.28515625" bestFit="1" customWidth="1"/>
    <col min="2657" max="2657" width="9.42578125" bestFit="1" customWidth="1"/>
    <col min="2658" max="2658" width="14.85546875" bestFit="1" customWidth="1"/>
    <col min="2659" max="2659" width="12.140625" bestFit="1" customWidth="1"/>
    <col min="2660" max="2660" width="12.42578125" bestFit="1" customWidth="1"/>
    <col min="2661" max="2661" width="12" bestFit="1" customWidth="1"/>
    <col min="2662" max="2663" width="14.28515625" bestFit="1" customWidth="1"/>
    <col min="2664" max="2664" width="12.42578125" bestFit="1" customWidth="1"/>
    <col min="2665" max="2665" width="15" bestFit="1" customWidth="1"/>
    <col min="2666" max="2666" width="14.28515625" bestFit="1" customWidth="1"/>
    <col min="2667" max="2667" width="8.85546875" customWidth="1"/>
    <col min="2668" max="2668" width="14.85546875" bestFit="1" customWidth="1"/>
    <col min="2669" max="2670" width="14.28515625" bestFit="1" customWidth="1"/>
    <col min="2671" max="2671" width="11.42578125" bestFit="1" customWidth="1"/>
    <col min="2672" max="2672" width="11" bestFit="1" customWidth="1"/>
    <col min="2673" max="2673" width="11.85546875" bestFit="1" customWidth="1"/>
    <col min="2674" max="2674" width="9.42578125" bestFit="1" customWidth="1"/>
    <col min="2675" max="2675" width="10.5703125" bestFit="1" customWidth="1"/>
    <col min="2676" max="2676" width="10.42578125" bestFit="1" customWidth="1"/>
    <col min="2677" max="2677" width="15" bestFit="1" customWidth="1"/>
    <col min="2678" max="2678" width="12.140625" bestFit="1" customWidth="1"/>
    <col min="2679" max="2679" width="8.42578125" customWidth="1"/>
    <col min="2680" max="2680" width="13.7109375" bestFit="1" customWidth="1"/>
    <col min="2681" max="2681" width="13.28515625" bestFit="1" customWidth="1"/>
    <col min="2682" max="2682" width="10.42578125" bestFit="1" customWidth="1"/>
    <col min="2683" max="2684" width="13.28515625" bestFit="1" customWidth="1"/>
    <col min="2685" max="2685" width="12.42578125" bestFit="1" customWidth="1"/>
    <col min="2686" max="2686" width="10.28515625" bestFit="1" customWidth="1"/>
    <col min="2687" max="2687" width="12.28515625" bestFit="1" customWidth="1"/>
    <col min="2688" max="2688" width="9.42578125" bestFit="1" customWidth="1"/>
    <col min="2689" max="2689" width="10.5703125" bestFit="1" customWidth="1"/>
    <col min="2690" max="2690" width="10.42578125" bestFit="1" customWidth="1"/>
    <col min="2691" max="2691" width="12.140625" bestFit="1" customWidth="1"/>
    <col min="2692" max="2692" width="10.42578125" bestFit="1" customWidth="1"/>
    <col min="2693" max="2693" width="12.140625" bestFit="1" customWidth="1"/>
    <col min="2694" max="2694" width="10.42578125" bestFit="1" customWidth="1"/>
    <col min="2695" max="2695" width="12.140625" bestFit="1" customWidth="1"/>
    <col min="2696" max="2696" width="9.42578125" bestFit="1" customWidth="1"/>
    <col min="2697" max="2697" width="10.5703125" bestFit="1" customWidth="1"/>
    <col min="2698" max="2698" width="11.42578125" bestFit="1" customWidth="1"/>
    <col min="2699" max="2699" width="15.42578125" bestFit="1" customWidth="1"/>
    <col min="2700" max="2701" width="13.28515625" bestFit="1" customWidth="1"/>
    <col min="2702" max="2702" width="10.42578125" bestFit="1" customWidth="1"/>
    <col min="2703" max="2703" width="12.140625" bestFit="1" customWidth="1"/>
    <col min="2704" max="2704" width="8.42578125" customWidth="1"/>
    <col min="2705" max="2705" width="13.28515625" bestFit="1" customWidth="1"/>
    <col min="2706" max="2706" width="9.42578125" bestFit="1" customWidth="1"/>
    <col min="2707" max="2707" width="13.28515625" bestFit="1" customWidth="1"/>
    <col min="2708" max="2708" width="10.42578125" bestFit="1" customWidth="1"/>
    <col min="2709" max="2709" width="13.28515625" bestFit="1" customWidth="1"/>
    <col min="2710" max="2710" width="9.42578125" bestFit="1" customWidth="1"/>
    <col min="2711" max="2711" width="14.28515625" bestFit="1" customWidth="1"/>
    <col min="2712" max="2712" width="9.42578125" bestFit="1" customWidth="1"/>
    <col min="2713" max="2714" width="10.5703125" bestFit="1" customWidth="1"/>
    <col min="2715" max="2715" width="10.42578125" bestFit="1" customWidth="1"/>
    <col min="2716" max="2716" width="10.5703125" bestFit="1" customWidth="1"/>
    <col min="2717" max="2717" width="7.85546875" customWidth="1"/>
    <col min="2718" max="2718" width="9.28515625" bestFit="1" customWidth="1"/>
    <col min="2719" max="2719" width="17.140625" bestFit="1" customWidth="1"/>
    <col min="2720" max="2720" width="9.42578125" bestFit="1" customWidth="1"/>
    <col min="2721" max="2721" width="12.140625" bestFit="1" customWidth="1"/>
    <col min="2722" max="2722" width="9.42578125" bestFit="1" customWidth="1"/>
    <col min="2723" max="2723" width="20.28515625" bestFit="1" customWidth="1"/>
    <col min="2724" max="2724" width="12.140625" bestFit="1" customWidth="1"/>
    <col min="2725" max="2725" width="8.85546875" customWidth="1"/>
    <col min="2726" max="2726" width="15.140625" bestFit="1" customWidth="1"/>
    <col min="2727" max="2727" width="13.42578125" bestFit="1" customWidth="1"/>
    <col min="2728" max="2728" width="15.5703125" bestFit="1" customWidth="1"/>
    <col min="2729" max="2729" width="16.5703125" bestFit="1" customWidth="1"/>
    <col min="2730" max="2735" width="13.28515625" bestFit="1" customWidth="1"/>
    <col min="2736" max="2736" width="11.42578125" bestFit="1" customWidth="1"/>
    <col min="2737" max="2738" width="14.28515625" bestFit="1" customWidth="1"/>
    <col min="2739" max="2739" width="11.42578125" bestFit="1" customWidth="1"/>
    <col min="2740" max="2744" width="14.28515625" bestFit="1" customWidth="1"/>
    <col min="2745" max="2745" width="12.42578125" bestFit="1" customWidth="1"/>
    <col min="2746" max="2750" width="14.28515625" bestFit="1" customWidth="1"/>
    <col min="2751" max="2751" width="12.42578125" bestFit="1" customWidth="1"/>
    <col min="2752" max="2752" width="13.140625" bestFit="1" customWidth="1"/>
    <col min="2753" max="2753" width="14.28515625" bestFit="1" customWidth="1"/>
    <col min="2754" max="2754" width="11.42578125" bestFit="1" customWidth="1"/>
    <col min="2755" max="2755" width="14.28515625" bestFit="1" customWidth="1"/>
    <col min="2756" max="2756" width="11.42578125" bestFit="1" customWidth="1"/>
    <col min="2757" max="2758" width="14.28515625" bestFit="1" customWidth="1"/>
    <col min="2759" max="2759" width="11.42578125" bestFit="1" customWidth="1"/>
    <col min="2760" max="2762" width="14.28515625" bestFit="1" customWidth="1"/>
    <col min="2763" max="2763" width="10.42578125" bestFit="1" customWidth="1"/>
    <col min="2764" max="2764" width="10.7109375" bestFit="1" customWidth="1"/>
    <col min="2765" max="2766" width="12.140625" bestFit="1" customWidth="1"/>
    <col min="2767" max="2767" width="11.42578125" bestFit="1" customWidth="1"/>
    <col min="2768" max="2768" width="12.140625" bestFit="1" customWidth="1"/>
    <col min="2769" max="2769" width="11.42578125" bestFit="1" customWidth="1"/>
    <col min="2770" max="2770" width="12.140625" bestFit="1" customWidth="1"/>
    <col min="2771" max="2771" width="10.42578125" bestFit="1" customWidth="1"/>
    <col min="2772" max="2772" width="13.28515625" bestFit="1" customWidth="1"/>
    <col min="2773" max="2773" width="12.42578125" bestFit="1" customWidth="1"/>
    <col min="2774" max="2774" width="13.28515625" bestFit="1" customWidth="1"/>
    <col min="2775" max="2775" width="12.42578125" bestFit="1" customWidth="1"/>
    <col min="2776" max="2776" width="12.140625" bestFit="1" customWidth="1"/>
    <col min="2777" max="2777" width="10.42578125" bestFit="1" customWidth="1"/>
    <col min="2778" max="2778" width="12.140625" bestFit="1" customWidth="1"/>
    <col min="2779" max="2779" width="12.42578125" bestFit="1" customWidth="1"/>
    <col min="2780" max="2780" width="12.140625" bestFit="1" customWidth="1"/>
    <col min="2781" max="2781" width="11.42578125" bestFit="1" customWidth="1"/>
    <col min="2782" max="2782" width="13.28515625" bestFit="1" customWidth="1"/>
    <col min="2783" max="2783" width="10.42578125" bestFit="1" customWidth="1"/>
    <col min="2784" max="2784" width="12.140625" bestFit="1" customWidth="1"/>
    <col min="2785" max="2785" width="12.42578125" bestFit="1" customWidth="1"/>
    <col min="2786" max="2786" width="12.140625" bestFit="1" customWidth="1"/>
    <col min="2787" max="2787" width="13.5703125" bestFit="1" customWidth="1"/>
    <col min="2788" max="2788" width="13.28515625" bestFit="1" customWidth="1"/>
    <col min="2789" max="2789" width="12.42578125" bestFit="1" customWidth="1"/>
    <col min="2790" max="2790" width="12.140625" bestFit="1" customWidth="1"/>
    <col min="2791" max="2791" width="11.42578125" bestFit="1" customWidth="1"/>
    <col min="2792" max="2792" width="12.140625" bestFit="1" customWidth="1"/>
    <col min="2793" max="2793" width="11.42578125" bestFit="1" customWidth="1"/>
    <col min="2794" max="2794" width="12.140625" bestFit="1" customWidth="1"/>
    <col min="2795" max="2795" width="13.5703125" bestFit="1" customWidth="1"/>
    <col min="2796" max="2796" width="13.28515625" bestFit="1" customWidth="1"/>
    <col min="2797" max="2797" width="13.5703125" bestFit="1" customWidth="1"/>
    <col min="2798" max="2798" width="13.28515625" bestFit="1" customWidth="1"/>
    <col min="2799" max="2799" width="13.5703125" bestFit="1" customWidth="1"/>
    <col min="2800" max="2800" width="13.28515625" bestFit="1" customWidth="1"/>
    <col min="2801" max="2801" width="12.42578125" bestFit="1" customWidth="1"/>
    <col min="2802" max="2802" width="13.28515625" bestFit="1" customWidth="1"/>
    <col min="2803" max="2803" width="11.42578125" bestFit="1" customWidth="1"/>
    <col min="2804" max="2804" width="13.28515625" bestFit="1" customWidth="1"/>
    <col min="2805" max="2805" width="13.5703125" bestFit="1" customWidth="1"/>
    <col min="2806" max="2806" width="12.140625" bestFit="1" customWidth="1"/>
    <col min="2807" max="2807" width="13.5703125" bestFit="1" customWidth="1"/>
    <col min="2808" max="2808" width="13.28515625" bestFit="1" customWidth="1"/>
    <col min="2809" max="2809" width="10.42578125" bestFit="1" customWidth="1"/>
    <col min="2810" max="2810" width="13.28515625" bestFit="1" customWidth="1"/>
    <col min="2811" max="2811" width="12.42578125" bestFit="1" customWidth="1"/>
    <col min="2812" max="2812" width="13.28515625" bestFit="1" customWidth="1"/>
    <col min="2813" max="2813" width="11.42578125" bestFit="1" customWidth="1"/>
    <col min="2814" max="2814" width="13.28515625" bestFit="1" customWidth="1"/>
    <col min="2815" max="2815" width="13.5703125" bestFit="1" customWidth="1"/>
    <col min="2816" max="2816" width="13.28515625" bestFit="1" customWidth="1"/>
    <col min="2817" max="2817" width="11.42578125" bestFit="1" customWidth="1"/>
    <col min="2818" max="2818" width="13.28515625" bestFit="1" customWidth="1"/>
    <col min="2819" max="2819" width="13.5703125" bestFit="1" customWidth="1"/>
    <col min="2820" max="2820" width="13.28515625" bestFit="1" customWidth="1"/>
    <col min="2821" max="2821" width="11.42578125" bestFit="1" customWidth="1"/>
    <col min="2822" max="2822" width="13.28515625" bestFit="1" customWidth="1"/>
    <col min="2823" max="2823" width="13.5703125" bestFit="1" customWidth="1"/>
    <col min="2824" max="2824" width="13.28515625" bestFit="1" customWidth="1"/>
    <col min="2825" max="2825" width="13.5703125" bestFit="1" customWidth="1"/>
    <col min="2826" max="2826" width="13.28515625" bestFit="1" customWidth="1"/>
    <col min="2827" max="2827" width="11.42578125" bestFit="1" customWidth="1"/>
    <col min="2828" max="2828" width="13.28515625" bestFit="1" customWidth="1"/>
    <col min="2829" max="2829" width="9.42578125" bestFit="1" customWidth="1"/>
    <col min="2830" max="2830" width="13.28515625" bestFit="1" customWidth="1"/>
    <col min="2831" max="2831" width="14.5703125" bestFit="1" customWidth="1"/>
    <col min="2832" max="2832" width="13.28515625" bestFit="1" customWidth="1"/>
    <col min="2833" max="2833" width="12.42578125" bestFit="1" customWidth="1"/>
    <col min="2834" max="2836" width="14.28515625" bestFit="1" customWidth="1"/>
    <col min="2837" max="2837" width="13.5703125" bestFit="1" customWidth="1"/>
    <col min="2838" max="2838" width="13.28515625" bestFit="1" customWidth="1"/>
    <col min="2839" max="2839" width="12.42578125" bestFit="1" customWidth="1"/>
    <col min="2840" max="2840" width="10.140625" bestFit="1" customWidth="1"/>
    <col min="2841" max="2841" width="13.28515625" bestFit="1" customWidth="1"/>
    <col min="2842" max="2842" width="10.42578125" bestFit="1" customWidth="1"/>
    <col min="2843" max="2843" width="13.5703125" bestFit="1" customWidth="1"/>
    <col min="2844" max="2844" width="13.28515625" bestFit="1" customWidth="1"/>
    <col min="2845" max="2845" width="11.42578125" bestFit="1" customWidth="1"/>
    <col min="2846" max="2846" width="14.28515625" bestFit="1" customWidth="1"/>
    <col min="2847" max="2847" width="10.42578125" bestFit="1" customWidth="1"/>
    <col min="2848" max="2848" width="15.140625" bestFit="1" customWidth="1"/>
    <col min="2849" max="2849" width="10.85546875" bestFit="1" customWidth="1"/>
    <col min="2850" max="2850" width="13.5703125" bestFit="1" customWidth="1"/>
    <col min="2851" max="2851" width="12.5703125" bestFit="1" customWidth="1"/>
    <col min="2852" max="2852" width="12.140625" bestFit="1" customWidth="1"/>
    <col min="2853" max="2853" width="13.5703125" bestFit="1" customWidth="1"/>
    <col min="2854" max="2854" width="13.28515625" bestFit="1" customWidth="1"/>
    <col min="2855" max="2855" width="10.42578125" bestFit="1" customWidth="1"/>
    <col min="2856" max="2856" width="14.28515625" bestFit="1" customWidth="1"/>
    <col min="2857" max="2857" width="13.5703125" bestFit="1" customWidth="1"/>
    <col min="2858" max="2858" width="11.7109375" bestFit="1" customWidth="1"/>
    <col min="2859" max="2859" width="12.85546875" bestFit="1" customWidth="1"/>
    <col min="2860" max="2860" width="12.42578125" bestFit="1" customWidth="1"/>
    <col min="2861" max="2861" width="12.140625" bestFit="1" customWidth="1"/>
    <col min="2862" max="2862" width="10.42578125" bestFit="1" customWidth="1"/>
    <col min="2863" max="2863" width="13.28515625" bestFit="1" customWidth="1"/>
    <col min="2864" max="2864" width="11.42578125" bestFit="1" customWidth="1"/>
    <col min="2865" max="2865" width="16" bestFit="1" customWidth="1"/>
    <col min="2866" max="2866" width="10.5703125" bestFit="1" customWidth="1"/>
    <col min="2867" max="2867" width="12.42578125" bestFit="1" customWidth="1"/>
    <col min="2868" max="2868" width="12.85546875" bestFit="1" customWidth="1"/>
    <col min="2869" max="2869" width="9.85546875" bestFit="1" customWidth="1"/>
    <col min="2870" max="2870" width="12.42578125" bestFit="1" customWidth="1"/>
    <col min="2871" max="2871" width="12.140625" bestFit="1" customWidth="1"/>
    <col min="2872" max="2872" width="10.42578125" bestFit="1" customWidth="1"/>
    <col min="2873" max="2873" width="12.140625" bestFit="1" customWidth="1"/>
    <col min="2874" max="2874" width="12.42578125" bestFit="1" customWidth="1"/>
    <col min="2875" max="2876" width="12.140625" bestFit="1" customWidth="1"/>
    <col min="2877" max="2877" width="11.42578125" bestFit="1" customWidth="1"/>
    <col min="2878" max="2878" width="10.5703125" bestFit="1" customWidth="1"/>
    <col min="2879" max="2879" width="10.42578125" bestFit="1" customWidth="1"/>
    <col min="2880" max="2881" width="10.85546875" bestFit="1" customWidth="1"/>
    <col min="2882" max="2882" width="13.5703125" bestFit="1" customWidth="1"/>
    <col min="2883" max="2886" width="12.140625" bestFit="1" customWidth="1"/>
    <col min="2887" max="2887" width="12.42578125" bestFit="1" customWidth="1"/>
    <col min="2888" max="2888" width="12.140625" bestFit="1" customWidth="1"/>
    <col min="2889" max="2889" width="11.42578125" bestFit="1" customWidth="1"/>
    <col min="2890" max="2890" width="12.140625" bestFit="1" customWidth="1"/>
    <col min="2891" max="2891" width="12.42578125" bestFit="1" customWidth="1"/>
    <col min="2892" max="2893" width="12.140625" bestFit="1" customWidth="1"/>
    <col min="2894" max="2894" width="13.5703125" bestFit="1" customWidth="1"/>
    <col min="2895" max="2895" width="12.140625" bestFit="1" customWidth="1"/>
    <col min="2896" max="2896" width="10.42578125" bestFit="1" customWidth="1"/>
    <col min="2897" max="2898" width="12.140625" bestFit="1" customWidth="1"/>
    <col min="2899" max="2899" width="9.42578125" bestFit="1" customWidth="1"/>
    <col min="2900" max="2900" width="11.85546875" bestFit="1" customWidth="1"/>
    <col min="2901" max="2901" width="14.5703125" bestFit="1" customWidth="1"/>
    <col min="2902" max="2902" width="12.140625" bestFit="1" customWidth="1"/>
    <col min="2903" max="2903" width="10.42578125" bestFit="1" customWidth="1"/>
    <col min="2904" max="2904" width="10.5703125" bestFit="1" customWidth="1"/>
    <col min="2905" max="2905" width="11.42578125" bestFit="1" customWidth="1"/>
    <col min="2906" max="2906" width="9.85546875" bestFit="1" customWidth="1"/>
    <col min="2907" max="2907" width="12.42578125" bestFit="1" customWidth="1"/>
    <col min="2908" max="2908" width="9.5703125" bestFit="1" customWidth="1"/>
    <col min="2909" max="2909" width="8.42578125" customWidth="1"/>
    <col min="2910" max="2910" width="9.5703125" bestFit="1" customWidth="1"/>
    <col min="2911" max="2911" width="10.42578125" bestFit="1" customWidth="1"/>
    <col min="2912" max="2912" width="12.140625" bestFit="1" customWidth="1"/>
    <col min="2913" max="2913" width="12.42578125" bestFit="1" customWidth="1"/>
    <col min="2914" max="2915" width="13.28515625" bestFit="1" customWidth="1"/>
    <col min="2916" max="2916" width="10.42578125" bestFit="1" customWidth="1"/>
    <col min="2917" max="2917" width="10.5703125" bestFit="1" customWidth="1"/>
    <col min="2918" max="2918" width="10.42578125" bestFit="1" customWidth="1"/>
    <col min="2919" max="2919" width="10.5703125" bestFit="1" customWidth="1"/>
    <col min="2920" max="2920" width="12.42578125" bestFit="1" customWidth="1"/>
    <col min="2921" max="2922" width="12.140625" bestFit="1" customWidth="1"/>
    <col min="2923" max="2923" width="9.42578125" bestFit="1" customWidth="1"/>
    <col min="2924" max="2924" width="12.140625" bestFit="1" customWidth="1"/>
    <col min="2925" max="2925" width="11.42578125" bestFit="1" customWidth="1"/>
    <col min="2926" max="2926" width="10.5703125" bestFit="1" customWidth="1"/>
    <col min="2927" max="2927" width="10.42578125" bestFit="1" customWidth="1"/>
    <col min="2928" max="2928" width="13.28515625" bestFit="1" customWidth="1"/>
    <col min="2929" max="2929" width="10.42578125" bestFit="1" customWidth="1"/>
    <col min="2930" max="2930" width="10.5703125" bestFit="1" customWidth="1"/>
    <col min="2931" max="2931" width="12.42578125" bestFit="1" customWidth="1"/>
    <col min="2932" max="2932" width="13.28515625" bestFit="1" customWidth="1"/>
    <col min="2933" max="2933" width="9.42578125" bestFit="1" customWidth="1"/>
    <col min="2934" max="2934" width="13.28515625" bestFit="1" customWidth="1"/>
    <col min="2935" max="2935" width="12.42578125" bestFit="1" customWidth="1"/>
    <col min="2936" max="2936" width="13.28515625" bestFit="1" customWidth="1"/>
    <col min="2937" max="2937" width="10.42578125" bestFit="1" customWidth="1"/>
    <col min="2938" max="2938" width="13.28515625" bestFit="1" customWidth="1"/>
    <col min="2939" max="2939" width="11.42578125" bestFit="1" customWidth="1"/>
    <col min="2940" max="2940" width="13.28515625" bestFit="1" customWidth="1"/>
    <col min="2941" max="2941" width="12.42578125" bestFit="1" customWidth="1"/>
    <col min="2942" max="2942" width="12.140625" bestFit="1" customWidth="1"/>
    <col min="2943" max="2943" width="11.42578125" bestFit="1" customWidth="1"/>
    <col min="2944" max="2944" width="9.85546875" bestFit="1" customWidth="1"/>
    <col min="2945" max="2945" width="12.42578125" bestFit="1" customWidth="1"/>
    <col min="2946" max="2946" width="12.140625" bestFit="1" customWidth="1"/>
    <col min="2947" max="2947" width="8.42578125" customWidth="1"/>
    <col min="2948" max="2948" width="13.28515625" bestFit="1" customWidth="1"/>
    <col min="2949" max="2949" width="11.42578125" bestFit="1" customWidth="1"/>
    <col min="2950" max="2950" width="12.140625" bestFit="1" customWidth="1"/>
    <col min="2951" max="2951" width="9.42578125" bestFit="1" customWidth="1"/>
    <col min="2952" max="2952" width="12.140625" bestFit="1" customWidth="1"/>
    <col min="2953" max="2953" width="8.42578125" customWidth="1"/>
    <col min="2954" max="2954" width="10.5703125" bestFit="1" customWidth="1"/>
    <col min="2955" max="2955" width="10.42578125" bestFit="1" customWidth="1"/>
    <col min="2956" max="2956" width="10.5703125" bestFit="1" customWidth="1"/>
    <col min="2957" max="2957" width="6.85546875" customWidth="1"/>
    <col min="2958" max="2977" width="12.140625" bestFit="1" customWidth="1"/>
    <col min="2978" max="2978" width="6.85546875" customWidth="1"/>
    <col min="2979" max="2979" width="12.140625" bestFit="1" customWidth="1"/>
    <col min="2980" max="2980" width="10.42578125" bestFit="1" customWidth="1"/>
    <col min="2981" max="2981" width="10.5703125" bestFit="1" customWidth="1"/>
    <col min="2982" max="2982" width="10.42578125" bestFit="1" customWidth="1"/>
    <col min="2983" max="2989" width="15.85546875" bestFit="1" customWidth="1"/>
    <col min="2990" max="2990" width="8.42578125" customWidth="1"/>
    <col min="2991" max="2991" width="10.5703125" bestFit="1" customWidth="1"/>
    <col min="2992" max="2992" width="11.42578125" bestFit="1" customWidth="1"/>
    <col min="2993" max="2993" width="13.28515625" bestFit="1" customWidth="1"/>
    <col min="2994" max="2994" width="9.42578125" bestFit="1" customWidth="1"/>
    <col min="2995" max="2995" width="11" bestFit="1" customWidth="1"/>
    <col min="2996" max="2996" width="19.140625" bestFit="1" customWidth="1"/>
    <col min="2997" max="2997" width="11.42578125" bestFit="1" customWidth="1"/>
    <col min="2998" max="2998" width="22.28515625" bestFit="1" customWidth="1"/>
    <col min="2999" max="2999" width="12.85546875" bestFit="1" customWidth="1"/>
    <col min="3000" max="3000" width="8.42578125" customWidth="1"/>
    <col min="3001" max="3001" width="12.140625" bestFit="1" customWidth="1"/>
    <col min="3002" max="3002" width="8.42578125" customWidth="1"/>
    <col min="3003" max="3003" width="12.140625" bestFit="1" customWidth="1"/>
    <col min="3004" max="3004" width="6.85546875" customWidth="1"/>
    <col min="3005" max="3005" width="12.140625" bestFit="1" customWidth="1"/>
    <col min="3006" max="3006" width="8.42578125" customWidth="1"/>
    <col min="3007" max="3007" width="12.140625" bestFit="1" customWidth="1"/>
    <col min="3008" max="3008" width="8.42578125" customWidth="1"/>
    <col min="3009" max="3009" width="16" bestFit="1" customWidth="1"/>
    <col min="3010" max="3010" width="14" bestFit="1" customWidth="1"/>
    <col min="3011" max="3011" width="12.42578125" bestFit="1" customWidth="1"/>
    <col min="3012" max="3012" width="17.28515625" bestFit="1" customWidth="1"/>
    <col min="3013" max="3013" width="12.140625" bestFit="1" customWidth="1"/>
    <col min="3014" max="3014" width="11.42578125" bestFit="1" customWidth="1"/>
    <col min="3015" max="3015" width="12.5703125" bestFit="1" customWidth="1"/>
    <col min="3016" max="3016" width="14.28515625" bestFit="1" customWidth="1"/>
    <col min="3017" max="3017" width="12.42578125" bestFit="1" customWidth="1"/>
    <col min="3018" max="3018" width="14.28515625" bestFit="1" customWidth="1"/>
    <col min="3019" max="3019" width="12.42578125" bestFit="1" customWidth="1"/>
    <col min="3020" max="3020" width="14.28515625" bestFit="1" customWidth="1"/>
    <col min="3021" max="3021" width="14.5703125" bestFit="1" customWidth="1"/>
    <col min="3022" max="3022" width="14.28515625" bestFit="1" customWidth="1"/>
    <col min="3023" max="3023" width="12.42578125" bestFit="1" customWidth="1"/>
    <col min="3024" max="3024" width="14" bestFit="1" customWidth="1"/>
    <col min="3025" max="3028" width="15.42578125" bestFit="1" customWidth="1"/>
    <col min="3029" max="3029" width="11.42578125" bestFit="1" customWidth="1"/>
    <col min="3030" max="3030" width="12.140625" bestFit="1" customWidth="1"/>
    <col min="3031" max="3031" width="13.5703125" bestFit="1" customWidth="1"/>
    <col min="3032" max="3032" width="12.140625" bestFit="1" customWidth="1"/>
    <col min="3033" max="3033" width="14.5703125" bestFit="1" customWidth="1"/>
    <col min="3034" max="3038" width="10.5703125" bestFit="1" customWidth="1"/>
    <col min="3039" max="3039" width="11.42578125" bestFit="1" customWidth="1"/>
    <col min="3040" max="3040" width="12.85546875" bestFit="1" customWidth="1"/>
    <col min="3041" max="3041" width="15.5703125" bestFit="1" customWidth="1"/>
    <col min="3042" max="3042" width="12.140625" bestFit="1" customWidth="1"/>
    <col min="3043" max="3043" width="14.5703125" bestFit="1" customWidth="1"/>
    <col min="3044" max="3044" width="12.140625" bestFit="1" customWidth="1"/>
    <col min="3045" max="3045" width="14.5703125" bestFit="1" customWidth="1"/>
    <col min="3046" max="3046" width="12.85546875" bestFit="1" customWidth="1"/>
    <col min="3047" max="3047" width="15.5703125" bestFit="1" customWidth="1"/>
    <col min="3048" max="3048" width="12.140625" bestFit="1" customWidth="1"/>
    <col min="3049" max="3049" width="13.5703125" bestFit="1" customWidth="1"/>
    <col min="3050" max="3050" width="11.85546875" bestFit="1" customWidth="1"/>
    <col min="3051" max="3051" width="14.5703125" bestFit="1" customWidth="1"/>
    <col min="3052" max="3052" width="12.85546875" bestFit="1" customWidth="1"/>
    <col min="3053" max="3053" width="15.5703125" bestFit="1" customWidth="1"/>
    <col min="3054" max="3054" width="10.5703125" bestFit="1" customWidth="1"/>
    <col min="3055" max="3055" width="11.42578125" bestFit="1" customWidth="1"/>
    <col min="3056" max="3056" width="10.5703125" bestFit="1" customWidth="1"/>
    <col min="3057" max="3057" width="10.42578125" bestFit="1" customWidth="1"/>
    <col min="3058" max="3058" width="12.140625" bestFit="1" customWidth="1"/>
    <col min="3059" max="3059" width="12.42578125" bestFit="1" customWidth="1"/>
    <col min="3060" max="3060" width="12.140625" bestFit="1" customWidth="1"/>
    <col min="3061" max="3061" width="11.42578125" bestFit="1" customWidth="1"/>
    <col min="3062" max="3062" width="12.140625" bestFit="1" customWidth="1"/>
    <col min="3063" max="3063" width="12.42578125" bestFit="1" customWidth="1"/>
    <col min="3064" max="3072" width="13.28515625" bestFit="1" customWidth="1"/>
    <col min="3073" max="3073" width="8.42578125" customWidth="1"/>
    <col min="3074" max="3075" width="13.28515625" bestFit="1" customWidth="1"/>
    <col min="3076" max="3076" width="9.42578125" bestFit="1" customWidth="1"/>
    <col min="3077" max="3079" width="13.28515625" bestFit="1" customWidth="1"/>
    <col min="3080" max="3080" width="9.42578125" bestFit="1" customWidth="1"/>
    <col min="3081" max="3081" width="14.28515625" bestFit="1" customWidth="1"/>
    <col min="3082" max="3082" width="8.42578125" customWidth="1"/>
    <col min="3083" max="3084" width="13.28515625" bestFit="1" customWidth="1"/>
    <col min="3085" max="3085" width="10.42578125" bestFit="1" customWidth="1"/>
    <col min="3086" max="3086" width="12.140625" bestFit="1" customWidth="1"/>
    <col min="3087" max="3087" width="9.42578125" bestFit="1" customWidth="1"/>
    <col min="3088" max="3088" width="12.85546875" bestFit="1" customWidth="1"/>
    <col min="3089" max="3089" width="15.5703125" bestFit="1" customWidth="1"/>
    <col min="3090" max="3090" width="13.85546875" bestFit="1" customWidth="1"/>
    <col min="3091" max="3091" width="16.5703125" bestFit="1" customWidth="1"/>
    <col min="3092" max="3092" width="13.28515625" bestFit="1" customWidth="1"/>
    <col min="3093" max="3093" width="9.42578125" bestFit="1" customWidth="1"/>
    <col min="3094" max="3095" width="13.28515625" bestFit="1" customWidth="1"/>
    <col min="3096" max="3096" width="9.42578125" bestFit="1" customWidth="1"/>
    <col min="3097" max="3097" width="13.28515625" bestFit="1" customWidth="1"/>
    <col min="3098" max="3098" width="9.42578125" bestFit="1" customWidth="1"/>
    <col min="3099" max="3099" width="13.28515625" bestFit="1" customWidth="1"/>
    <col min="3100" max="3100" width="14.5703125" bestFit="1" customWidth="1"/>
    <col min="3101" max="3103" width="13.28515625" bestFit="1" customWidth="1"/>
    <col min="3104" max="3104" width="9.42578125" bestFit="1" customWidth="1"/>
    <col min="3105" max="3105" width="10.5703125" bestFit="1" customWidth="1"/>
    <col min="3106" max="3106" width="11.42578125" bestFit="1" customWidth="1"/>
    <col min="3107" max="3107" width="13.28515625" bestFit="1" customWidth="1"/>
    <col min="3108" max="3108" width="12.42578125" bestFit="1" customWidth="1"/>
    <col min="3109" max="3109" width="10.5703125" bestFit="1" customWidth="1"/>
    <col min="3110" max="3110" width="10.42578125" bestFit="1" customWidth="1"/>
    <col min="3111" max="3118" width="12.140625" bestFit="1" customWidth="1"/>
    <col min="3119" max="3119" width="10.42578125" bestFit="1" customWidth="1"/>
    <col min="3120" max="3120" width="10.5703125" bestFit="1" customWidth="1"/>
    <col min="3121" max="3121" width="9.42578125" bestFit="1" customWidth="1"/>
    <col min="3122" max="3122" width="9.5703125" bestFit="1" customWidth="1"/>
    <col min="3123" max="3123" width="10.42578125" bestFit="1" customWidth="1"/>
    <col min="3124" max="3124" width="12.140625" bestFit="1" customWidth="1"/>
    <col min="3125" max="3125" width="10.42578125" bestFit="1" customWidth="1"/>
    <col min="3126" max="3126" width="9.5703125" bestFit="1" customWidth="1"/>
    <col min="3127" max="3127" width="7.85546875" customWidth="1"/>
    <col min="3128" max="3128" width="9.5703125" bestFit="1" customWidth="1"/>
    <col min="3129" max="3129" width="11.42578125" bestFit="1" customWidth="1"/>
    <col min="3130" max="3130" width="10.5703125" bestFit="1" customWidth="1"/>
    <col min="3131" max="3131" width="11.42578125" bestFit="1" customWidth="1"/>
    <col min="3132" max="3132" width="13.28515625" bestFit="1" customWidth="1"/>
    <col min="3133" max="3133" width="8.85546875" customWidth="1"/>
    <col min="3134" max="3134" width="18.5703125" bestFit="1" customWidth="1"/>
    <col min="3135" max="3135" width="12.85546875" bestFit="1" customWidth="1"/>
    <col min="3136" max="3136" width="15.5703125" bestFit="1" customWidth="1"/>
    <col min="3137" max="3137" width="12.85546875" bestFit="1" customWidth="1"/>
    <col min="3138" max="3138" width="15.5703125" bestFit="1" customWidth="1"/>
    <col min="3139" max="3139" width="12.85546875" bestFit="1" customWidth="1"/>
    <col min="3140" max="3140" width="15.5703125" bestFit="1" customWidth="1"/>
    <col min="3141" max="3141" width="12.140625" bestFit="1" customWidth="1"/>
    <col min="3142" max="3142" width="10.42578125" bestFit="1" customWidth="1"/>
    <col min="3143" max="3143" width="13.28515625" bestFit="1" customWidth="1"/>
    <col min="3144" max="3144" width="9.42578125" bestFit="1" customWidth="1"/>
    <col min="3145" max="3145" width="12.140625" bestFit="1" customWidth="1"/>
    <col min="3146" max="3146" width="9.42578125" bestFit="1" customWidth="1"/>
    <col min="3147" max="3147" width="10.5703125" bestFit="1" customWidth="1"/>
    <col min="3148" max="3148" width="10.42578125" bestFit="1" customWidth="1"/>
    <col min="3149" max="3149" width="11.5703125" bestFit="1" customWidth="1"/>
    <col min="3150" max="3150" width="13.28515625" bestFit="1" customWidth="1"/>
    <col min="3151" max="3151" width="9.42578125" bestFit="1" customWidth="1"/>
    <col min="3152" max="3152" width="13.28515625" bestFit="1" customWidth="1"/>
    <col min="3153" max="3153" width="9.42578125" bestFit="1" customWidth="1"/>
    <col min="3154" max="3154" width="14.28515625" bestFit="1" customWidth="1"/>
    <col min="3155" max="3155" width="10.42578125" bestFit="1" customWidth="1"/>
    <col min="3156" max="3156" width="10.85546875" bestFit="1" customWidth="1"/>
    <col min="3157" max="3158" width="12.140625" bestFit="1" customWidth="1"/>
    <col min="3159" max="3159" width="9.42578125" bestFit="1" customWidth="1"/>
    <col min="3160" max="3160" width="13.85546875" bestFit="1" customWidth="1"/>
    <col min="3161" max="3161" width="16.140625" bestFit="1" customWidth="1"/>
    <col min="3162" max="3162" width="10.42578125" bestFit="1" customWidth="1"/>
    <col min="3163" max="3163" width="12.140625" bestFit="1" customWidth="1"/>
    <col min="3164" max="3164" width="11.42578125" bestFit="1" customWidth="1"/>
    <col min="3165" max="3166" width="12.140625" bestFit="1" customWidth="1"/>
    <col min="3167" max="3167" width="9.42578125" bestFit="1" customWidth="1"/>
    <col min="3168" max="3168" width="12.140625" bestFit="1" customWidth="1"/>
    <col min="3169" max="3169" width="11.42578125" bestFit="1" customWidth="1"/>
    <col min="3170" max="3170" width="13.28515625" bestFit="1" customWidth="1"/>
    <col min="3171" max="3171" width="10.42578125" bestFit="1" customWidth="1"/>
    <col min="3172" max="3172" width="13.28515625" bestFit="1" customWidth="1"/>
    <col min="3173" max="3173" width="10.42578125" bestFit="1" customWidth="1"/>
    <col min="3174" max="3174" width="13.28515625" bestFit="1" customWidth="1"/>
    <col min="3175" max="3175" width="11.42578125" bestFit="1" customWidth="1"/>
    <col min="3176" max="3176" width="13.28515625" bestFit="1" customWidth="1"/>
    <col min="3177" max="3177" width="9.42578125" bestFit="1" customWidth="1"/>
    <col min="3178" max="3178" width="13.28515625" bestFit="1" customWidth="1"/>
    <col min="3179" max="3179" width="12.42578125" bestFit="1" customWidth="1"/>
    <col min="3180" max="3180" width="13.28515625" bestFit="1" customWidth="1"/>
    <col min="3181" max="3181" width="10.42578125" bestFit="1" customWidth="1"/>
    <col min="3182" max="3182" width="19.28515625" bestFit="1" customWidth="1"/>
    <col min="3183" max="3184" width="13.5703125" bestFit="1" customWidth="1"/>
    <col min="3185" max="3185" width="10.42578125" bestFit="1" customWidth="1"/>
    <col min="3186" max="3187" width="12.140625" bestFit="1" customWidth="1"/>
    <col min="3188" max="3188" width="9.42578125" bestFit="1" customWidth="1"/>
    <col min="3189" max="3189" width="16.7109375" bestFit="1" customWidth="1"/>
    <col min="3190" max="3190" width="14.28515625" bestFit="1" customWidth="1"/>
    <col min="3191" max="3191" width="7.85546875" customWidth="1"/>
    <col min="3192" max="3192" width="10" bestFit="1" customWidth="1"/>
    <col min="3193" max="3193" width="13" bestFit="1" customWidth="1"/>
    <col min="3194" max="3194" width="11.42578125" bestFit="1" customWidth="1"/>
    <col min="3195" max="3195" width="16.140625" bestFit="1" customWidth="1"/>
    <col min="3196" max="3196" width="13.28515625" bestFit="1" customWidth="1"/>
    <col min="3197" max="3197" width="13.5703125" bestFit="1" customWidth="1"/>
    <col min="3198" max="3198" width="14.5703125" bestFit="1" customWidth="1"/>
    <col min="3199" max="3200" width="13.28515625" bestFit="1" customWidth="1"/>
    <col min="3201" max="3201" width="10.42578125" bestFit="1" customWidth="1"/>
    <col min="3202" max="3202" width="16" bestFit="1" customWidth="1"/>
    <col min="3203" max="3204" width="13.28515625" bestFit="1" customWidth="1"/>
    <col min="3205" max="3205" width="8.42578125" customWidth="1"/>
    <col min="3206" max="3206" width="14.7109375" bestFit="1" customWidth="1"/>
    <col min="3207" max="3207" width="11" bestFit="1" customWidth="1"/>
    <col min="3208" max="3208" width="11.42578125" bestFit="1" customWidth="1"/>
    <col min="3209" max="3209" width="14.140625" bestFit="1" customWidth="1"/>
    <col min="3210" max="3210" width="13.28515625" bestFit="1" customWidth="1"/>
    <col min="3211" max="3211" width="12.42578125" bestFit="1" customWidth="1"/>
    <col min="3212" max="3212" width="10.85546875" bestFit="1" customWidth="1"/>
    <col min="3213" max="3213" width="13.5703125" bestFit="1" customWidth="1"/>
    <col min="3214" max="3214" width="16.42578125" bestFit="1" customWidth="1"/>
    <col min="3215" max="3215" width="13.28515625" bestFit="1" customWidth="1"/>
    <col min="3216" max="3216" width="11.42578125" bestFit="1" customWidth="1"/>
    <col min="3217" max="3217" width="12.85546875" bestFit="1" customWidth="1"/>
    <col min="3218" max="3220" width="10.5703125" bestFit="1" customWidth="1"/>
    <col min="3221" max="3221" width="11.42578125" bestFit="1" customWidth="1"/>
    <col min="3222" max="3222" width="13.5703125" bestFit="1" customWidth="1"/>
    <col min="3223" max="3223" width="11.85546875" bestFit="1" customWidth="1"/>
    <col min="3224" max="3224" width="14.5703125" bestFit="1" customWidth="1"/>
    <col min="3225" max="3225" width="14" bestFit="1" customWidth="1"/>
    <col min="3226" max="3227" width="15.85546875" bestFit="1" customWidth="1"/>
    <col min="3228" max="3228" width="7.85546875" customWidth="1"/>
    <col min="3229" max="3229" width="18.5703125" bestFit="1" customWidth="1"/>
    <col min="3230" max="3230" width="13.28515625" bestFit="1" customWidth="1"/>
    <col min="3231" max="3231" width="11.42578125" bestFit="1" customWidth="1"/>
    <col min="3232" max="3232" width="11.5703125" bestFit="1" customWidth="1"/>
    <col min="3233" max="3233" width="13.28515625" bestFit="1" customWidth="1"/>
    <col min="3234" max="3234" width="13.5703125" bestFit="1" customWidth="1"/>
    <col min="3235" max="3235" width="15.42578125" bestFit="1" customWidth="1"/>
    <col min="3236" max="3236" width="12.7109375" bestFit="1" customWidth="1"/>
    <col min="3237" max="3237" width="12.42578125" bestFit="1" customWidth="1"/>
    <col min="3238" max="3238" width="11.85546875" bestFit="1" customWidth="1"/>
    <col min="3239" max="3239" width="14.5703125" bestFit="1" customWidth="1"/>
    <col min="3240" max="3240" width="10.85546875" bestFit="1" customWidth="1"/>
    <col min="3241" max="3241" width="13.5703125" bestFit="1" customWidth="1"/>
    <col min="3242" max="3242" width="15.85546875" bestFit="1" customWidth="1"/>
    <col min="3243" max="3243" width="14" bestFit="1" customWidth="1"/>
    <col min="3244" max="3244" width="12.42578125" bestFit="1" customWidth="1"/>
    <col min="3245" max="3245" width="12.140625" bestFit="1" customWidth="1"/>
    <col min="3246" max="3246" width="12.42578125" bestFit="1" customWidth="1"/>
    <col min="3247" max="3247" width="12.140625" bestFit="1" customWidth="1"/>
    <col min="3248" max="3248" width="11.42578125" bestFit="1" customWidth="1"/>
    <col min="3249" max="3249" width="12.140625" bestFit="1" customWidth="1"/>
    <col min="3250" max="3250" width="11.42578125" bestFit="1" customWidth="1"/>
    <col min="3251" max="3251" width="12.140625" bestFit="1" customWidth="1"/>
    <col min="3252" max="3252" width="12.42578125" bestFit="1" customWidth="1"/>
    <col min="3253" max="3253" width="12.140625" bestFit="1" customWidth="1"/>
    <col min="3254" max="3254" width="11.42578125" bestFit="1" customWidth="1"/>
    <col min="3255" max="3255" width="12.140625" bestFit="1" customWidth="1"/>
    <col min="3256" max="3256" width="11.42578125" bestFit="1" customWidth="1"/>
    <col min="3257" max="3257" width="12.140625" bestFit="1" customWidth="1"/>
    <col min="3258" max="3258" width="13.5703125" bestFit="1" customWidth="1"/>
    <col min="3259" max="3259" width="12.140625" bestFit="1" customWidth="1"/>
    <col min="3260" max="3260" width="12.42578125" bestFit="1" customWidth="1"/>
    <col min="3261" max="3261" width="13.28515625" bestFit="1" customWidth="1"/>
    <col min="3262" max="3262" width="10.42578125" bestFit="1" customWidth="1"/>
    <col min="3263" max="3263" width="13.28515625" bestFit="1" customWidth="1"/>
    <col min="3264" max="3264" width="13.5703125" bestFit="1" customWidth="1"/>
    <col min="3265" max="3265" width="13.28515625" bestFit="1" customWidth="1"/>
    <col min="3266" max="3266" width="10.42578125" bestFit="1" customWidth="1"/>
    <col min="3267" max="3267" width="13.28515625" bestFit="1" customWidth="1"/>
    <col min="3268" max="3268" width="13.5703125" bestFit="1" customWidth="1"/>
    <col min="3269" max="3269" width="13.28515625" bestFit="1" customWidth="1"/>
    <col min="3270" max="3270" width="11.42578125" bestFit="1" customWidth="1"/>
    <col min="3271" max="3271" width="17.28515625" bestFit="1" customWidth="1"/>
    <col min="3272" max="3272" width="12.85546875" bestFit="1" customWidth="1"/>
    <col min="3273" max="3273" width="15.5703125" bestFit="1" customWidth="1"/>
    <col min="3274" max="3274" width="10.5703125" bestFit="1" customWidth="1"/>
    <col min="3275" max="3275" width="10.42578125" bestFit="1" customWidth="1"/>
    <col min="3276" max="3276" width="9.5703125" bestFit="1" customWidth="1"/>
    <col min="3277" max="3277" width="10.42578125" bestFit="1" customWidth="1"/>
    <col min="3278" max="3278" width="15.85546875" bestFit="1" customWidth="1"/>
    <col min="3279" max="3279" width="17.85546875" bestFit="1" customWidth="1"/>
    <col min="3280" max="3280" width="16.5703125" bestFit="1" customWidth="1"/>
    <col min="3281" max="3281" width="21" bestFit="1" customWidth="1"/>
    <col min="3282" max="3282" width="10.7109375" bestFit="1" customWidth="1"/>
  </cols>
  <sheetData>
    <row r="4" spans="1:3" x14ac:dyDescent="0.25">
      <c r="A4" s="30" t="s">
        <v>1</v>
      </c>
      <c r="B4" t="s">
        <v>2992</v>
      </c>
    </row>
    <row r="6" spans="1:3" x14ac:dyDescent="0.25">
      <c r="A6" s="30" t="s">
        <v>2989</v>
      </c>
      <c r="B6" t="s">
        <v>2991</v>
      </c>
      <c r="C6" s="14" t="s">
        <v>2990</v>
      </c>
    </row>
    <row r="7" spans="1:3" x14ac:dyDescent="0.25">
      <c r="A7" s="12"/>
      <c r="B7" s="3">
        <v>2797200</v>
      </c>
      <c r="C7" s="14">
        <v>116838.00000000001</v>
      </c>
    </row>
    <row r="8" spans="1:3" x14ac:dyDescent="0.25">
      <c r="A8" s="12" t="s">
        <v>1604</v>
      </c>
      <c r="B8" s="3">
        <v>1.6200000000000003E-2</v>
      </c>
      <c r="C8" s="14">
        <v>584.54999999999995</v>
      </c>
    </row>
    <row r="9" spans="1:3" x14ac:dyDescent="0.25">
      <c r="A9" s="12" t="s">
        <v>2875</v>
      </c>
      <c r="B9" s="3">
        <v>5.3031839999999999</v>
      </c>
      <c r="C9" s="14">
        <v>2231.3999999999996</v>
      </c>
    </row>
    <row r="10" spans="1:3" x14ac:dyDescent="0.25">
      <c r="A10" s="12" t="s">
        <v>2151</v>
      </c>
      <c r="B10" s="3">
        <v>0.34799999999999998</v>
      </c>
      <c r="C10" s="14">
        <v>1957</v>
      </c>
    </row>
    <row r="11" spans="1:3" x14ac:dyDescent="0.25">
      <c r="A11" s="12" t="s">
        <v>1189</v>
      </c>
      <c r="B11" s="3">
        <v>0.11</v>
      </c>
      <c r="C11" s="14">
        <v>27632</v>
      </c>
    </row>
    <row r="12" spans="1:3" x14ac:dyDescent="0.25">
      <c r="A12" s="12" t="s">
        <v>507</v>
      </c>
      <c r="B12" s="3">
        <v>37.260000000000005</v>
      </c>
      <c r="C12" s="14">
        <v>50595.4</v>
      </c>
    </row>
    <row r="13" spans="1:3" x14ac:dyDescent="0.25">
      <c r="A13" s="12" t="s">
        <v>797</v>
      </c>
      <c r="B13" s="3">
        <v>0.13707275000000002</v>
      </c>
      <c r="C13" s="14">
        <v>5834</v>
      </c>
    </row>
    <row r="14" spans="1:3" x14ac:dyDescent="0.25">
      <c r="A14" s="12" t="s">
        <v>2554</v>
      </c>
      <c r="B14" s="3">
        <v>9.6000000000000002E-2</v>
      </c>
      <c r="C14" s="14">
        <v>104.8</v>
      </c>
    </row>
    <row r="15" spans="1:3" x14ac:dyDescent="0.25">
      <c r="A15" s="12" t="s">
        <v>772</v>
      </c>
      <c r="B15" s="3">
        <v>4.4999999999999998E-2</v>
      </c>
      <c r="C15" s="14">
        <v>285</v>
      </c>
    </row>
    <row r="16" spans="1:3" x14ac:dyDescent="0.25">
      <c r="A16" s="12" t="s">
        <v>1386</v>
      </c>
      <c r="B16" s="3">
        <v>3.7341720000000002E-2</v>
      </c>
      <c r="C16" s="14">
        <v>369000</v>
      </c>
    </row>
    <row r="17" spans="1:3" x14ac:dyDescent="0.25">
      <c r="A17" s="12" t="s">
        <v>887</v>
      </c>
      <c r="B17" s="3">
        <v>7.4250000000000007</v>
      </c>
      <c r="C17" s="14">
        <v>275000</v>
      </c>
    </row>
    <row r="18" spans="1:3" x14ac:dyDescent="0.25">
      <c r="A18" s="12" t="s">
        <v>687</v>
      </c>
      <c r="B18" s="3">
        <v>1.1520000000000001E-2</v>
      </c>
      <c r="C18" s="14">
        <v>1852.8</v>
      </c>
    </row>
    <row r="19" spans="1:3" x14ac:dyDescent="0.25">
      <c r="A19" s="12" t="s">
        <v>794</v>
      </c>
      <c r="B19" s="3">
        <v>3.2965</v>
      </c>
      <c r="C19" s="14">
        <v>3306905</v>
      </c>
    </row>
    <row r="20" spans="1:3" x14ac:dyDescent="0.25">
      <c r="A20" s="12" t="s">
        <v>568</v>
      </c>
      <c r="B20" s="3">
        <v>2.9144000000000001</v>
      </c>
      <c r="C20" s="14">
        <v>99817.500000000015</v>
      </c>
    </row>
    <row r="21" spans="1:3" x14ac:dyDescent="0.25">
      <c r="A21" s="12" t="s">
        <v>2715</v>
      </c>
      <c r="B21" s="3">
        <v>60.708960000000005</v>
      </c>
      <c r="C21" s="14">
        <v>58410</v>
      </c>
    </row>
    <row r="22" spans="1:3" x14ac:dyDescent="0.25">
      <c r="A22" s="12" t="s">
        <v>441</v>
      </c>
      <c r="B22" s="3">
        <v>3.78732428</v>
      </c>
      <c r="C22" s="14">
        <v>76778.600000000006</v>
      </c>
    </row>
    <row r="23" spans="1:3" x14ac:dyDescent="0.25">
      <c r="A23" s="12" t="s">
        <v>1383</v>
      </c>
      <c r="B23" s="3">
        <v>3.5968680000000003E-2</v>
      </c>
      <c r="C23" s="14">
        <v>780000</v>
      </c>
    </row>
    <row r="24" spans="1:3" x14ac:dyDescent="0.25">
      <c r="A24" s="12" t="s">
        <v>135</v>
      </c>
      <c r="B24" s="3">
        <v>2828.64</v>
      </c>
      <c r="C24" s="14">
        <v>1454525</v>
      </c>
    </row>
    <row r="25" spans="1:3" x14ac:dyDescent="0.25">
      <c r="A25" s="12" t="s">
        <v>2594</v>
      </c>
      <c r="B25" s="3">
        <v>13</v>
      </c>
      <c r="C25" s="14">
        <v>4.2762720000000005</v>
      </c>
    </row>
    <row r="26" spans="1:3" x14ac:dyDescent="0.25">
      <c r="A26" s="12" t="s">
        <v>1969</v>
      </c>
      <c r="B26" s="3">
        <v>9.7306920000000005E-2</v>
      </c>
      <c r="C26" s="14">
        <v>140</v>
      </c>
    </row>
    <row r="27" spans="1:3" x14ac:dyDescent="0.25">
      <c r="A27" s="12" t="s">
        <v>2548</v>
      </c>
      <c r="B27" s="3">
        <v>0.39798</v>
      </c>
      <c r="C27" s="14">
        <v>1767</v>
      </c>
    </row>
    <row r="28" spans="1:3" x14ac:dyDescent="0.25">
      <c r="A28" s="12" t="s">
        <v>362</v>
      </c>
      <c r="B28" s="3">
        <v>131.36415889999998</v>
      </c>
      <c r="C28" s="14">
        <v>556711.35499999998</v>
      </c>
    </row>
    <row r="29" spans="1:3" x14ac:dyDescent="0.25">
      <c r="A29" s="12" t="s">
        <v>885</v>
      </c>
      <c r="B29" s="3">
        <v>7.4250000000000007</v>
      </c>
      <c r="C29" s="14">
        <v>209000</v>
      </c>
    </row>
    <row r="30" spans="1:3" x14ac:dyDescent="0.25">
      <c r="A30" s="12" t="s">
        <v>1631</v>
      </c>
      <c r="B30" s="3">
        <v>0.53927999999999998</v>
      </c>
      <c r="C30" s="14">
        <v>2974</v>
      </c>
    </row>
    <row r="31" spans="1:3" x14ac:dyDescent="0.25">
      <c r="A31" s="12" t="s">
        <v>488</v>
      </c>
      <c r="B31" s="3">
        <v>219.16077674999994</v>
      </c>
      <c r="C31" s="14">
        <v>101804.92000000001</v>
      </c>
    </row>
    <row r="32" spans="1:3" x14ac:dyDescent="0.25">
      <c r="A32" s="12" t="s">
        <v>696</v>
      </c>
      <c r="B32" s="3">
        <v>7.4999999999999997E-2</v>
      </c>
      <c r="C32" s="14">
        <v>21450</v>
      </c>
    </row>
    <row r="33" spans="1:3" x14ac:dyDescent="0.25">
      <c r="A33" s="12" t="s">
        <v>2905</v>
      </c>
      <c r="B33" s="3">
        <v>8.594061</v>
      </c>
      <c r="C33" s="14">
        <v>2848.5</v>
      </c>
    </row>
    <row r="34" spans="1:3" x14ac:dyDescent="0.25">
      <c r="A34" s="12" t="s">
        <v>1692</v>
      </c>
      <c r="B34" s="3">
        <v>0.4788</v>
      </c>
      <c r="C34" s="14">
        <v>21736</v>
      </c>
    </row>
    <row r="35" spans="1:3" x14ac:dyDescent="0.25">
      <c r="A35" s="12" t="s">
        <v>692</v>
      </c>
      <c r="B35" s="3">
        <v>26.91620752</v>
      </c>
      <c r="C35" s="14">
        <v>15749.5</v>
      </c>
    </row>
    <row r="36" spans="1:3" x14ac:dyDescent="0.25">
      <c r="A36" s="12" t="s">
        <v>1942</v>
      </c>
      <c r="B36" s="3">
        <v>0.31198895999999998</v>
      </c>
      <c r="C36" s="14">
        <v>127500</v>
      </c>
    </row>
    <row r="37" spans="1:3" x14ac:dyDescent="0.25">
      <c r="A37" s="12" t="s">
        <v>289</v>
      </c>
      <c r="B37" s="3">
        <v>5.4000000000000003E-3</v>
      </c>
      <c r="C37" s="14">
        <v>570.15</v>
      </c>
    </row>
    <row r="38" spans="1:3" x14ac:dyDescent="0.25">
      <c r="A38" s="12" t="s">
        <v>856</v>
      </c>
      <c r="B38" s="3">
        <v>2E-3</v>
      </c>
      <c r="C38" s="14">
        <v>83.6</v>
      </c>
    </row>
    <row r="39" spans="1:3" x14ac:dyDescent="0.25">
      <c r="A39" s="12" t="s">
        <v>511</v>
      </c>
      <c r="B39" s="3">
        <v>2.497824</v>
      </c>
      <c r="C39" s="14">
        <v>3592</v>
      </c>
    </row>
    <row r="40" spans="1:3" x14ac:dyDescent="0.25">
      <c r="A40" s="12" t="s">
        <v>835</v>
      </c>
      <c r="B40" s="3">
        <v>8.4100000000000008E-3</v>
      </c>
      <c r="C40" s="14">
        <v>28</v>
      </c>
    </row>
    <row r="41" spans="1:3" x14ac:dyDescent="0.25">
      <c r="A41" s="12" t="s">
        <v>1580</v>
      </c>
      <c r="B41" s="3">
        <v>0.15</v>
      </c>
      <c r="C41" s="14">
        <v>8012.5</v>
      </c>
    </row>
    <row r="42" spans="1:3" x14ac:dyDescent="0.25">
      <c r="A42" s="12" t="s">
        <v>1038</v>
      </c>
      <c r="B42" s="3">
        <v>24.9954</v>
      </c>
      <c r="C42" s="14">
        <v>397625</v>
      </c>
    </row>
    <row r="43" spans="1:3" x14ac:dyDescent="0.25">
      <c r="A43" s="12" t="s">
        <v>921</v>
      </c>
      <c r="B43" s="3">
        <v>70.823750000000004</v>
      </c>
      <c r="C43" s="14">
        <v>473030</v>
      </c>
    </row>
    <row r="44" spans="1:3" x14ac:dyDescent="0.25">
      <c r="A44" s="12" t="s">
        <v>983</v>
      </c>
      <c r="B44" s="3">
        <v>0.6</v>
      </c>
      <c r="C44" s="14">
        <v>16450</v>
      </c>
    </row>
    <row r="45" spans="1:3" x14ac:dyDescent="0.25">
      <c r="A45" s="12" t="s">
        <v>2025</v>
      </c>
      <c r="B45" s="3">
        <v>15.552000000000001</v>
      </c>
      <c r="C45" s="14">
        <v>188182.8</v>
      </c>
    </row>
    <row r="46" spans="1:3" x14ac:dyDescent="0.25">
      <c r="A46" s="12" t="s">
        <v>1214</v>
      </c>
      <c r="B46" s="3">
        <v>5.2479999999999999E-2</v>
      </c>
      <c r="C46" s="14">
        <v>141.60000000000002</v>
      </c>
    </row>
    <row r="47" spans="1:3" x14ac:dyDescent="0.25">
      <c r="A47" s="12" t="s">
        <v>1060</v>
      </c>
      <c r="B47" s="3">
        <v>0.16</v>
      </c>
      <c r="C47" s="14">
        <v>747.2</v>
      </c>
    </row>
    <row r="48" spans="1:3" x14ac:dyDescent="0.25">
      <c r="A48" s="12" t="s">
        <v>822</v>
      </c>
      <c r="B48" s="3">
        <v>3.6160351200000003</v>
      </c>
      <c r="C48" s="14">
        <v>4747.0000000000018</v>
      </c>
    </row>
    <row r="49" spans="1:3" x14ac:dyDescent="0.25">
      <c r="A49" s="12" t="s">
        <v>985</v>
      </c>
      <c r="B49" s="3">
        <v>16.068537199999998</v>
      </c>
      <c r="C49" s="14">
        <v>448554.5</v>
      </c>
    </row>
    <row r="50" spans="1:3" x14ac:dyDescent="0.25">
      <c r="A50" s="12" t="s">
        <v>2049</v>
      </c>
      <c r="B50" s="3">
        <v>14.4072</v>
      </c>
      <c r="C50" s="14">
        <v>239940</v>
      </c>
    </row>
    <row r="51" spans="1:3" x14ac:dyDescent="0.25">
      <c r="A51" s="12" t="s">
        <v>357</v>
      </c>
      <c r="B51" s="3">
        <v>109.091475</v>
      </c>
      <c r="C51" s="14">
        <v>486473.58</v>
      </c>
    </row>
    <row r="52" spans="1:3" x14ac:dyDescent="0.25">
      <c r="A52" s="12" t="s">
        <v>1689</v>
      </c>
      <c r="B52" s="3">
        <v>0.25535999999999998</v>
      </c>
      <c r="C52" s="14">
        <v>7751.9999999999991</v>
      </c>
    </row>
    <row r="53" spans="1:3" x14ac:dyDescent="0.25">
      <c r="A53" s="12" t="s">
        <v>1529</v>
      </c>
      <c r="B53" s="3">
        <v>16.32</v>
      </c>
      <c r="C53" s="14">
        <v>68720</v>
      </c>
    </row>
    <row r="54" spans="1:3" x14ac:dyDescent="0.25">
      <c r="A54" s="12" t="s">
        <v>1317</v>
      </c>
      <c r="B54" s="3">
        <v>529.01987800000006</v>
      </c>
      <c r="C54" s="14">
        <v>1736503.5</v>
      </c>
    </row>
    <row r="55" spans="1:3" x14ac:dyDescent="0.25">
      <c r="A55" s="12" t="s">
        <v>2749</v>
      </c>
      <c r="B55" s="3">
        <v>36.903600000000004</v>
      </c>
      <c r="C55" s="14">
        <v>14280</v>
      </c>
    </row>
    <row r="56" spans="1:3" x14ac:dyDescent="0.25">
      <c r="A56" s="12" t="s">
        <v>1361</v>
      </c>
      <c r="B56" s="3">
        <v>217.44268</v>
      </c>
      <c r="C56" s="14">
        <v>2957710</v>
      </c>
    </row>
    <row r="57" spans="1:3" x14ac:dyDescent="0.25">
      <c r="A57" s="12" t="s">
        <v>1766</v>
      </c>
      <c r="B57" s="3">
        <v>6.3881999999999994</v>
      </c>
      <c r="C57" s="14">
        <v>14400</v>
      </c>
    </row>
    <row r="58" spans="1:3" x14ac:dyDescent="0.25">
      <c r="A58" s="12" t="s">
        <v>1935</v>
      </c>
      <c r="B58" s="3">
        <v>5813.4375</v>
      </c>
      <c r="C58" s="14">
        <v>39000</v>
      </c>
    </row>
    <row r="59" spans="1:3" x14ac:dyDescent="0.25">
      <c r="A59" s="12" t="s">
        <v>2379</v>
      </c>
      <c r="B59" s="3">
        <v>9.9600000000000009</v>
      </c>
      <c r="C59" s="14">
        <v>2587</v>
      </c>
    </row>
    <row r="60" spans="1:3" x14ac:dyDescent="0.25">
      <c r="A60" s="12" t="s">
        <v>1343</v>
      </c>
      <c r="B60" s="3">
        <v>72.753257500000004</v>
      </c>
      <c r="C60" s="14">
        <v>171985</v>
      </c>
    </row>
    <row r="61" spans="1:3" x14ac:dyDescent="0.25">
      <c r="A61" s="12" t="s">
        <v>356</v>
      </c>
      <c r="B61" s="3">
        <v>67.900000000000006</v>
      </c>
      <c r="C61" s="14">
        <v>62865.725000000006</v>
      </c>
    </row>
    <row r="62" spans="1:3" x14ac:dyDescent="0.25">
      <c r="A62" s="12" t="s">
        <v>483</v>
      </c>
      <c r="B62" s="3">
        <v>44.395644100000005</v>
      </c>
      <c r="C62" s="14">
        <v>22360</v>
      </c>
    </row>
    <row r="63" spans="1:3" x14ac:dyDescent="0.25">
      <c r="A63" s="12" t="s">
        <v>939</v>
      </c>
      <c r="B63" s="3">
        <v>34.299999999999997</v>
      </c>
      <c r="C63" s="14">
        <v>70000</v>
      </c>
    </row>
    <row r="64" spans="1:3" x14ac:dyDescent="0.25">
      <c r="A64" s="12" t="s">
        <v>801</v>
      </c>
      <c r="B64" s="3">
        <v>1.44</v>
      </c>
      <c r="C64" s="14">
        <v>4993.6000000000004</v>
      </c>
    </row>
    <row r="65" spans="1:3" x14ac:dyDescent="0.25">
      <c r="A65" s="12" t="s">
        <v>2878</v>
      </c>
      <c r="B65" s="3">
        <v>10.528079999999999</v>
      </c>
      <c r="C65" s="14">
        <v>18058.5</v>
      </c>
    </row>
    <row r="66" spans="1:3" x14ac:dyDescent="0.25">
      <c r="A66" s="12" t="s">
        <v>315</v>
      </c>
      <c r="B66" s="3">
        <v>78.400000000000006</v>
      </c>
      <c r="C66" s="14">
        <v>87571.25</v>
      </c>
    </row>
    <row r="67" spans="1:3" x14ac:dyDescent="0.25">
      <c r="A67" s="12" t="s">
        <v>2863</v>
      </c>
      <c r="B67" s="3">
        <v>1.9758297599999999</v>
      </c>
      <c r="C67" s="14">
        <v>23670</v>
      </c>
    </row>
    <row r="68" spans="1:3" x14ac:dyDescent="0.25">
      <c r="A68" s="12" t="s">
        <v>1459</v>
      </c>
      <c r="B68" s="3">
        <v>45</v>
      </c>
      <c r="C68" s="14">
        <v>245548.10170487949</v>
      </c>
    </row>
    <row r="69" spans="1:3" x14ac:dyDescent="0.25">
      <c r="A69" s="12" t="s">
        <v>588</v>
      </c>
      <c r="B69" s="3">
        <v>10.225000000000001</v>
      </c>
      <c r="C69" s="14">
        <v>152065</v>
      </c>
    </row>
    <row r="70" spans="1:3" x14ac:dyDescent="0.25">
      <c r="A70" s="12" t="s">
        <v>1643</v>
      </c>
      <c r="B70" s="3">
        <v>0.40287600000000001</v>
      </c>
      <c r="C70" s="14">
        <v>68400</v>
      </c>
    </row>
    <row r="71" spans="1:3" x14ac:dyDescent="0.25">
      <c r="A71" s="12" t="s">
        <v>1849</v>
      </c>
      <c r="B71" s="3">
        <v>43.761266560000003</v>
      </c>
      <c r="C71" s="14">
        <v>1566006</v>
      </c>
    </row>
    <row r="72" spans="1:3" x14ac:dyDescent="0.25">
      <c r="A72" s="12" t="s">
        <v>2586</v>
      </c>
      <c r="B72" s="3">
        <v>13</v>
      </c>
      <c r="C72" s="14">
        <v>2513.8750000000005</v>
      </c>
    </row>
    <row r="73" spans="1:3" x14ac:dyDescent="0.25">
      <c r="A73" s="12" t="s">
        <v>867</v>
      </c>
      <c r="B73" s="3">
        <v>15.839999999999998</v>
      </c>
      <c r="C73" s="14">
        <v>21692</v>
      </c>
    </row>
    <row r="74" spans="1:3" x14ac:dyDescent="0.25">
      <c r="A74" s="12" t="s">
        <v>2524</v>
      </c>
      <c r="B74" s="3">
        <v>48.512304</v>
      </c>
      <c r="C74" s="14">
        <v>623</v>
      </c>
    </row>
    <row r="75" spans="1:3" x14ac:dyDescent="0.25">
      <c r="A75" s="12" t="s">
        <v>2734</v>
      </c>
      <c r="B75" s="3">
        <v>2.6250000000000004</v>
      </c>
      <c r="C75" s="14">
        <v>1785</v>
      </c>
    </row>
    <row r="76" spans="1:3" x14ac:dyDescent="0.25">
      <c r="A76" s="12" t="s">
        <v>680</v>
      </c>
      <c r="B76" s="3">
        <v>3.2767500000000003</v>
      </c>
      <c r="C76" s="14">
        <v>63423.7</v>
      </c>
    </row>
    <row r="77" spans="1:3" x14ac:dyDescent="0.25">
      <c r="A77" s="12" t="s">
        <v>1646</v>
      </c>
      <c r="B77" s="3">
        <v>0.3943488</v>
      </c>
      <c r="C77" s="14">
        <v>42788</v>
      </c>
    </row>
    <row r="78" spans="1:3" x14ac:dyDescent="0.25">
      <c r="A78" s="12" t="s">
        <v>845</v>
      </c>
      <c r="B78" s="3">
        <v>34.4375</v>
      </c>
      <c r="C78" s="14">
        <v>33250</v>
      </c>
    </row>
    <row r="79" spans="1:3" x14ac:dyDescent="0.25">
      <c r="A79" s="12" t="s">
        <v>847</v>
      </c>
      <c r="B79" s="3">
        <v>3.5999999999999999E-3</v>
      </c>
      <c r="C79" s="14">
        <v>110</v>
      </c>
    </row>
    <row r="80" spans="1:3" x14ac:dyDescent="0.25">
      <c r="A80" s="12" t="s">
        <v>896</v>
      </c>
      <c r="B80" s="3">
        <v>18.48</v>
      </c>
      <c r="C80" s="14">
        <v>308000</v>
      </c>
    </row>
    <row r="81" spans="1:3" x14ac:dyDescent="0.25">
      <c r="A81" s="12" t="s">
        <v>565</v>
      </c>
      <c r="B81" s="3">
        <v>33.082700700000004</v>
      </c>
      <c r="C81" s="14">
        <v>79905</v>
      </c>
    </row>
    <row r="82" spans="1:3" x14ac:dyDescent="0.25">
      <c r="A82" s="12" t="s">
        <v>2236</v>
      </c>
      <c r="B82" s="3">
        <v>1.6887000000000001</v>
      </c>
      <c r="C82" s="14">
        <v>29916.400000000001</v>
      </c>
    </row>
    <row r="83" spans="1:3" x14ac:dyDescent="0.25">
      <c r="A83" s="12" t="s">
        <v>2753</v>
      </c>
      <c r="B83" s="3">
        <v>57.433889999999998</v>
      </c>
      <c r="C83" s="14">
        <v>24270</v>
      </c>
    </row>
    <row r="84" spans="1:3" x14ac:dyDescent="0.25">
      <c r="A84" s="12" t="s">
        <v>2703</v>
      </c>
      <c r="B84" s="3">
        <v>246.46799999999996</v>
      </c>
      <c r="C84" s="14">
        <v>382480</v>
      </c>
    </row>
    <row r="85" spans="1:3" x14ac:dyDescent="0.25">
      <c r="A85" s="12" t="s">
        <v>956</v>
      </c>
      <c r="B85" s="3">
        <v>30.24</v>
      </c>
      <c r="C85" s="14">
        <v>68400</v>
      </c>
    </row>
    <row r="86" spans="1:3" x14ac:dyDescent="0.25">
      <c r="A86" s="12" t="s">
        <v>442</v>
      </c>
      <c r="B86" s="3">
        <v>4.7374200000000005E-2</v>
      </c>
      <c r="C86" s="14">
        <v>280</v>
      </c>
    </row>
    <row r="87" spans="1:3" x14ac:dyDescent="0.25">
      <c r="A87" s="12" t="s">
        <v>260</v>
      </c>
      <c r="B87" s="3">
        <v>9.8010000000000002</v>
      </c>
      <c r="C87" s="14">
        <v>63602</v>
      </c>
    </row>
    <row r="88" spans="1:3" x14ac:dyDescent="0.25">
      <c r="A88" s="12" t="s">
        <v>254</v>
      </c>
      <c r="B88" s="3">
        <v>23.378999999999998</v>
      </c>
      <c r="C88" s="14">
        <v>206820</v>
      </c>
    </row>
    <row r="89" spans="1:3" x14ac:dyDescent="0.25">
      <c r="A89" s="12" t="s">
        <v>310</v>
      </c>
      <c r="B89" s="3">
        <v>53.962500000000006</v>
      </c>
      <c r="C89" s="14">
        <v>56167.8</v>
      </c>
    </row>
    <row r="90" spans="1:3" x14ac:dyDescent="0.25">
      <c r="A90" s="12" t="s">
        <v>774</v>
      </c>
      <c r="B90" s="3">
        <v>0.52110000000000001</v>
      </c>
      <c r="C90" s="14">
        <v>1470</v>
      </c>
    </row>
    <row r="91" spans="1:3" x14ac:dyDescent="0.25">
      <c r="A91" s="12" t="s">
        <v>1683</v>
      </c>
      <c r="B91" s="3">
        <v>0.74419199999999996</v>
      </c>
      <c r="C91" s="14">
        <v>3313.6000000000004</v>
      </c>
    </row>
    <row r="92" spans="1:3" x14ac:dyDescent="0.25">
      <c r="A92" s="12" t="s">
        <v>2908</v>
      </c>
      <c r="B92" s="3">
        <v>7.0200000000000005</v>
      </c>
      <c r="C92" s="14">
        <v>14848.5</v>
      </c>
    </row>
    <row r="93" spans="1:3" x14ac:dyDescent="0.25">
      <c r="A93" s="12" t="s">
        <v>2033</v>
      </c>
      <c r="B93" s="3">
        <v>2.8799999999999999E-2</v>
      </c>
      <c r="C93" s="14">
        <v>679.2</v>
      </c>
    </row>
    <row r="94" spans="1:3" x14ac:dyDescent="0.25">
      <c r="A94" s="12" t="s">
        <v>574</v>
      </c>
      <c r="B94" s="3">
        <v>3.2533981199999992E-2</v>
      </c>
      <c r="C94" s="14">
        <v>51275</v>
      </c>
    </row>
    <row r="95" spans="1:3" x14ac:dyDescent="0.25">
      <c r="A95" s="12" t="s">
        <v>2429</v>
      </c>
      <c r="B95" s="3">
        <v>0.04</v>
      </c>
      <c r="C95" s="14">
        <v>520</v>
      </c>
    </row>
    <row r="96" spans="1:3" x14ac:dyDescent="0.25">
      <c r="A96" s="12" t="s">
        <v>2784</v>
      </c>
      <c r="B96" s="3">
        <v>34.064160000000001</v>
      </c>
      <c r="C96" s="14">
        <v>52680</v>
      </c>
    </row>
    <row r="97" spans="1:3" x14ac:dyDescent="0.25">
      <c r="A97" s="12" t="s">
        <v>506</v>
      </c>
      <c r="B97" s="3">
        <v>0.67230000000000001</v>
      </c>
      <c r="C97" s="14">
        <v>2119.6</v>
      </c>
    </row>
    <row r="98" spans="1:3" x14ac:dyDescent="0.25">
      <c r="A98" s="12" t="s">
        <v>1071</v>
      </c>
      <c r="B98" s="3">
        <v>0.84</v>
      </c>
      <c r="C98" s="14">
        <v>227465</v>
      </c>
    </row>
    <row r="99" spans="1:3" x14ac:dyDescent="0.25">
      <c r="A99" s="12" t="s">
        <v>1088</v>
      </c>
      <c r="B99" s="3">
        <v>455</v>
      </c>
      <c r="C99" s="14">
        <v>1668359.9999999998</v>
      </c>
    </row>
    <row r="100" spans="1:3" x14ac:dyDescent="0.25">
      <c r="A100" s="12" t="s">
        <v>2215</v>
      </c>
      <c r="B100" s="3">
        <v>7.4775875000000003</v>
      </c>
      <c r="C100" s="14">
        <v>727800</v>
      </c>
    </row>
    <row r="101" spans="1:3" x14ac:dyDescent="0.25">
      <c r="A101" s="12" t="s">
        <v>15</v>
      </c>
      <c r="B101" s="3">
        <v>0.504</v>
      </c>
      <c r="C101" s="14">
        <v>840</v>
      </c>
    </row>
    <row r="102" spans="1:3" x14ac:dyDescent="0.25">
      <c r="A102" s="12" t="s">
        <v>1616</v>
      </c>
      <c r="B102" s="3">
        <v>0.13995432499999999</v>
      </c>
      <c r="C102" s="14">
        <v>1190</v>
      </c>
    </row>
    <row r="103" spans="1:3" x14ac:dyDescent="0.25">
      <c r="A103" s="12" t="s">
        <v>1595</v>
      </c>
      <c r="B103" s="3">
        <v>1.6200000000000003E-2</v>
      </c>
      <c r="C103" s="14">
        <v>1345.5</v>
      </c>
    </row>
    <row r="104" spans="1:3" x14ac:dyDescent="0.25">
      <c r="A104" s="12" t="s">
        <v>361</v>
      </c>
      <c r="B104" s="3">
        <v>145.6</v>
      </c>
      <c r="C104" s="14">
        <v>549081</v>
      </c>
    </row>
    <row r="105" spans="1:3" x14ac:dyDescent="0.25">
      <c r="A105" s="12" t="s">
        <v>2751</v>
      </c>
      <c r="B105" s="3">
        <v>20.269439999999999</v>
      </c>
      <c r="C105" s="14">
        <v>18656.849999999999</v>
      </c>
    </row>
    <row r="106" spans="1:3" x14ac:dyDescent="0.25">
      <c r="A106" s="12" t="s">
        <v>358</v>
      </c>
      <c r="B106" s="3">
        <v>378.03156624999997</v>
      </c>
      <c r="C106" s="14">
        <v>695677.7</v>
      </c>
    </row>
    <row r="107" spans="1:3" x14ac:dyDescent="0.25">
      <c r="A107" s="12" t="s">
        <v>1319</v>
      </c>
      <c r="B107" s="3">
        <v>38.324355000000004</v>
      </c>
      <c r="C107" s="14">
        <v>87418.5</v>
      </c>
    </row>
    <row r="108" spans="1:3" x14ac:dyDescent="0.25">
      <c r="A108" s="12" t="s">
        <v>301</v>
      </c>
      <c r="B108" s="3">
        <v>372.75560000000007</v>
      </c>
      <c r="C108" s="14">
        <v>2503656</v>
      </c>
    </row>
    <row r="109" spans="1:3" x14ac:dyDescent="0.25">
      <c r="A109" s="12" t="s">
        <v>679</v>
      </c>
      <c r="B109" s="3">
        <v>2.1337500000000005</v>
      </c>
      <c r="C109" s="14">
        <v>90944.84</v>
      </c>
    </row>
    <row r="110" spans="1:3" x14ac:dyDescent="0.25">
      <c r="A110" s="12" t="s">
        <v>2932</v>
      </c>
      <c r="B110" s="3">
        <v>2.4281099999999998</v>
      </c>
      <c r="C110" s="14">
        <v>3885</v>
      </c>
    </row>
    <row r="111" spans="1:3" x14ac:dyDescent="0.25">
      <c r="A111" s="12" t="s">
        <v>2378</v>
      </c>
      <c r="B111" s="3">
        <v>0.2</v>
      </c>
      <c r="C111" s="14">
        <v>815</v>
      </c>
    </row>
    <row r="112" spans="1:3" x14ac:dyDescent="0.25">
      <c r="A112" s="12" t="s">
        <v>842</v>
      </c>
      <c r="B112" s="3">
        <v>0.14399999999999999</v>
      </c>
      <c r="C112" s="14">
        <v>3300</v>
      </c>
    </row>
    <row r="113" spans="1:3" x14ac:dyDescent="0.25">
      <c r="A113" s="12" t="s">
        <v>778</v>
      </c>
      <c r="B113" s="3">
        <v>0.90749374999999999</v>
      </c>
      <c r="C113" s="14">
        <v>1729.5</v>
      </c>
    </row>
    <row r="114" spans="1:3" x14ac:dyDescent="0.25">
      <c r="A114" s="12" t="s">
        <v>1613</v>
      </c>
      <c r="B114" s="3">
        <v>8.6821875000000007E-2</v>
      </c>
      <c r="C114" s="14">
        <v>521.5</v>
      </c>
    </row>
    <row r="115" spans="1:3" x14ac:dyDescent="0.25">
      <c r="A115" s="12" t="s">
        <v>693</v>
      </c>
      <c r="B115" s="3">
        <v>0.12</v>
      </c>
      <c r="C115" s="14">
        <v>10552</v>
      </c>
    </row>
    <row r="116" spans="1:3" x14ac:dyDescent="0.25">
      <c r="A116" s="12" t="s">
        <v>703</v>
      </c>
      <c r="B116" s="3">
        <v>7.4999999999999997E-2</v>
      </c>
      <c r="C116" s="14">
        <v>2644</v>
      </c>
    </row>
    <row r="117" spans="1:3" x14ac:dyDescent="0.25">
      <c r="A117" s="12" t="s">
        <v>1975</v>
      </c>
      <c r="B117" s="3">
        <v>2.8223580000000005E-2</v>
      </c>
      <c r="C117" s="14">
        <v>30</v>
      </c>
    </row>
    <row r="118" spans="1:3" x14ac:dyDescent="0.25">
      <c r="A118" s="12" t="s">
        <v>57</v>
      </c>
      <c r="B118" s="3">
        <v>21.103016</v>
      </c>
      <c r="C118" s="14">
        <v>25987.8</v>
      </c>
    </row>
    <row r="119" spans="1:3" x14ac:dyDescent="0.25">
      <c r="A119" s="12" t="s">
        <v>509</v>
      </c>
      <c r="B119" s="3">
        <v>2.36436</v>
      </c>
      <c r="C119" s="14">
        <v>3352</v>
      </c>
    </row>
    <row r="120" spans="1:3" x14ac:dyDescent="0.25">
      <c r="A120" s="12" t="s">
        <v>1655</v>
      </c>
      <c r="B120" s="3">
        <v>0.74175999999999997</v>
      </c>
      <c r="C120" s="14">
        <v>90440</v>
      </c>
    </row>
    <row r="121" spans="1:3" x14ac:dyDescent="0.25">
      <c r="A121" s="12" t="s">
        <v>2741</v>
      </c>
      <c r="B121" s="3">
        <v>14.552999999999999</v>
      </c>
      <c r="C121" s="14">
        <v>8130</v>
      </c>
    </row>
    <row r="122" spans="1:3" x14ac:dyDescent="0.25">
      <c r="A122" s="12" t="s">
        <v>140</v>
      </c>
      <c r="B122" s="3">
        <v>84.843602920000009</v>
      </c>
      <c r="C122" s="14">
        <v>1179987.075</v>
      </c>
    </row>
    <row r="123" spans="1:3" x14ac:dyDescent="0.25">
      <c r="A123" s="12" t="s">
        <v>1412</v>
      </c>
      <c r="B123" s="3">
        <v>11</v>
      </c>
      <c r="C123" s="14">
        <v>167418.38254411632</v>
      </c>
    </row>
    <row r="124" spans="1:3" x14ac:dyDescent="0.25">
      <c r="A124" s="12" t="s">
        <v>249</v>
      </c>
      <c r="B124" s="3">
        <v>16.038</v>
      </c>
      <c r="C124" s="14">
        <v>94572</v>
      </c>
    </row>
    <row r="125" spans="1:3" x14ac:dyDescent="0.25">
      <c r="A125" s="12" t="s">
        <v>1944</v>
      </c>
      <c r="B125" s="3">
        <v>7.8090123999999994</v>
      </c>
      <c r="C125" s="14">
        <v>4277000</v>
      </c>
    </row>
    <row r="126" spans="1:3" x14ac:dyDescent="0.25">
      <c r="A126" s="12" t="s">
        <v>990</v>
      </c>
      <c r="B126" s="3">
        <v>6.4502600000000001</v>
      </c>
      <c r="C126" s="14">
        <v>190208</v>
      </c>
    </row>
    <row r="127" spans="1:3" x14ac:dyDescent="0.25">
      <c r="A127" s="12" t="s">
        <v>2929</v>
      </c>
      <c r="B127" s="3">
        <v>1.3932</v>
      </c>
      <c r="C127" s="14">
        <v>5535</v>
      </c>
    </row>
    <row r="128" spans="1:3" x14ac:dyDescent="0.25">
      <c r="A128" s="12" t="s">
        <v>2866</v>
      </c>
      <c r="B128" s="3">
        <v>15.204149999999998</v>
      </c>
      <c r="C128" s="14">
        <v>9148.5</v>
      </c>
    </row>
    <row r="129" spans="1:3" x14ac:dyDescent="0.25">
      <c r="A129" s="12" t="s">
        <v>2828</v>
      </c>
      <c r="B129" s="3">
        <v>201.26909000000001</v>
      </c>
      <c r="C129" s="14">
        <v>102600</v>
      </c>
    </row>
    <row r="130" spans="1:3" x14ac:dyDescent="0.25">
      <c r="A130" s="12" t="s">
        <v>2408</v>
      </c>
      <c r="B130" s="3">
        <v>1.2452249999999998</v>
      </c>
      <c r="C130" s="14">
        <v>84745</v>
      </c>
    </row>
    <row r="131" spans="1:3" x14ac:dyDescent="0.25">
      <c r="A131" s="12" t="s">
        <v>931</v>
      </c>
      <c r="B131" s="3">
        <v>7.84</v>
      </c>
      <c r="C131" s="14">
        <v>10600</v>
      </c>
    </row>
    <row r="132" spans="1:3" x14ac:dyDescent="0.25">
      <c r="A132" s="12" t="s">
        <v>819</v>
      </c>
      <c r="B132" s="3">
        <v>5.34375</v>
      </c>
      <c r="C132" s="14">
        <v>63270</v>
      </c>
    </row>
    <row r="133" spans="1:3" x14ac:dyDescent="0.25">
      <c r="A133" s="12" t="s">
        <v>1075</v>
      </c>
      <c r="B133" s="3">
        <v>0.96</v>
      </c>
      <c r="C133" s="14">
        <v>107159.99999999999</v>
      </c>
    </row>
    <row r="134" spans="1:3" x14ac:dyDescent="0.25">
      <c r="A134" s="12" t="s">
        <v>914</v>
      </c>
      <c r="B134" s="3">
        <v>4.4999999999999998E-2</v>
      </c>
      <c r="C134" s="14">
        <v>14000</v>
      </c>
    </row>
    <row r="135" spans="1:3" x14ac:dyDescent="0.25">
      <c r="A135" s="12" t="s">
        <v>944</v>
      </c>
      <c r="B135" s="3">
        <v>3.1320000000000001</v>
      </c>
      <c r="C135" s="14">
        <v>15370</v>
      </c>
    </row>
    <row r="136" spans="1:3" x14ac:dyDescent="0.25">
      <c r="A136" s="12" t="s">
        <v>1011</v>
      </c>
      <c r="B136" s="3">
        <v>33.603000000000002</v>
      </c>
      <c r="C136" s="14">
        <v>526981.5</v>
      </c>
    </row>
    <row r="137" spans="1:3" x14ac:dyDescent="0.25">
      <c r="A137" s="12" t="s">
        <v>368</v>
      </c>
      <c r="B137" s="3">
        <v>1476.5197605360004</v>
      </c>
      <c r="C137" s="14">
        <v>9502166</v>
      </c>
    </row>
    <row r="138" spans="1:3" x14ac:dyDescent="0.25">
      <c r="A138" s="12" t="s">
        <v>125</v>
      </c>
      <c r="B138" s="3">
        <v>2.3104</v>
      </c>
      <c r="C138" s="14">
        <v>18800</v>
      </c>
    </row>
    <row r="139" spans="1:3" x14ac:dyDescent="0.25">
      <c r="A139" s="12" t="s">
        <v>661</v>
      </c>
      <c r="B139" s="3">
        <v>68.399999999999991</v>
      </c>
      <c r="C139" s="14">
        <v>53199.6</v>
      </c>
    </row>
    <row r="140" spans="1:3" x14ac:dyDescent="0.25">
      <c r="A140" s="12" t="s">
        <v>1327</v>
      </c>
      <c r="B140" s="3">
        <v>70.870800000000003</v>
      </c>
      <c r="C140" s="14">
        <v>331500</v>
      </c>
    </row>
    <row r="141" spans="1:3" x14ac:dyDescent="0.25">
      <c r="A141" s="12" t="s">
        <v>941</v>
      </c>
      <c r="B141" s="3">
        <v>34.299999999999997</v>
      </c>
      <c r="C141" s="14">
        <v>140000</v>
      </c>
    </row>
    <row r="142" spans="1:3" x14ac:dyDescent="0.25">
      <c r="A142" s="12" t="s">
        <v>237</v>
      </c>
      <c r="B142" s="3">
        <v>89.198999999999998</v>
      </c>
      <c r="C142" s="14">
        <v>785136</v>
      </c>
    </row>
    <row r="143" spans="1:3" x14ac:dyDescent="0.25">
      <c r="A143" s="12" t="s">
        <v>648</v>
      </c>
      <c r="B143" s="3">
        <v>1.9728000000000001</v>
      </c>
      <c r="C143" s="14">
        <v>5760</v>
      </c>
    </row>
    <row r="144" spans="1:3" x14ac:dyDescent="0.25">
      <c r="A144" s="12" t="s">
        <v>1601</v>
      </c>
      <c r="B144" s="3">
        <v>1.2149999999999999E-2</v>
      </c>
      <c r="C144" s="14">
        <v>850.49999999999989</v>
      </c>
    </row>
    <row r="145" spans="1:3" x14ac:dyDescent="0.25">
      <c r="A145" s="12" t="s">
        <v>1954</v>
      </c>
      <c r="B145" s="3">
        <v>2.9176284000000003</v>
      </c>
      <c r="C145" s="14">
        <v>68000</v>
      </c>
    </row>
    <row r="146" spans="1:3" x14ac:dyDescent="0.25">
      <c r="A146" s="12" t="s">
        <v>2637</v>
      </c>
      <c r="B146" s="3">
        <v>47.519999999999996</v>
      </c>
      <c r="C146" s="14">
        <v>199192</v>
      </c>
    </row>
    <row r="147" spans="1:3" x14ac:dyDescent="0.25">
      <c r="A147" s="12" t="s">
        <v>761</v>
      </c>
      <c r="B147" s="3">
        <v>6.9908299999999999</v>
      </c>
      <c r="C147" s="14">
        <v>57095</v>
      </c>
    </row>
    <row r="148" spans="1:3" x14ac:dyDescent="0.25">
      <c r="A148" s="12" t="s">
        <v>685</v>
      </c>
      <c r="B148" s="3">
        <v>1.1520000000000001E-2</v>
      </c>
      <c r="C148" s="14">
        <v>1880</v>
      </c>
    </row>
    <row r="149" spans="1:3" x14ac:dyDescent="0.25">
      <c r="A149" s="12" t="s">
        <v>1677</v>
      </c>
      <c r="B149" s="3">
        <v>0.53200000000000003</v>
      </c>
      <c r="C149" s="14">
        <v>10032</v>
      </c>
    </row>
    <row r="150" spans="1:3" x14ac:dyDescent="0.25">
      <c r="A150" s="12" t="s">
        <v>1667</v>
      </c>
      <c r="B150" s="3">
        <v>23.3419028</v>
      </c>
      <c r="C150" s="14">
        <v>66842</v>
      </c>
    </row>
    <row r="151" spans="1:3" x14ac:dyDescent="0.25">
      <c r="A151" s="12" t="s">
        <v>690</v>
      </c>
      <c r="B151" s="3">
        <v>0.12</v>
      </c>
      <c r="C151" s="14">
        <v>7312</v>
      </c>
    </row>
    <row r="152" spans="1:3" x14ac:dyDescent="0.25">
      <c r="A152" s="12" t="s">
        <v>757</v>
      </c>
      <c r="B152" s="3">
        <v>5.7359</v>
      </c>
      <c r="C152" s="14">
        <v>40255</v>
      </c>
    </row>
    <row r="153" spans="1:3" x14ac:dyDescent="0.25">
      <c r="A153" s="12" t="s">
        <v>2619</v>
      </c>
      <c r="B153" s="3">
        <v>6.7200000000000006</v>
      </c>
      <c r="C153" s="14">
        <v>4912</v>
      </c>
    </row>
    <row r="154" spans="1:3" x14ac:dyDescent="0.25">
      <c r="A154" s="12" t="s">
        <v>916</v>
      </c>
      <c r="B154" s="3">
        <v>47.225360000000002</v>
      </c>
      <c r="C154" s="14">
        <v>16832</v>
      </c>
    </row>
    <row r="155" spans="1:3" x14ac:dyDescent="0.25">
      <c r="A155" s="12" t="s">
        <v>1121</v>
      </c>
      <c r="B155" s="3">
        <v>3611.2640000000001</v>
      </c>
      <c r="C155" s="14">
        <v>57337.200000000004</v>
      </c>
    </row>
    <row r="156" spans="1:3" x14ac:dyDescent="0.25">
      <c r="A156" s="12" t="s">
        <v>639</v>
      </c>
      <c r="B156" s="3">
        <v>4.7324999999999999</v>
      </c>
      <c r="C156" s="14">
        <v>42506</v>
      </c>
    </row>
    <row r="157" spans="1:3" x14ac:dyDescent="0.25">
      <c r="A157" s="12" t="s">
        <v>1173</v>
      </c>
      <c r="B157" s="3">
        <v>510.3</v>
      </c>
      <c r="C157" s="14">
        <v>312</v>
      </c>
    </row>
    <row r="158" spans="1:3" x14ac:dyDescent="0.25">
      <c r="A158" s="12" t="s">
        <v>562</v>
      </c>
      <c r="B158" s="3">
        <v>26.861900000000006</v>
      </c>
      <c r="C158" s="14">
        <v>206585</v>
      </c>
    </row>
    <row r="159" spans="1:3" x14ac:dyDescent="0.25">
      <c r="A159" s="12" t="s">
        <v>611</v>
      </c>
      <c r="B159" s="3">
        <v>10.574999999999999</v>
      </c>
      <c r="C159" s="14">
        <v>198090</v>
      </c>
    </row>
    <row r="160" spans="1:3" x14ac:dyDescent="0.25">
      <c r="A160" s="12" t="s">
        <v>796</v>
      </c>
      <c r="B160" s="3">
        <v>1.2010600000000002</v>
      </c>
      <c r="C160" s="14">
        <v>5185.3999999999996</v>
      </c>
    </row>
    <row r="161" spans="1:3" x14ac:dyDescent="0.25">
      <c r="A161" s="12" t="s">
        <v>1546</v>
      </c>
      <c r="B161" s="3">
        <v>1.65012</v>
      </c>
      <c r="C161" s="14">
        <v>153936</v>
      </c>
    </row>
    <row r="162" spans="1:3" x14ac:dyDescent="0.25">
      <c r="A162" s="12" t="s">
        <v>852</v>
      </c>
      <c r="B162" s="3">
        <v>1.1885400000000001E-3</v>
      </c>
      <c r="C162" s="14">
        <v>51.8</v>
      </c>
    </row>
    <row r="163" spans="1:3" x14ac:dyDescent="0.25">
      <c r="A163" s="12" t="s">
        <v>812</v>
      </c>
      <c r="B163" s="3">
        <v>12.46875</v>
      </c>
      <c r="C163" s="14">
        <v>154755</v>
      </c>
    </row>
    <row r="164" spans="1:3" x14ac:dyDescent="0.25">
      <c r="A164" s="12" t="s">
        <v>849</v>
      </c>
      <c r="B164" s="3">
        <v>2.3770800000000002E-3</v>
      </c>
      <c r="C164" s="14">
        <v>103.6</v>
      </c>
    </row>
    <row r="165" spans="1:3" x14ac:dyDescent="0.25">
      <c r="A165" s="12" t="s">
        <v>943</v>
      </c>
      <c r="B165" s="3">
        <v>4.8186299999999997</v>
      </c>
      <c r="C165" s="14">
        <v>24046</v>
      </c>
    </row>
    <row r="166" spans="1:3" x14ac:dyDescent="0.25">
      <c r="A166" s="12" t="s">
        <v>2437</v>
      </c>
      <c r="B166" s="3">
        <v>0.22499999999999998</v>
      </c>
      <c r="C166" s="14">
        <v>14500</v>
      </c>
    </row>
    <row r="167" spans="1:3" x14ac:dyDescent="0.25">
      <c r="A167" s="12" t="s">
        <v>1661</v>
      </c>
      <c r="B167" s="3">
        <v>15.558872000000001</v>
      </c>
      <c r="C167" s="14">
        <v>73644</v>
      </c>
    </row>
    <row r="168" spans="1:3" x14ac:dyDescent="0.25">
      <c r="A168" s="12" t="s">
        <v>1680</v>
      </c>
      <c r="B168" s="3">
        <v>1.0944</v>
      </c>
      <c r="C168" s="14">
        <v>25840</v>
      </c>
    </row>
    <row r="169" spans="1:3" x14ac:dyDescent="0.25">
      <c r="A169" s="12" t="s">
        <v>1686</v>
      </c>
      <c r="B169" s="3">
        <v>1.9699200000000001</v>
      </c>
      <c r="C169" s="14">
        <v>11020</v>
      </c>
    </row>
    <row r="170" spans="1:3" x14ac:dyDescent="0.25">
      <c r="A170" s="12" t="s">
        <v>1658</v>
      </c>
      <c r="B170" s="3">
        <v>0.4788</v>
      </c>
      <c r="C170" s="14">
        <v>20368</v>
      </c>
    </row>
    <row r="171" spans="1:3" x14ac:dyDescent="0.25">
      <c r="A171" s="12" t="s">
        <v>1341</v>
      </c>
      <c r="B171" s="3">
        <v>30.76736</v>
      </c>
      <c r="C171" s="14">
        <v>77480</v>
      </c>
    </row>
    <row r="172" spans="1:3" x14ac:dyDescent="0.25">
      <c r="A172" s="12" t="s">
        <v>246</v>
      </c>
      <c r="B172" s="3">
        <v>28.19652</v>
      </c>
      <c r="C172" s="14">
        <v>164604</v>
      </c>
    </row>
    <row r="173" spans="1:3" x14ac:dyDescent="0.25">
      <c r="A173" s="12" t="s">
        <v>1764</v>
      </c>
      <c r="B173" s="3">
        <v>5.0646399999999998</v>
      </c>
      <c r="C173" s="14">
        <v>38000</v>
      </c>
    </row>
    <row r="174" spans="1:3" x14ac:dyDescent="0.25">
      <c r="A174" s="12" t="s">
        <v>1921</v>
      </c>
      <c r="B174" s="3">
        <v>1103.4399000000001</v>
      </c>
      <c r="C174" s="14">
        <v>17260</v>
      </c>
    </row>
    <row r="175" spans="1:3" x14ac:dyDescent="0.25">
      <c r="A175" s="12" t="s">
        <v>1124</v>
      </c>
      <c r="B175" s="3">
        <v>3094.558</v>
      </c>
      <c r="C175" s="14">
        <v>1004.1999999999999</v>
      </c>
    </row>
    <row r="176" spans="1:3" x14ac:dyDescent="0.25">
      <c r="A176" s="12" t="s">
        <v>927</v>
      </c>
      <c r="B176" s="3">
        <v>72</v>
      </c>
      <c r="C176" s="14">
        <v>330000</v>
      </c>
    </row>
    <row r="177" spans="1:3" x14ac:dyDescent="0.25">
      <c r="A177" s="12" t="s">
        <v>276</v>
      </c>
      <c r="B177" s="3">
        <v>13.48875</v>
      </c>
      <c r="C177" s="14">
        <v>102984</v>
      </c>
    </row>
    <row r="178" spans="1:3" x14ac:dyDescent="0.25">
      <c r="A178" s="12" t="s">
        <v>27</v>
      </c>
      <c r="B178" s="3">
        <v>312</v>
      </c>
      <c r="C178" s="14">
        <v>1132109.7101449277</v>
      </c>
    </row>
    <row r="179" spans="1:3" x14ac:dyDescent="0.25">
      <c r="A179" s="12" t="s">
        <v>1628</v>
      </c>
      <c r="B179" s="3">
        <v>8.0360000000000001E-2</v>
      </c>
      <c r="C179" s="14">
        <v>1081.5</v>
      </c>
    </row>
    <row r="180" spans="1:3" x14ac:dyDescent="0.25">
      <c r="A180" s="12" t="s">
        <v>129</v>
      </c>
      <c r="B180" s="3">
        <v>1.7145600000000001</v>
      </c>
      <c r="C180" s="14">
        <v>13194</v>
      </c>
    </row>
    <row r="181" spans="1:3" x14ac:dyDescent="0.25">
      <c r="A181" s="12" t="s">
        <v>681</v>
      </c>
      <c r="B181" s="3">
        <v>0.42749999999999999</v>
      </c>
      <c r="C181" s="14">
        <v>2261</v>
      </c>
    </row>
    <row r="182" spans="1:3" x14ac:dyDescent="0.25">
      <c r="A182" s="12" t="s">
        <v>313</v>
      </c>
      <c r="B182" s="3">
        <v>7.7759999999999998</v>
      </c>
      <c r="C182" s="14">
        <v>17871.75</v>
      </c>
    </row>
    <row r="183" spans="1:3" x14ac:dyDescent="0.25">
      <c r="A183" s="12" t="s">
        <v>363</v>
      </c>
      <c r="B183" s="3">
        <v>22.400000000000002</v>
      </c>
      <c r="C183" s="14">
        <v>79513.2</v>
      </c>
    </row>
    <row r="184" spans="1:3" x14ac:dyDescent="0.25">
      <c r="A184" s="12" t="s">
        <v>2427</v>
      </c>
      <c r="B184" s="3">
        <v>0.17375000000000002</v>
      </c>
      <c r="C184" s="14">
        <v>31924.5</v>
      </c>
    </row>
    <row r="185" spans="1:3" x14ac:dyDescent="0.25">
      <c r="A185" s="12" t="s">
        <v>2622</v>
      </c>
      <c r="B185" s="3">
        <v>4.2336</v>
      </c>
      <c r="C185" s="14">
        <v>24472</v>
      </c>
    </row>
    <row r="186" spans="1:3" x14ac:dyDescent="0.25">
      <c r="A186" s="12" t="s">
        <v>1348</v>
      </c>
      <c r="B186" s="3">
        <v>24.694739999999999</v>
      </c>
      <c r="C186" s="14">
        <v>5754210</v>
      </c>
    </row>
    <row r="187" spans="1:3" x14ac:dyDescent="0.25">
      <c r="A187" s="12" t="s">
        <v>2421</v>
      </c>
      <c r="B187" s="3">
        <v>2.5450000000000004</v>
      </c>
      <c r="C187" s="14">
        <v>103650</v>
      </c>
    </row>
    <row r="188" spans="1:3" x14ac:dyDescent="0.25">
      <c r="A188" s="12" t="s">
        <v>522</v>
      </c>
      <c r="B188" s="3">
        <v>13.018000000000001</v>
      </c>
      <c r="C188" s="14">
        <v>92252.5</v>
      </c>
    </row>
    <row r="189" spans="1:3" x14ac:dyDescent="0.25">
      <c r="A189" s="12" t="s">
        <v>2885</v>
      </c>
      <c r="B189" s="3">
        <v>50.056904999999993</v>
      </c>
      <c r="C189" s="14">
        <v>34652.449999999997</v>
      </c>
    </row>
    <row r="190" spans="1:3" x14ac:dyDescent="0.25">
      <c r="A190" s="12" t="s">
        <v>2020</v>
      </c>
      <c r="B190" s="3">
        <v>19.626749999999998</v>
      </c>
      <c r="C190" s="14">
        <v>312750</v>
      </c>
    </row>
    <row r="191" spans="1:3" x14ac:dyDescent="0.25">
      <c r="A191" s="12" t="s">
        <v>294</v>
      </c>
      <c r="B191" s="3">
        <v>14.981400000000001</v>
      </c>
      <c r="C191" s="14">
        <v>484140</v>
      </c>
    </row>
    <row r="192" spans="1:3" x14ac:dyDescent="0.25">
      <c r="A192" s="12" t="s">
        <v>1370</v>
      </c>
      <c r="B192" s="3">
        <v>0.1008</v>
      </c>
      <c r="C192" s="14">
        <v>97140</v>
      </c>
    </row>
    <row r="193" spans="1:3" x14ac:dyDescent="0.25">
      <c r="A193" s="12" t="s">
        <v>903</v>
      </c>
      <c r="B193" s="3">
        <v>2.8410000000000002</v>
      </c>
      <c r="C193" s="14">
        <v>44140</v>
      </c>
    </row>
    <row r="194" spans="1:3" x14ac:dyDescent="0.25">
      <c r="A194" s="12" t="s">
        <v>2832</v>
      </c>
      <c r="B194" s="3">
        <v>97.512</v>
      </c>
      <c r="C194" s="14">
        <v>30600</v>
      </c>
    </row>
    <row r="195" spans="1:3" x14ac:dyDescent="0.25">
      <c r="A195" s="12" t="s">
        <v>11</v>
      </c>
      <c r="B195" s="3">
        <v>523.65475539960005</v>
      </c>
      <c r="C195" s="14">
        <v>511862.31758000003</v>
      </c>
    </row>
    <row r="196" spans="1:3" x14ac:dyDescent="0.25">
      <c r="A196" s="12" t="s">
        <v>946</v>
      </c>
      <c r="B196" s="3">
        <v>2.664288</v>
      </c>
      <c r="C196" s="14">
        <v>25200</v>
      </c>
    </row>
    <row r="197" spans="1:3" x14ac:dyDescent="0.25">
      <c r="A197" s="12" t="s">
        <v>1022</v>
      </c>
      <c r="B197" s="3">
        <v>1392342.064275</v>
      </c>
      <c r="C197" s="14">
        <v>1028864.6</v>
      </c>
    </row>
    <row r="198" spans="1:3" x14ac:dyDescent="0.25">
      <c r="A198" s="12" t="s">
        <v>782</v>
      </c>
      <c r="B198" s="3">
        <v>3.7124999999999998E-2</v>
      </c>
      <c r="C198" s="14">
        <v>733.5</v>
      </c>
    </row>
    <row r="199" spans="1:3" x14ac:dyDescent="0.25">
      <c r="A199" s="12" t="s">
        <v>1670</v>
      </c>
      <c r="B199" s="3">
        <v>13.313832000000001</v>
      </c>
      <c r="C199" s="14">
        <v>54074.000000000007</v>
      </c>
    </row>
    <row r="200" spans="1:3" x14ac:dyDescent="0.25">
      <c r="A200" s="12" t="s">
        <v>955</v>
      </c>
      <c r="B200" s="3">
        <v>30.24</v>
      </c>
      <c r="C200" s="14">
        <v>61200</v>
      </c>
    </row>
    <row r="201" spans="1:3" x14ac:dyDescent="0.25">
      <c r="A201" s="12" t="s">
        <v>2728</v>
      </c>
      <c r="B201" s="3">
        <v>314.39199999999994</v>
      </c>
      <c r="C201" s="14">
        <v>118120</v>
      </c>
    </row>
    <row r="202" spans="1:3" x14ac:dyDescent="0.25">
      <c r="A202" s="12" t="s">
        <v>2869</v>
      </c>
      <c r="B202" s="3">
        <v>7180.6552843749996</v>
      </c>
      <c r="C202" s="14">
        <v>14294.2</v>
      </c>
    </row>
    <row r="203" spans="1:3" x14ac:dyDescent="0.25">
      <c r="A203" s="12" t="s">
        <v>2393</v>
      </c>
      <c r="B203" s="3">
        <v>12.019563999999999</v>
      </c>
      <c r="C203" s="14">
        <v>10732</v>
      </c>
    </row>
    <row r="204" spans="1:3" x14ac:dyDescent="0.25">
      <c r="A204" s="12" t="s">
        <v>1354</v>
      </c>
      <c r="B204" s="3">
        <v>8.375</v>
      </c>
      <c r="C204" s="14">
        <v>2039670</v>
      </c>
    </row>
    <row r="205" spans="1:3" x14ac:dyDescent="0.25">
      <c r="A205" s="12" t="s">
        <v>2354</v>
      </c>
      <c r="B205" s="3">
        <v>30</v>
      </c>
      <c r="C205" s="14">
        <v>53750</v>
      </c>
    </row>
    <row r="206" spans="1:3" x14ac:dyDescent="0.25">
      <c r="A206" s="12" t="s">
        <v>942</v>
      </c>
      <c r="B206" s="3">
        <v>1.3920000000000001</v>
      </c>
      <c r="C206" s="14">
        <v>27550</v>
      </c>
    </row>
    <row r="207" spans="1:3" x14ac:dyDescent="0.25">
      <c r="A207" s="12" t="s">
        <v>808</v>
      </c>
      <c r="B207" s="3">
        <v>16.38</v>
      </c>
      <c r="C207" s="14">
        <v>167440</v>
      </c>
    </row>
    <row r="208" spans="1:3" x14ac:dyDescent="0.25">
      <c r="A208" s="12" t="s">
        <v>1007</v>
      </c>
      <c r="B208" s="3">
        <v>7.9312499999999995</v>
      </c>
      <c r="C208" s="14">
        <v>263386</v>
      </c>
    </row>
    <row r="209" spans="1:3" x14ac:dyDescent="0.25">
      <c r="A209" s="12" t="s">
        <v>1991</v>
      </c>
      <c r="B209" s="3">
        <v>18.857250000000001</v>
      </c>
      <c r="C209" s="14">
        <v>300000</v>
      </c>
    </row>
    <row r="210" spans="1:3" x14ac:dyDescent="0.25">
      <c r="A210" s="12" t="s">
        <v>2044</v>
      </c>
      <c r="B210" s="3">
        <v>22.425359999999998</v>
      </c>
      <c r="C210" s="14">
        <v>50640</v>
      </c>
    </row>
    <row r="211" spans="1:3" x14ac:dyDescent="0.25">
      <c r="A211" s="12" t="s">
        <v>1036</v>
      </c>
      <c r="B211" s="3">
        <v>646.60200000000009</v>
      </c>
      <c r="C211" s="14">
        <v>1089255</v>
      </c>
    </row>
    <row r="212" spans="1:3" x14ac:dyDescent="0.25">
      <c r="A212" s="12" t="s">
        <v>2537</v>
      </c>
      <c r="B212" s="3">
        <v>7.8461999999999996</v>
      </c>
      <c r="C212" s="14">
        <v>2996.8999999999996</v>
      </c>
    </row>
    <row r="213" spans="1:3" x14ac:dyDescent="0.25">
      <c r="A213" s="12" t="s">
        <v>437</v>
      </c>
      <c r="B213" s="3">
        <v>18.691325839999998</v>
      </c>
      <c r="C213" s="14">
        <v>174150</v>
      </c>
    </row>
    <row r="214" spans="1:3" x14ac:dyDescent="0.25">
      <c r="A214" s="12" t="s">
        <v>2510</v>
      </c>
      <c r="B214" s="3">
        <v>21.167999999999999</v>
      </c>
      <c r="C214" s="14">
        <v>401.70000000000005</v>
      </c>
    </row>
    <row r="215" spans="1:3" x14ac:dyDescent="0.25">
      <c r="A215" s="12" t="s">
        <v>911</v>
      </c>
      <c r="B215" s="3">
        <v>434.55</v>
      </c>
      <c r="C215" s="14">
        <v>1539298.8</v>
      </c>
    </row>
    <row r="216" spans="1:3" x14ac:dyDescent="0.25">
      <c r="A216" s="12" t="s">
        <v>309</v>
      </c>
      <c r="B216" s="3">
        <v>14.155000000000001</v>
      </c>
      <c r="C216" s="14">
        <v>14585.674999999999</v>
      </c>
    </row>
    <row r="217" spans="1:3" x14ac:dyDescent="0.25">
      <c r="A217" s="12" t="s">
        <v>243</v>
      </c>
      <c r="B217" s="3">
        <v>13.79664</v>
      </c>
      <c r="C217" s="14">
        <v>77604</v>
      </c>
    </row>
    <row r="218" spans="1:3" x14ac:dyDescent="0.25">
      <c r="A218" s="12" t="s">
        <v>889</v>
      </c>
      <c r="B218" s="3">
        <v>7.4250000000000007</v>
      </c>
      <c r="C218" s="14">
        <v>297000</v>
      </c>
    </row>
    <row r="219" spans="1:3" x14ac:dyDescent="0.25">
      <c r="A219" s="12" t="s">
        <v>898</v>
      </c>
      <c r="B219" s="3">
        <v>1.65</v>
      </c>
      <c r="C219" s="14">
        <v>22000</v>
      </c>
    </row>
    <row r="220" spans="1:3" x14ac:dyDescent="0.25">
      <c r="A220" s="12" t="s">
        <v>240</v>
      </c>
      <c r="B220" s="3">
        <v>84.13900000000001</v>
      </c>
      <c r="C220" s="14">
        <v>553014</v>
      </c>
    </row>
    <row r="221" spans="1:3" x14ac:dyDescent="0.25">
      <c r="A221" s="12" t="s">
        <v>262</v>
      </c>
      <c r="B221" s="3">
        <v>23.578962500000003</v>
      </c>
      <c r="C221" s="14">
        <v>100599.575</v>
      </c>
    </row>
    <row r="222" spans="1:3" x14ac:dyDescent="0.25">
      <c r="A222" s="12" t="s">
        <v>1566</v>
      </c>
      <c r="B222" s="3">
        <v>1.9008000000000001E-2</v>
      </c>
      <c r="C222" s="14">
        <v>1710</v>
      </c>
    </row>
    <row r="223" spans="1:3" x14ac:dyDescent="0.25">
      <c r="A223" s="12" t="s">
        <v>2685</v>
      </c>
      <c r="B223" s="3">
        <v>70.039999999999992</v>
      </c>
      <c r="C223" s="14">
        <v>574180</v>
      </c>
    </row>
    <row r="224" spans="1:3" x14ac:dyDescent="0.25">
      <c r="A224" s="12" t="s">
        <v>1397</v>
      </c>
      <c r="B224" s="3">
        <v>1.7740568000000001</v>
      </c>
      <c r="C224" s="14">
        <v>185068.40000000002</v>
      </c>
    </row>
    <row r="225" spans="1:3" x14ac:dyDescent="0.25">
      <c r="A225" s="12" t="s">
        <v>513</v>
      </c>
      <c r="B225" s="3">
        <v>3.5971440000000001</v>
      </c>
      <c r="C225" s="14">
        <v>3718.5</v>
      </c>
    </row>
    <row r="226" spans="1:3" x14ac:dyDescent="0.25">
      <c r="A226" s="12" t="s">
        <v>2216</v>
      </c>
      <c r="B226" s="3">
        <v>5.8006500000000001</v>
      </c>
      <c r="C226" s="14">
        <v>73945</v>
      </c>
    </row>
    <row r="227" spans="1:3" x14ac:dyDescent="0.25">
      <c r="A227" s="12" t="s">
        <v>543</v>
      </c>
      <c r="B227" s="3">
        <v>0.97200000000000031</v>
      </c>
      <c r="C227" s="14">
        <v>8407.26</v>
      </c>
    </row>
    <row r="228" spans="1:3" x14ac:dyDescent="0.25">
      <c r="A228" s="12" t="s">
        <v>642</v>
      </c>
      <c r="B228" s="3">
        <v>3</v>
      </c>
      <c r="C228" s="14">
        <v>26880</v>
      </c>
    </row>
    <row r="229" spans="1:3" x14ac:dyDescent="0.25">
      <c r="A229" s="12" t="s">
        <v>710</v>
      </c>
      <c r="B229" s="3">
        <v>1.0240000000000003E-2</v>
      </c>
      <c r="C229" s="14">
        <v>867.75999999999988</v>
      </c>
    </row>
    <row r="230" spans="1:3" x14ac:dyDescent="0.25">
      <c r="A230" s="12" t="s">
        <v>806</v>
      </c>
      <c r="B230" s="3">
        <v>5.3999999999999995</v>
      </c>
      <c r="C230" s="14">
        <v>114480</v>
      </c>
    </row>
    <row r="231" spans="1:3" x14ac:dyDescent="0.25">
      <c r="A231" s="12" t="s">
        <v>1534</v>
      </c>
      <c r="B231" s="3">
        <v>2.4299999999999997</v>
      </c>
      <c r="C231" s="14">
        <v>9160</v>
      </c>
    </row>
    <row r="232" spans="1:3" x14ac:dyDescent="0.25">
      <c r="A232" s="12" t="s">
        <v>30</v>
      </c>
      <c r="B232" s="3">
        <v>78</v>
      </c>
      <c r="C232" s="14">
        <v>104464.28571428571</v>
      </c>
    </row>
    <row r="233" spans="1:3" x14ac:dyDescent="0.25">
      <c r="A233" s="12" t="s">
        <v>951</v>
      </c>
      <c r="B233" s="3">
        <v>30.24</v>
      </c>
      <c r="C233" s="14">
        <v>50400</v>
      </c>
    </row>
    <row r="234" spans="1:3" x14ac:dyDescent="0.25">
      <c r="A234" s="12" t="s">
        <v>780</v>
      </c>
      <c r="B234" s="3">
        <v>0.25</v>
      </c>
      <c r="C234" s="14">
        <v>4475</v>
      </c>
    </row>
    <row r="235" spans="1:3" x14ac:dyDescent="0.25">
      <c r="A235" s="12" t="s">
        <v>1211</v>
      </c>
      <c r="B235" s="3">
        <v>6.3179999999999996</v>
      </c>
      <c r="C235" s="14">
        <v>71.2</v>
      </c>
    </row>
    <row r="236" spans="1:3" x14ac:dyDescent="0.25">
      <c r="A236" s="12" t="s">
        <v>1607</v>
      </c>
      <c r="B236" s="3">
        <v>7.000000000000001E-4</v>
      </c>
      <c r="C236" s="14">
        <v>6394.5</v>
      </c>
    </row>
    <row r="237" spans="1:3" x14ac:dyDescent="0.25">
      <c r="A237" s="12" t="s">
        <v>1365</v>
      </c>
      <c r="B237" s="3">
        <v>18.654300000000003</v>
      </c>
      <c r="C237" s="14">
        <v>3622290</v>
      </c>
    </row>
    <row r="238" spans="1:3" x14ac:dyDescent="0.25">
      <c r="A238" s="12" t="s">
        <v>1219</v>
      </c>
      <c r="B238" s="3">
        <v>0.21599999999999997</v>
      </c>
      <c r="C238" s="14">
        <v>2124</v>
      </c>
    </row>
    <row r="239" spans="1:3" x14ac:dyDescent="0.25">
      <c r="A239" s="12" t="s">
        <v>2762</v>
      </c>
      <c r="B239" s="3">
        <v>266.63556</v>
      </c>
      <c r="C239" s="14">
        <v>145641</v>
      </c>
    </row>
    <row r="240" spans="1:3" x14ac:dyDescent="0.25">
      <c r="A240" s="12" t="s">
        <v>1000</v>
      </c>
      <c r="B240" s="3">
        <v>13.5</v>
      </c>
      <c r="C240" s="14">
        <v>86998.5</v>
      </c>
    </row>
    <row r="241" spans="1:3" x14ac:dyDescent="0.25">
      <c r="A241" s="12" t="s">
        <v>968</v>
      </c>
      <c r="B241" s="3">
        <v>50.49</v>
      </c>
      <c r="C241" s="14">
        <v>400000</v>
      </c>
    </row>
    <row r="242" spans="1:3" x14ac:dyDescent="0.25">
      <c r="A242" s="12" t="s">
        <v>1394</v>
      </c>
      <c r="B242" s="3">
        <v>3.4608E-3</v>
      </c>
      <c r="C242" s="14">
        <v>54.400000000000006</v>
      </c>
    </row>
    <row r="243" spans="1:3" x14ac:dyDescent="0.25">
      <c r="A243" s="12" t="s">
        <v>446</v>
      </c>
      <c r="B243" s="3">
        <v>19.615919999999999</v>
      </c>
      <c r="C243" s="14">
        <v>26749.5</v>
      </c>
    </row>
    <row r="244" spans="1:3" x14ac:dyDescent="0.25">
      <c r="A244" s="12" t="s">
        <v>1168</v>
      </c>
      <c r="B244" s="3">
        <v>50.616</v>
      </c>
      <c r="C244" s="14">
        <v>376</v>
      </c>
    </row>
    <row r="245" spans="1:3" x14ac:dyDescent="0.25">
      <c r="A245" s="12" t="s">
        <v>711</v>
      </c>
      <c r="B245" s="3">
        <v>5.12</v>
      </c>
      <c r="C245" s="14">
        <v>41920</v>
      </c>
    </row>
    <row r="246" spans="1:3" x14ac:dyDescent="0.25">
      <c r="A246" s="12" t="s">
        <v>689</v>
      </c>
      <c r="B246" s="3">
        <v>1.2800000000000001E-2</v>
      </c>
      <c r="C246" s="14">
        <v>1556</v>
      </c>
    </row>
    <row r="247" spans="1:3" x14ac:dyDescent="0.25">
      <c r="A247" s="12" t="s">
        <v>906</v>
      </c>
      <c r="B247" s="3">
        <v>217.17000000000002</v>
      </c>
      <c r="C247" s="14">
        <v>265600</v>
      </c>
    </row>
    <row r="248" spans="1:3" x14ac:dyDescent="0.25">
      <c r="A248" s="12" t="s">
        <v>1928</v>
      </c>
      <c r="B248" s="3">
        <v>14550.354000000001</v>
      </c>
      <c r="C248" s="14">
        <v>121730</v>
      </c>
    </row>
    <row r="249" spans="1:3" x14ac:dyDescent="0.25">
      <c r="A249" s="12" t="s">
        <v>2924</v>
      </c>
      <c r="B249" s="3">
        <v>5.4405000000000001</v>
      </c>
      <c r="C249" s="14">
        <v>3448.5</v>
      </c>
    </row>
    <row r="250" spans="1:3" x14ac:dyDescent="0.25">
      <c r="A250" s="12" t="s">
        <v>606</v>
      </c>
      <c r="B250" s="3">
        <v>111.15073014000002</v>
      </c>
      <c r="C250" s="14">
        <v>375829.1599360244</v>
      </c>
    </row>
    <row r="251" spans="1:3" x14ac:dyDescent="0.25">
      <c r="A251" s="12" t="s">
        <v>440</v>
      </c>
      <c r="B251" s="3">
        <v>1.5526842175999997</v>
      </c>
      <c r="C251" s="14">
        <v>495824</v>
      </c>
    </row>
    <row r="252" spans="1:3" x14ac:dyDescent="0.25">
      <c r="A252" s="12" t="s">
        <v>1335</v>
      </c>
      <c r="B252" s="3">
        <v>106.66656</v>
      </c>
      <c r="C252" s="14">
        <v>49920</v>
      </c>
    </row>
    <row r="253" spans="1:3" x14ac:dyDescent="0.25">
      <c r="A253" s="12" t="s">
        <v>1560</v>
      </c>
      <c r="B253" s="3">
        <v>3.2400000000000005E-2</v>
      </c>
      <c r="C253" s="14">
        <v>535.5</v>
      </c>
    </row>
    <row r="254" spans="1:3" x14ac:dyDescent="0.25">
      <c r="A254" s="12" t="s">
        <v>2850</v>
      </c>
      <c r="B254" s="3">
        <v>29.441279999999999</v>
      </c>
      <c r="C254" s="14">
        <v>59040</v>
      </c>
    </row>
    <row r="255" spans="1:3" x14ac:dyDescent="0.25">
      <c r="A255" s="12" t="s">
        <v>2830</v>
      </c>
      <c r="B255" s="3">
        <v>331.584</v>
      </c>
      <c r="C255" s="14">
        <v>122460</v>
      </c>
    </row>
    <row r="256" spans="1:3" x14ac:dyDescent="0.25">
      <c r="A256" s="12" t="s">
        <v>311</v>
      </c>
      <c r="B256" s="3">
        <v>19.123199999999997</v>
      </c>
      <c r="C256" s="14">
        <v>10278.449999999999</v>
      </c>
    </row>
    <row r="257" spans="1:3" x14ac:dyDescent="0.25">
      <c r="A257" s="12" t="s">
        <v>846</v>
      </c>
      <c r="B257" s="3">
        <v>106.12</v>
      </c>
      <c r="C257" s="14">
        <v>33245</v>
      </c>
    </row>
    <row r="258" spans="1:3" x14ac:dyDescent="0.25">
      <c r="A258" s="12" t="s">
        <v>678</v>
      </c>
      <c r="B258" s="3">
        <v>74.917895433600023</v>
      </c>
      <c r="C258" s="14">
        <v>463974.19999999995</v>
      </c>
    </row>
    <row r="259" spans="1:3" x14ac:dyDescent="0.25">
      <c r="A259" s="12" t="s">
        <v>957</v>
      </c>
      <c r="B259" s="3">
        <v>30.24</v>
      </c>
      <c r="C259" s="14">
        <v>44928</v>
      </c>
    </row>
    <row r="260" spans="1:3" x14ac:dyDescent="0.25">
      <c r="A260" s="12" t="s">
        <v>235</v>
      </c>
      <c r="B260" s="3">
        <v>62.309500000000007</v>
      </c>
      <c r="C260" s="14">
        <v>382970</v>
      </c>
    </row>
    <row r="261" spans="1:3" x14ac:dyDescent="0.25">
      <c r="A261" s="12" t="s">
        <v>500</v>
      </c>
      <c r="B261" s="3">
        <v>63.759174000000002</v>
      </c>
      <c r="C261" s="14">
        <v>40836.04</v>
      </c>
    </row>
    <row r="262" spans="1:3" x14ac:dyDescent="0.25">
      <c r="A262" s="12" t="s">
        <v>2771</v>
      </c>
      <c r="B262" s="3">
        <v>2.2481999999999998</v>
      </c>
      <c r="C262" s="14">
        <v>2338.5</v>
      </c>
    </row>
    <row r="263" spans="1:3" x14ac:dyDescent="0.25">
      <c r="A263" s="12" t="s">
        <v>577</v>
      </c>
      <c r="B263" s="3">
        <v>0.96599999999999997</v>
      </c>
      <c r="C263" s="14">
        <v>33250</v>
      </c>
    </row>
    <row r="264" spans="1:3" x14ac:dyDescent="0.25">
      <c r="A264" s="12" t="s">
        <v>388</v>
      </c>
      <c r="B264" s="3">
        <v>66.547030000000007</v>
      </c>
      <c r="C264" s="14">
        <v>222305</v>
      </c>
    </row>
    <row r="265" spans="1:3" x14ac:dyDescent="0.25">
      <c r="A265" s="12" t="s">
        <v>1610</v>
      </c>
      <c r="B265" s="3">
        <v>2.16</v>
      </c>
      <c r="C265" s="14">
        <v>665</v>
      </c>
    </row>
    <row r="266" spans="1:3" x14ac:dyDescent="0.25">
      <c r="A266" s="12" t="s">
        <v>934</v>
      </c>
      <c r="B266" s="3">
        <v>76.500355000000013</v>
      </c>
      <c r="C266" s="14">
        <v>592422.5</v>
      </c>
    </row>
    <row r="267" spans="1:3" x14ac:dyDescent="0.25">
      <c r="A267" s="12" t="s">
        <v>1042</v>
      </c>
      <c r="B267" s="3">
        <v>1.26464</v>
      </c>
      <c r="C267" s="14">
        <v>215996</v>
      </c>
    </row>
    <row r="268" spans="1:3" x14ac:dyDescent="0.25">
      <c r="A268" s="12" t="s">
        <v>2725</v>
      </c>
      <c r="B268" s="3">
        <v>60.708960000000005</v>
      </c>
      <c r="C268" s="14">
        <v>71100</v>
      </c>
    </row>
    <row r="269" spans="1:3" x14ac:dyDescent="0.25">
      <c r="A269" s="12" t="s">
        <v>515</v>
      </c>
      <c r="B269" s="3">
        <v>1.85436</v>
      </c>
      <c r="C269" s="14">
        <v>2639.2</v>
      </c>
    </row>
    <row r="270" spans="1:3" x14ac:dyDescent="0.25">
      <c r="A270" s="12" t="s">
        <v>49</v>
      </c>
      <c r="B270" s="3">
        <v>101.66903000000001</v>
      </c>
      <c r="C270" s="14">
        <v>292859.79999999993</v>
      </c>
    </row>
    <row r="271" spans="1:3" x14ac:dyDescent="0.25">
      <c r="A271" s="12" t="s">
        <v>117</v>
      </c>
      <c r="B271" s="3">
        <v>0.89672400000000008</v>
      </c>
      <c r="C271" s="14">
        <v>1647</v>
      </c>
    </row>
    <row r="272" spans="1:3" x14ac:dyDescent="0.25">
      <c r="A272" s="12" t="s">
        <v>2214</v>
      </c>
      <c r="B272" s="3">
        <v>14.595649999999999</v>
      </c>
      <c r="C272" s="14">
        <v>67433.7</v>
      </c>
    </row>
    <row r="273" spans="1:3" x14ac:dyDescent="0.25">
      <c r="A273" s="12" t="s">
        <v>2603</v>
      </c>
      <c r="B273" s="3">
        <v>28.08</v>
      </c>
      <c r="C273" s="14">
        <v>149254.20000000001</v>
      </c>
    </row>
    <row r="274" spans="1:3" x14ac:dyDescent="0.25">
      <c r="A274" s="12" t="s">
        <v>1930</v>
      </c>
      <c r="B274" s="3">
        <v>169320.70976999999</v>
      </c>
      <c r="C274" s="14">
        <v>2112970</v>
      </c>
    </row>
    <row r="275" spans="1:3" x14ac:dyDescent="0.25">
      <c r="A275" s="12" t="s">
        <v>2473</v>
      </c>
      <c r="B275" s="3">
        <v>0.24825000000000003</v>
      </c>
      <c r="C275" s="14">
        <v>60000</v>
      </c>
    </row>
    <row r="276" spans="1:3" x14ac:dyDescent="0.25">
      <c r="A276" s="12" t="s">
        <v>1139</v>
      </c>
      <c r="B276" s="3">
        <v>5025.9458999999997</v>
      </c>
      <c r="C276" s="14">
        <v>771.2</v>
      </c>
    </row>
    <row r="277" spans="1:3" x14ac:dyDescent="0.25">
      <c r="A277" s="12" t="s">
        <v>1082</v>
      </c>
      <c r="B277" s="3">
        <v>13.1028</v>
      </c>
      <c r="C277" s="14">
        <v>1014515</v>
      </c>
    </row>
    <row r="278" spans="1:3" x14ac:dyDescent="0.25">
      <c r="A278" s="12" t="s">
        <v>1222</v>
      </c>
      <c r="B278" s="3">
        <v>2.4187500000000001E-2</v>
      </c>
      <c r="C278" s="14">
        <v>75.34</v>
      </c>
    </row>
    <row r="279" spans="1:3" x14ac:dyDescent="0.25">
      <c r="A279" s="12" t="s">
        <v>901</v>
      </c>
      <c r="B279" s="3">
        <v>0.82499999999999996</v>
      </c>
      <c r="C279" s="14">
        <v>16500</v>
      </c>
    </row>
    <row r="280" spans="1:3" x14ac:dyDescent="0.25">
      <c r="A280" s="12" t="s">
        <v>2610</v>
      </c>
      <c r="B280" s="3">
        <v>87.552000000000007</v>
      </c>
      <c r="C280" s="14">
        <v>237560</v>
      </c>
    </row>
    <row r="281" spans="1:3" x14ac:dyDescent="0.25">
      <c r="A281" s="12" t="s">
        <v>830</v>
      </c>
      <c r="B281" s="3">
        <v>4.5678920000000005E-2</v>
      </c>
      <c r="C281" s="14">
        <v>23</v>
      </c>
    </row>
    <row r="282" spans="1:3" x14ac:dyDescent="0.25">
      <c r="A282" s="12" t="s">
        <v>2625</v>
      </c>
      <c r="B282" s="3">
        <v>6.2899200000000004</v>
      </c>
      <c r="C282" s="14">
        <v>78093.600000000006</v>
      </c>
    </row>
    <row r="283" spans="1:3" x14ac:dyDescent="0.25">
      <c r="A283" s="12" t="s">
        <v>1640</v>
      </c>
      <c r="B283" s="3">
        <v>0.36480000000000001</v>
      </c>
      <c r="C283" s="14">
        <v>19000</v>
      </c>
    </row>
    <row r="284" spans="1:3" x14ac:dyDescent="0.25">
      <c r="A284" s="12" t="s">
        <v>950</v>
      </c>
      <c r="B284" s="3">
        <v>10.799999999999999</v>
      </c>
      <c r="C284" s="14">
        <v>28080</v>
      </c>
    </row>
    <row r="285" spans="1:3" x14ac:dyDescent="0.25">
      <c r="A285" s="12" t="s">
        <v>1926</v>
      </c>
      <c r="B285" s="3">
        <v>5499.731952000001</v>
      </c>
      <c r="C285" s="14">
        <v>5600</v>
      </c>
    </row>
    <row r="286" spans="1:3" x14ac:dyDescent="0.25">
      <c r="A286" s="12" t="s">
        <v>2856</v>
      </c>
      <c r="B286" s="3">
        <v>58.399399999999993</v>
      </c>
      <c r="C286" s="14">
        <v>114140</v>
      </c>
    </row>
    <row r="287" spans="1:3" x14ac:dyDescent="0.25">
      <c r="A287" s="12" t="s">
        <v>1473</v>
      </c>
      <c r="B287" s="3">
        <v>10.5</v>
      </c>
      <c r="C287" s="14">
        <v>18141.396604938273</v>
      </c>
    </row>
    <row r="288" spans="1:3" x14ac:dyDescent="0.25">
      <c r="A288" s="12" t="s">
        <v>953</v>
      </c>
      <c r="B288" s="3">
        <v>30.24</v>
      </c>
      <c r="C288" s="14">
        <v>56880</v>
      </c>
    </row>
    <row r="289" spans="1:3" x14ac:dyDescent="0.25">
      <c r="A289" s="12" t="s">
        <v>307</v>
      </c>
      <c r="B289" s="3">
        <v>168.58064000000002</v>
      </c>
      <c r="C289" s="14">
        <v>588574.38</v>
      </c>
    </row>
    <row r="290" spans="1:3" x14ac:dyDescent="0.25">
      <c r="A290" s="12" t="s">
        <v>444</v>
      </c>
      <c r="B290" s="3">
        <v>515.86660080000001</v>
      </c>
      <c r="C290" s="14">
        <v>66195.87000000001</v>
      </c>
    </row>
    <row r="291" spans="1:3" x14ac:dyDescent="0.25">
      <c r="A291" s="12" t="s">
        <v>2526</v>
      </c>
      <c r="B291" s="3">
        <v>1.450431</v>
      </c>
      <c r="C291" s="14">
        <v>634.79999999999995</v>
      </c>
    </row>
    <row r="292" spans="1:3" x14ac:dyDescent="0.25">
      <c r="A292" s="12" t="s">
        <v>1625</v>
      </c>
      <c r="B292" s="3">
        <v>8.6099999999999996E-2</v>
      </c>
      <c r="C292" s="14">
        <v>1746.5</v>
      </c>
    </row>
    <row r="293" spans="1:3" x14ac:dyDescent="0.25">
      <c r="A293" s="12" t="s">
        <v>2690</v>
      </c>
      <c r="B293" s="3">
        <v>63.90079999999999</v>
      </c>
      <c r="C293" s="14">
        <v>1870208</v>
      </c>
    </row>
    <row r="294" spans="1:3" x14ac:dyDescent="0.25">
      <c r="A294" s="12" t="s">
        <v>1095</v>
      </c>
      <c r="B294" s="3">
        <v>216</v>
      </c>
      <c r="C294" s="14">
        <v>368</v>
      </c>
    </row>
    <row r="295" spans="1:3" x14ac:dyDescent="0.25">
      <c r="A295" s="12" t="s">
        <v>970</v>
      </c>
      <c r="B295" s="3">
        <v>663.59061499999996</v>
      </c>
      <c r="C295" s="14">
        <v>3098230</v>
      </c>
    </row>
    <row r="296" spans="1:3" x14ac:dyDescent="0.25">
      <c r="A296" s="12" t="s">
        <v>1379</v>
      </c>
      <c r="B296" s="3">
        <v>1.9948396799999999</v>
      </c>
      <c r="C296" s="14">
        <v>856800</v>
      </c>
    </row>
    <row r="297" spans="1:3" x14ac:dyDescent="0.25">
      <c r="A297" s="12" t="s">
        <v>1774</v>
      </c>
      <c r="B297" s="3">
        <v>1.35</v>
      </c>
      <c r="C297" s="14">
        <v>61600</v>
      </c>
    </row>
    <row r="298" spans="1:3" x14ac:dyDescent="0.25">
      <c r="A298" s="12" t="s">
        <v>502</v>
      </c>
      <c r="B298" s="3">
        <v>1.9468799999999999</v>
      </c>
      <c r="C298" s="14">
        <v>1559.6</v>
      </c>
    </row>
    <row r="299" spans="1:3" x14ac:dyDescent="0.25">
      <c r="A299" s="12" t="s">
        <v>1339</v>
      </c>
      <c r="B299" s="3">
        <v>6.5620800000000008</v>
      </c>
      <c r="C299" s="14">
        <v>18427.2</v>
      </c>
    </row>
    <row r="300" spans="1:3" x14ac:dyDescent="0.25">
      <c r="A300" s="12" t="s">
        <v>1363</v>
      </c>
      <c r="B300" s="3">
        <v>20603.236101881601</v>
      </c>
      <c r="C300" s="14">
        <v>120220</v>
      </c>
    </row>
    <row r="301" spans="1:3" x14ac:dyDescent="0.25">
      <c r="A301" s="12" t="s">
        <v>2746</v>
      </c>
      <c r="B301" s="3">
        <v>19.089300000000001</v>
      </c>
      <c r="C301" s="14">
        <v>6922.05</v>
      </c>
    </row>
    <row r="302" spans="1:3" x14ac:dyDescent="0.25">
      <c r="A302" s="12" t="s">
        <v>2872</v>
      </c>
      <c r="B302" s="3">
        <v>8317.1913450000011</v>
      </c>
      <c r="C302" s="14">
        <v>13097.5</v>
      </c>
    </row>
    <row r="303" spans="1:3" x14ac:dyDescent="0.25">
      <c r="A303" s="12" t="s">
        <v>894</v>
      </c>
      <c r="B303" s="3">
        <v>0.82499999999999996</v>
      </c>
      <c r="C303" s="14">
        <v>22000</v>
      </c>
    </row>
    <row r="304" spans="1:3" x14ac:dyDescent="0.25">
      <c r="A304" s="12" t="s">
        <v>481</v>
      </c>
      <c r="B304" s="3">
        <v>30.288240000000002</v>
      </c>
      <c r="C304" s="14">
        <v>11032.64</v>
      </c>
    </row>
    <row r="305" spans="1:3" x14ac:dyDescent="0.25">
      <c r="A305" s="12" t="s">
        <v>940</v>
      </c>
      <c r="B305" s="3">
        <v>34.299999999999997</v>
      </c>
      <c r="C305" s="14">
        <v>85400</v>
      </c>
    </row>
    <row r="306" spans="1:3" x14ac:dyDescent="0.25">
      <c r="A306" s="12" t="s">
        <v>2935</v>
      </c>
      <c r="B306" s="3">
        <v>2.5987499999999999</v>
      </c>
      <c r="C306" s="14">
        <v>3285</v>
      </c>
    </row>
    <row r="307" spans="1:3" x14ac:dyDescent="0.25">
      <c r="A307" s="12" t="s">
        <v>1202</v>
      </c>
      <c r="B307" s="3">
        <v>7.83675E-3</v>
      </c>
      <c r="C307" s="14">
        <v>40.72</v>
      </c>
    </row>
    <row r="308" spans="1:3" x14ac:dyDescent="0.25">
      <c r="A308" s="12" t="s">
        <v>2515</v>
      </c>
      <c r="B308" s="3">
        <v>15.600000000000001</v>
      </c>
      <c r="C308" s="14">
        <v>479.70000000000005</v>
      </c>
    </row>
    <row r="309" spans="1:3" x14ac:dyDescent="0.25">
      <c r="A309" s="12" t="s">
        <v>1337</v>
      </c>
      <c r="B309" s="3">
        <v>65.7072</v>
      </c>
      <c r="C309" s="14">
        <v>60580</v>
      </c>
    </row>
    <row r="310" spans="1:3" x14ac:dyDescent="0.25">
      <c r="A310" s="12" t="s">
        <v>1346</v>
      </c>
      <c r="B310" s="3">
        <v>9.5676000000000005</v>
      </c>
      <c r="C310" s="14">
        <v>2676650</v>
      </c>
    </row>
    <row r="311" spans="1:3" x14ac:dyDescent="0.25">
      <c r="A311" s="12" t="s">
        <v>308</v>
      </c>
      <c r="B311" s="3">
        <v>10.4</v>
      </c>
      <c r="C311" s="14">
        <v>79900</v>
      </c>
    </row>
    <row r="312" spans="1:3" x14ac:dyDescent="0.25">
      <c r="A312" s="12" t="s">
        <v>1377</v>
      </c>
      <c r="B312" s="3">
        <v>5.8080000000000006E-5</v>
      </c>
      <c r="C312" s="14">
        <v>135.20000000000002</v>
      </c>
    </row>
    <row r="313" spans="1:3" x14ac:dyDescent="0.25">
      <c r="A313" s="12" t="s">
        <v>880</v>
      </c>
      <c r="B313" s="3">
        <v>3.7799999999999994</v>
      </c>
      <c r="C313" s="14">
        <v>177000</v>
      </c>
    </row>
    <row r="314" spans="1:3" x14ac:dyDescent="0.25">
      <c r="A314" s="12" t="s">
        <v>2588</v>
      </c>
      <c r="B314" s="3">
        <v>13</v>
      </c>
      <c r="C314" s="14">
        <v>4066.5625000000005</v>
      </c>
    </row>
    <row r="315" spans="1:3" x14ac:dyDescent="0.25">
      <c r="A315" s="12" t="s">
        <v>496</v>
      </c>
      <c r="B315" s="3">
        <v>179.54485600000001</v>
      </c>
      <c r="C315" s="14">
        <v>101896.49999999999</v>
      </c>
    </row>
    <row r="316" spans="1:3" x14ac:dyDescent="0.25">
      <c r="A316" s="12" t="s">
        <v>2030</v>
      </c>
      <c r="B316" s="3">
        <v>0.18</v>
      </c>
      <c r="C316" s="14">
        <v>1030.8000000000002</v>
      </c>
    </row>
    <row r="317" spans="1:3" x14ac:dyDescent="0.25">
      <c r="A317" s="12" t="s">
        <v>2708</v>
      </c>
      <c r="B317" s="3">
        <v>270.85536000000002</v>
      </c>
      <c r="C317" s="14">
        <v>425040</v>
      </c>
    </row>
    <row r="318" spans="1:3" x14ac:dyDescent="0.25">
      <c r="A318" s="12" t="s">
        <v>650</v>
      </c>
      <c r="B318" s="3">
        <v>4.3140000000000009</v>
      </c>
      <c r="C318" s="14">
        <v>27112</v>
      </c>
    </row>
    <row r="319" spans="1:3" x14ac:dyDescent="0.25">
      <c r="A319" s="12" t="s">
        <v>1649</v>
      </c>
      <c r="B319" s="3">
        <v>0.1368</v>
      </c>
      <c r="C319" s="14">
        <v>23256</v>
      </c>
    </row>
    <row r="320" spans="1:3" x14ac:dyDescent="0.25">
      <c r="A320" s="12" t="s">
        <v>114</v>
      </c>
      <c r="B320" s="3">
        <v>1.8250500000000001</v>
      </c>
      <c r="C320" s="14">
        <v>9894</v>
      </c>
    </row>
    <row r="321" spans="1:3" x14ac:dyDescent="0.25">
      <c r="A321" s="12" t="s">
        <v>1403</v>
      </c>
      <c r="B321" s="3">
        <v>13.86</v>
      </c>
      <c r="C321" s="14">
        <v>47400</v>
      </c>
    </row>
    <row r="322" spans="1:3" x14ac:dyDescent="0.25">
      <c r="A322" s="12" t="s">
        <v>290</v>
      </c>
      <c r="B322" s="3">
        <v>6.615E-2</v>
      </c>
      <c r="C322" s="14">
        <v>323.40000000000003</v>
      </c>
    </row>
    <row r="323" spans="1:3" x14ac:dyDescent="0.25">
      <c r="A323" s="12" t="s">
        <v>882</v>
      </c>
      <c r="B323" s="3">
        <v>3.9599999999999995</v>
      </c>
      <c r="C323" s="14">
        <v>374000</v>
      </c>
    </row>
    <row r="324" spans="1:3" x14ac:dyDescent="0.25">
      <c r="A324" s="12" t="s">
        <v>1034</v>
      </c>
      <c r="B324" s="3">
        <v>133.28</v>
      </c>
      <c r="C324" s="14">
        <v>23750</v>
      </c>
    </row>
    <row r="325" spans="1:3" x14ac:dyDescent="0.25">
      <c r="A325" s="12" t="s">
        <v>2722</v>
      </c>
      <c r="B325" s="3">
        <v>39.953760000000003</v>
      </c>
      <c r="C325" s="14">
        <v>44030</v>
      </c>
    </row>
    <row r="326" spans="1:3" x14ac:dyDescent="0.25">
      <c r="A326" s="12" t="s">
        <v>1598</v>
      </c>
      <c r="B326" s="3">
        <v>2.0250000000000001E-2</v>
      </c>
      <c r="C326" s="14">
        <v>3109.4999999999995</v>
      </c>
    </row>
    <row r="327" spans="1:3" x14ac:dyDescent="0.25">
      <c r="A327" s="12" t="s">
        <v>2845</v>
      </c>
      <c r="B327" s="3">
        <v>54.326700328800001</v>
      </c>
      <c r="C327" s="14">
        <v>124200</v>
      </c>
    </row>
    <row r="328" spans="1:3" x14ac:dyDescent="0.25">
      <c r="A328" s="12" t="s">
        <v>805</v>
      </c>
      <c r="B328" s="3">
        <v>0.72</v>
      </c>
      <c r="C328" s="14">
        <v>2504</v>
      </c>
    </row>
    <row r="329" spans="1:3" x14ac:dyDescent="0.25">
      <c r="A329" s="12" t="s">
        <v>306</v>
      </c>
      <c r="B329" s="3">
        <v>175.73500239999998</v>
      </c>
      <c r="C329" s="14">
        <v>1154939.5</v>
      </c>
    </row>
    <row r="330" spans="1:3" x14ac:dyDescent="0.25">
      <c r="A330" s="12" t="s">
        <v>305</v>
      </c>
      <c r="B330" s="3">
        <v>23.273699344000004</v>
      </c>
      <c r="C330" s="14">
        <v>1585402.2</v>
      </c>
    </row>
    <row r="331" spans="1:3" x14ac:dyDescent="0.25">
      <c r="A331" s="12" t="s">
        <v>1759</v>
      </c>
      <c r="B331" s="3">
        <v>24.449879688000003</v>
      </c>
      <c r="C331" s="14">
        <v>165300</v>
      </c>
    </row>
    <row r="332" spans="1:3" x14ac:dyDescent="0.25">
      <c r="A332" s="12" t="s">
        <v>2667</v>
      </c>
      <c r="B332" s="3">
        <v>166.50000000000003</v>
      </c>
      <c r="C332" s="14">
        <v>557400</v>
      </c>
    </row>
    <row r="333" spans="1:3" x14ac:dyDescent="0.25">
      <c r="A333" s="12" t="s">
        <v>1634</v>
      </c>
      <c r="B333" s="3">
        <v>10.811400000000001</v>
      </c>
      <c r="C333" s="14">
        <v>8933.7999999999993</v>
      </c>
    </row>
    <row r="334" spans="1:3" x14ac:dyDescent="0.25">
      <c r="A334" s="12" t="s">
        <v>132</v>
      </c>
      <c r="B334" s="3">
        <v>3.6479999999999997</v>
      </c>
      <c r="C334" s="14">
        <v>31980</v>
      </c>
    </row>
    <row r="335" spans="1:3" x14ac:dyDescent="0.25">
      <c r="A335" s="12" t="s">
        <v>753</v>
      </c>
      <c r="B335" s="3">
        <v>10</v>
      </c>
      <c r="C335" s="14">
        <v>1790</v>
      </c>
    </row>
    <row r="336" spans="1:3" x14ac:dyDescent="0.25">
      <c r="A336" s="12" t="s">
        <v>484</v>
      </c>
      <c r="B336" s="3">
        <v>49.438892656000007</v>
      </c>
      <c r="C336" s="14">
        <v>23495.519999999997</v>
      </c>
    </row>
    <row r="337" spans="1:3" x14ac:dyDescent="0.25">
      <c r="A337" s="12" t="s">
        <v>2786</v>
      </c>
      <c r="B337" s="3">
        <v>18.225000000000001</v>
      </c>
      <c r="C337" s="14">
        <v>9855</v>
      </c>
    </row>
    <row r="338" spans="1:3" x14ac:dyDescent="0.25">
      <c r="A338" s="12" t="s">
        <v>1478</v>
      </c>
      <c r="B338" s="3">
        <v>36.6</v>
      </c>
      <c r="C338" s="14">
        <v>1315797.0138888888</v>
      </c>
    </row>
    <row r="339" spans="1:3" x14ac:dyDescent="0.25">
      <c r="A339" s="12" t="s">
        <v>1587</v>
      </c>
      <c r="B339" s="3">
        <v>6.93E-2</v>
      </c>
      <c r="C339" s="14">
        <v>2077.25</v>
      </c>
    </row>
    <row r="340" spans="1:3" x14ac:dyDescent="0.25">
      <c r="A340" s="12" t="s">
        <v>1571</v>
      </c>
      <c r="B340" s="3">
        <v>4.9982500000000006E-2</v>
      </c>
      <c r="C340" s="14">
        <v>8423</v>
      </c>
    </row>
    <row r="341" spans="1:3" x14ac:dyDescent="0.25">
      <c r="A341" s="12" t="s">
        <v>1537</v>
      </c>
      <c r="B341" s="3">
        <v>11.176920000000001</v>
      </c>
      <c r="C341" s="14">
        <v>540240</v>
      </c>
    </row>
    <row r="342" spans="1:3" x14ac:dyDescent="0.25">
      <c r="A342" s="12" t="s">
        <v>1563</v>
      </c>
      <c r="B342" s="3">
        <v>0.44424999999999998</v>
      </c>
      <c r="C342" s="14">
        <v>6966.25</v>
      </c>
    </row>
    <row r="343" spans="1:3" x14ac:dyDescent="0.25">
      <c r="A343" s="12" t="s">
        <v>913</v>
      </c>
      <c r="B343" s="3">
        <v>4.4999999999999998E-2</v>
      </c>
      <c r="C343" s="14">
        <v>10000</v>
      </c>
    </row>
    <row r="344" spans="1:3" x14ac:dyDescent="0.25">
      <c r="A344" s="12" t="s">
        <v>2551</v>
      </c>
      <c r="B344" s="3">
        <v>0.58055999999999996</v>
      </c>
      <c r="C344" s="14">
        <v>1797</v>
      </c>
    </row>
    <row r="345" spans="1:3" x14ac:dyDescent="0.25">
      <c r="A345" s="12" t="s">
        <v>773</v>
      </c>
      <c r="B345" s="3">
        <v>1.8749999999999999E-2</v>
      </c>
      <c r="C345" s="14">
        <v>135</v>
      </c>
    </row>
    <row r="346" spans="1:3" x14ac:dyDescent="0.25">
      <c r="A346" s="12" t="s">
        <v>2892</v>
      </c>
      <c r="B346" s="3">
        <v>116.61015354</v>
      </c>
      <c r="C346" s="14">
        <v>92896.950000000012</v>
      </c>
    </row>
    <row r="347" spans="1:3" x14ac:dyDescent="0.25">
      <c r="A347" s="12" t="s">
        <v>503</v>
      </c>
      <c r="B347" s="3">
        <v>39.373125000000002</v>
      </c>
      <c r="C347" s="14">
        <v>7355.4000000000005</v>
      </c>
    </row>
    <row r="348" spans="1:3" x14ac:dyDescent="0.25">
      <c r="A348" s="12" t="s">
        <v>25</v>
      </c>
      <c r="B348" s="3">
        <v>78</v>
      </c>
      <c r="C348" s="14">
        <v>58940.869565217392</v>
      </c>
    </row>
    <row r="349" spans="1:3" x14ac:dyDescent="0.25">
      <c r="A349" s="12" t="s">
        <v>64</v>
      </c>
      <c r="B349" s="3">
        <v>278.32994999999994</v>
      </c>
      <c r="C349" s="14">
        <v>184153.80000000002</v>
      </c>
    </row>
    <row r="350" spans="1:3" x14ac:dyDescent="0.25">
      <c r="A350" s="12" t="s">
        <v>2351</v>
      </c>
      <c r="B350" s="3">
        <v>15</v>
      </c>
      <c r="C350" s="14">
        <v>500</v>
      </c>
    </row>
    <row r="351" spans="1:3" x14ac:dyDescent="0.25">
      <c r="A351" s="12" t="s">
        <v>231</v>
      </c>
      <c r="B351" s="3">
        <v>62.51400000000001</v>
      </c>
      <c r="C351" s="14">
        <v>545370</v>
      </c>
    </row>
    <row r="352" spans="1:3" x14ac:dyDescent="0.25">
      <c r="A352" s="12" t="s">
        <v>2613</v>
      </c>
      <c r="B352" s="3">
        <v>46.656000000000006</v>
      </c>
      <c r="C352" s="14">
        <v>190392</v>
      </c>
    </row>
    <row r="353" spans="1:3" x14ac:dyDescent="0.25">
      <c r="A353" s="12" t="s">
        <v>2323</v>
      </c>
      <c r="B353" s="3">
        <v>112.86000000000004</v>
      </c>
      <c r="C353" s="14">
        <v>12695</v>
      </c>
    </row>
    <row r="354" spans="1:3" x14ac:dyDescent="0.25">
      <c r="A354" s="12" t="s">
        <v>504</v>
      </c>
      <c r="B354" s="3">
        <v>113.35010000000001</v>
      </c>
      <c r="C354" s="14">
        <v>141809.4</v>
      </c>
    </row>
    <row r="355" spans="1:3" x14ac:dyDescent="0.25">
      <c r="A355" s="12" t="s">
        <v>302</v>
      </c>
      <c r="B355" s="3">
        <v>173.2912</v>
      </c>
      <c r="C355" s="14">
        <v>1515200</v>
      </c>
    </row>
    <row r="356" spans="1:3" x14ac:dyDescent="0.25">
      <c r="A356" s="12" t="s">
        <v>1550</v>
      </c>
      <c r="B356" s="3">
        <v>2.0706576000000001</v>
      </c>
      <c r="C356" s="14">
        <v>402240</v>
      </c>
    </row>
    <row r="357" spans="1:3" x14ac:dyDescent="0.25">
      <c r="A357" s="12" t="s">
        <v>1557</v>
      </c>
      <c r="B357" s="3">
        <v>1.9060799999999998</v>
      </c>
      <c r="C357" s="14">
        <v>260256.00000000003</v>
      </c>
    </row>
    <row r="358" spans="1:3" x14ac:dyDescent="0.25">
      <c r="A358" s="12" t="s">
        <v>1077</v>
      </c>
      <c r="B358" s="3">
        <v>5.64</v>
      </c>
      <c r="C358" s="14">
        <v>207740</v>
      </c>
    </row>
    <row r="359" spans="1:3" x14ac:dyDescent="0.25">
      <c r="A359" s="12" t="s">
        <v>2841</v>
      </c>
      <c r="B359" s="3">
        <v>109.44731999999999</v>
      </c>
      <c r="C359" s="14">
        <v>142760</v>
      </c>
    </row>
    <row r="360" spans="1:3" x14ac:dyDescent="0.25">
      <c r="A360" s="12" t="s">
        <v>1150</v>
      </c>
      <c r="B360" s="3">
        <v>37.513199999999998</v>
      </c>
      <c r="C360" s="14">
        <v>8986</v>
      </c>
    </row>
    <row r="361" spans="1:3" x14ac:dyDescent="0.25">
      <c r="A361" s="12" t="s">
        <v>312</v>
      </c>
      <c r="B361" s="3">
        <v>30.915000000000003</v>
      </c>
      <c r="C361" s="14">
        <v>63617.774999999994</v>
      </c>
    </row>
    <row r="362" spans="1:3" x14ac:dyDescent="0.25">
      <c r="A362" s="12" t="s">
        <v>2463</v>
      </c>
      <c r="B362" s="3">
        <v>0.50625000000000009</v>
      </c>
      <c r="C362" s="14">
        <v>29025</v>
      </c>
    </row>
    <row r="363" spans="1:3" x14ac:dyDescent="0.25">
      <c r="A363" s="12" t="s">
        <v>2600</v>
      </c>
      <c r="B363" s="3">
        <v>11.424000000000001</v>
      </c>
      <c r="C363" s="14">
        <v>40786.399999999994</v>
      </c>
    </row>
    <row r="364" spans="1:3" x14ac:dyDescent="0.25">
      <c r="A364" s="12" t="s">
        <v>706</v>
      </c>
      <c r="B364" s="3">
        <v>15</v>
      </c>
      <c r="C364" s="14">
        <v>59880</v>
      </c>
    </row>
    <row r="365" spans="1:3" x14ac:dyDescent="0.25">
      <c r="A365" s="12" t="s">
        <v>2616</v>
      </c>
      <c r="B365" s="3">
        <v>16.128</v>
      </c>
      <c r="C365" s="14">
        <v>21424</v>
      </c>
    </row>
    <row r="366" spans="1:3" x14ac:dyDescent="0.25">
      <c r="A366" s="12" t="s">
        <v>359</v>
      </c>
      <c r="B366" s="3">
        <v>413.69406479999998</v>
      </c>
      <c r="C366" s="14">
        <v>3416909</v>
      </c>
    </row>
    <row r="367" spans="1:3" x14ac:dyDescent="0.25">
      <c r="A367" s="12" t="s">
        <v>1948</v>
      </c>
      <c r="B367" s="3">
        <v>163.09</v>
      </c>
      <c r="C367" s="14">
        <v>16840</v>
      </c>
    </row>
    <row r="368" spans="1:3" x14ac:dyDescent="0.25">
      <c r="A368" s="12" t="s">
        <v>826</v>
      </c>
      <c r="B368" s="3">
        <v>0.11703419000000001</v>
      </c>
      <c r="C368" s="14">
        <v>115</v>
      </c>
    </row>
    <row r="369" spans="1:3" x14ac:dyDescent="0.25">
      <c r="A369" s="12" t="s">
        <v>1940</v>
      </c>
      <c r="B369" s="3">
        <v>5.0552681299999991</v>
      </c>
      <c r="C369" s="14">
        <v>1649840</v>
      </c>
    </row>
    <row r="370" spans="1:3" x14ac:dyDescent="0.25">
      <c r="A370" s="12" t="s">
        <v>1590</v>
      </c>
      <c r="B370" s="3">
        <v>0.126</v>
      </c>
      <c r="C370" s="14">
        <v>2195</v>
      </c>
    </row>
    <row r="371" spans="1:3" x14ac:dyDescent="0.25">
      <c r="A371" s="12" t="s">
        <v>2743</v>
      </c>
      <c r="B371" s="3">
        <v>39.721499999999999</v>
      </c>
      <c r="C371" s="14">
        <v>15748.350000000002</v>
      </c>
    </row>
    <row r="372" spans="1:3" x14ac:dyDescent="0.25">
      <c r="A372" s="12" t="s">
        <v>2674</v>
      </c>
      <c r="B372" s="3">
        <v>223.85999999999996</v>
      </c>
      <c r="C372" s="14">
        <v>3876625</v>
      </c>
    </row>
    <row r="373" spans="1:3" x14ac:dyDescent="0.25">
      <c r="A373" s="12" t="s">
        <v>1749</v>
      </c>
      <c r="B373" s="3">
        <v>39.535200000000003</v>
      </c>
      <c r="C373" s="14">
        <v>742992</v>
      </c>
    </row>
    <row r="374" spans="1:3" x14ac:dyDescent="0.25">
      <c r="A374" s="12" t="s">
        <v>314</v>
      </c>
      <c r="B374" s="3">
        <v>185.625</v>
      </c>
      <c r="C374" s="14">
        <v>186010.5</v>
      </c>
    </row>
    <row r="375" spans="1:3" x14ac:dyDescent="0.25">
      <c r="A375" s="12" t="s">
        <v>987</v>
      </c>
      <c r="B375" s="3">
        <v>42.831600000000002</v>
      </c>
      <c r="C375" s="14">
        <v>304620</v>
      </c>
    </row>
    <row r="376" spans="1:3" x14ac:dyDescent="0.25">
      <c r="A376" s="12" t="s">
        <v>35</v>
      </c>
      <c r="B376" s="3">
        <v>78</v>
      </c>
      <c r="C376" s="14">
        <v>165966.66666666669</v>
      </c>
    </row>
    <row r="377" spans="1:3" x14ac:dyDescent="0.25">
      <c r="A377" s="12" t="s">
        <v>1724</v>
      </c>
      <c r="B377" s="3">
        <v>26.3568</v>
      </c>
      <c r="C377" s="14">
        <v>402720</v>
      </c>
    </row>
    <row r="378" spans="1:3" x14ac:dyDescent="0.25">
      <c r="A378" s="12" t="s">
        <v>854</v>
      </c>
      <c r="B378" s="3">
        <v>2E-3</v>
      </c>
      <c r="C378" s="14">
        <v>39.799999999999997</v>
      </c>
    </row>
    <row r="379" spans="1:3" x14ac:dyDescent="0.25">
      <c r="A379" s="12" t="s">
        <v>2764</v>
      </c>
      <c r="B379" s="3">
        <v>159.237765</v>
      </c>
      <c r="C379" s="14">
        <v>90492</v>
      </c>
    </row>
    <row r="380" spans="1:3" x14ac:dyDescent="0.25">
      <c r="A380" s="12" t="s">
        <v>2244</v>
      </c>
      <c r="B380" s="3">
        <v>3.2615759999999998</v>
      </c>
      <c r="C380" s="14">
        <v>8111</v>
      </c>
    </row>
    <row r="381" spans="1:3" x14ac:dyDescent="0.25">
      <c r="A381" s="12" t="s">
        <v>2036</v>
      </c>
      <c r="B381" s="3">
        <v>1.2000000000000001E-3</v>
      </c>
      <c r="C381" s="14">
        <v>37.200000000000003</v>
      </c>
    </row>
    <row r="382" spans="1:3" x14ac:dyDescent="0.25">
      <c r="A382" s="12" t="s">
        <v>700</v>
      </c>
      <c r="B382" s="3">
        <v>0.17099999999999999</v>
      </c>
      <c r="C382" s="14">
        <v>9459</v>
      </c>
    </row>
    <row r="383" spans="1:3" x14ac:dyDescent="0.25">
      <c r="A383" s="12" t="s">
        <v>1015</v>
      </c>
      <c r="B383" s="3">
        <v>38.110115</v>
      </c>
      <c r="C383" s="14">
        <v>356073.7</v>
      </c>
    </row>
    <row r="384" spans="1:3" x14ac:dyDescent="0.25">
      <c r="A384" s="12" t="s">
        <v>1971</v>
      </c>
      <c r="B384" s="3">
        <v>8.9999999999999993E-3</v>
      </c>
      <c r="C384" s="14">
        <v>136</v>
      </c>
    </row>
    <row r="385" spans="1:3" x14ac:dyDescent="0.25">
      <c r="A385" s="12" t="s">
        <v>435</v>
      </c>
      <c r="B385" s="3">
        <v>10487.28</v>
      </c>
      <c r="C385" s="14">
        <v>38250</v>
      </c>
    </row>
    <row r="386" spans="1:3" x14ac:dyDescent="0.25">
      <c r="A386" s="12" t="s">
        <v>837</v>
      </c>
      <c r="B386" s="3">
        <v>0.77999999999999992</v>
      </c>
      <c r="C386" s="14">
        <v>1581.8</v>
      </c>
    </row>
    <row r="387" spans="1:3" x14ac:dyDescent="0.25">
      <c r="A387" s="12" t="s">
        <v>122</v>
      </c>
      <c r="B387" s="3">
        <v>7.5087999999999999</v>
      </c>
      <c r="C387" s="14">
        <v>36140</v>
      </c>
    </row>
    <row r="388" spans="1:3" x14ac:dyDescent="0.25">
      <c r="A388" s="12" t="s">
        <v>1352</v>
      </c>
      <c r="B388" s="3">
        <v>0.40666775476</v>
      </c>
      <c r="C388" s="14">
        <v>2379976</v>
      </c>
    </row>
    <row r="389" spans="1:3" x14ac:dyDescent="0.25">
      <c r="A389" s="12" t="s">
        <v>878</v>
      </c>
      <c r="B389" s="3">
        <v>3.9599999999999995</v>
      </c>
      <c r="C389" s="14">
        <v>214500</v>
      </c>
    </row>
    <row r="390" spans="1:3" x14ac:dyDescent="0.25">
      <c r="A390" s="12" t="s">
        <v>2542</v>
      </c>
      <c r="B390" s="3">
        <v>2.2267800000000002</v>
      </c>
      <c r="C390" s="14">
        <v>1173</v>
      </c>
    </row>
    <row r="391" spans="1:3" x14ac:dyDescent="0.25">
      <c r="A391" s="12" t="s">
        <v>1753</v>
      </c>
      <c r="B391" s="3">
        <v>26.3568</v>
      </c>
      <c r="C391" s="14">
        <v>508320</v>
      </c>
    </row>
    <row r="392" spans="1:3" x14ac:dyDescent="0.25">
      <c r="A392" s="12" t="s">
        <v>360</v>
      </c>
      <c r="B392" s="3">
        <v>234</v>
      </c>
      <c r="C392" s="14">
        <v>646340.5</v>
      </c>
    </row>
    <row r="393" spans="1:3" x14ac:dyDescent="0.25">
      <c r="A393" s="12" t="s">
        <v>891</v>
      </c>
      <c r="B393" s="3">
        <v>7.4250000000000007</v>
      </c>
      <c r="C393" s="14">
        <v>220000</v>
      </c>
    </row>
    <row r="394" spans="1:3" x14ac:dyDescent="0.25">
      <c r="A394" s="12" t="s">
        <v>1056</v>
      </c>
      <c r="B394" s="3">
        <v>1.3119999999999998</v>
      </c>
      <c r="C394" s="14">
        <v>1112</v>
      </c>
    </row>
    <row r="395" spans="1:3" x14ac:dyDescent="0.25">
      <c r="A395" s="12" t="s">
        <v>1003</v>
      </c>
      <c r="B395" s="3">
        <v>1.5</v>
      </c>
      <c r="C395" s="14">
        <v>3999.4999999999995</v>
      </c>
    </row>
    <row r="396" spans="1:3" x14ac:dyDescent="0.25">
      <c r="A396" s="12" t="s">
        <v>2781</v>
      </c>
      <c r="B396" s="3">
        <v>38.220000000000006</v>
      </c>
      <c r="C396" s="14">
        <v>27230</v>
      </c>
    </row>
    <row r="397" spans="1:3" x14ac:dyDescent="0.25">
      <c r="A397" s="12" t="s">
        <v>2755</v>
      </c>
      <c r="B397" s="3">
        <v>19.9206</v>
      </c>
      <c r="C397" s="14">
        <v>11085</v>
      </c>
    </row>
    <row r="398" spans="1:3" x14ac:dyDescent="0.25">
      <c r="A398" s="12" t="s">
        <v>490</v>
      </c>
      <c r="B398" s="3">
        <v>17.7316</v>
      </c>
      <c r="C398" s="14">
        <v>7696.340000000002</v>
      </c>
    </row>
    <row r="399" spans="1:3" x14ac:dyDescent="0.25">
      <c r="A399" s="12" t="s">
        <v>909</v>
      </c>
      <c r="B399" s="3">
        <v>101.80200000000002</v>
      </c>
      <c r="C399" s="14">
        <v>398040</v>
      </c>
    </row>
    <row r="400" spans="1:3" x14ac:dyDescent="0.25">
      <c r="A400" s="12" t="s">
        <v>1104</v>
      </c>
      <c r="B400" s="3">
        <v>90.75</v>
      </c>
      <c r="C400" s="14">
        <v>304</v>
      </c>
    </row>
    <row r="401" spans="1:3" x14ac:dyDescent="0.25">
      <c r="A401" s="12" t="s">
        <v>1468</v>
      </c>
      <c r="B401" s="3">
        <v>32</v>
      </c>
      <c r="C401" s="14">
        <v>6731.0370370370383</v>
      </c>
    </row>
    <row r="402" spans="1:3" x14ac:dyDescent="0.25">
      <c r="A402" s="12" t="s">
        <v>1652</v>
      </c>
      <c r="B402" s="3">
        <v>133</v>
      </c>
      <c r="C402" s="14">
        <v>7790</v>
      </c>
    </row>
    <row r="403" spans="1:3" x14ac:dyDescent="0.25">
      <c r="A403" s="12" t="s">
        <v>1231</v>
      </c>
      <c r="B403" s="3">
        <v>1.128375E-2</v>
      </c>
      <c r="C403" s="14">
        <v>31.2</v>
      </c>
    </row>
    <row r="404" spans="1:3" x14ac:dyDescent="0.25">
      <c r="A404" s="12" t="s">
        <v>299</v>
      </c>
      <c r="B404" s="3">
        <v>369.20600000000013</v>
      </c>
      <c r="C404" s="14">
        <v>3913040</v>
      </c>
    </row>
    <row r="405" spans="1:3" x14ac:dyDescent="0.25">
      <c r="A405" s="12" t="s">
        <v>304</v>
      </c>
      <c r="B405" s="3">
        <v>9.5471999999999984</v>
      </c>
      <c r="C405" s="14">
        <v>1783728</v>
      </c>
    </row>
    <row r="406" spans="1:3" x14ac:dyDescent="0.25">
      <c r="A406" s="12" t="s">
        <v>387</v>
      </c>
      <c r="B406" s="3">
        <v>1149.4307520000002</v>
      </c>
      <c r="C406" s="14">
        <v>1007461.812</v>
      </c>
    </row>
    <row r="407" spans="1:3" x14ac:dyDescent="0.25">
      <c r="A407" s="12" t="s">
        <v>1664</v>
      </c>
      <c r="B407" s="3">
        <v>1.3679999999999999</v>
      </c>
      <c r="C407" s="14">
        <v>34124</v>
      </c>
    </row>
    <row r="408" spans="1:3" x14ac:dyDescent="0.25">
      <c r="A408" s="12" t="s">
        <v>2632</v>
      </c>
      <c r="B408" s="3">
        <v>135.16800000000001</v>
      </c>
      <c r="C408" s="14">
        <v>433424</v>
      </c>
    </row>
    <row r="409" spans="1:3" x14ac:dyDescent="0.25">
      <c r="A409" s="12" t="s">
        <v>1981</v>
      </c>
      <c r="B409" s="3">
        <v>1.428E-3</v>
      </c>
      <c r="C409" s="14">
        <v>112</v>
      </c>
    </row>
    <row r="410" spans="1:3" x14ac:dyDescent="0.25">
      <c r="A410" s="12" t="s">
        <v>965</v>
      </c>
      <c r="B410" s="3">
        <v>20.587266</v>
      </c>
      <c r="C410" s="14">
        <v>314968.8</v>
      </c>
    </row>
    <row r="411" spans="1:3" x14ac:dyDescent="0.25">
      <c r="A411" s="12" t="s">
        <v>54</v>
      </c>
      <c r="B411" s="3">
        <v>15.719949999999999</v>
      </c>
      <c r="C411" s="14">
        <v>28580.2</v>
      </c>
    </row>
    <row r="412" spans="1:3" x14ac:dyDescent="0.25">
      <c r="A412" s="12" t="s">
        <v>2039</v>
      </c>
      <c r="B412" s="3">
        <v>4.3200000000000001E-3</v>
      </c>
      <c r="C412" s="14">
        <v>135</v>
      </c>
    </row>
    <row r="413" spans="1:3" x14ac:dyDescent="0.25">
      <c r="A413" s="12" t="s">
        <v>683</v>
      </c>
      <c r="B413" s="3">
        <v>343.58803249999994</v>
      </c>
      <c r="C413" s="14">
        <v>6368160.7915000003</v>
      </c>
    </row>
    <row r="414" spans="1:3" x14ac:dyDescent="0.25">
      <c r="A414" s="12" t="s">
        <v>1729</v>
      </c>
      <c r="B414" s="3">
        <v>6.5891999999999999</v>
      </c>
      <c r="C414" s="14">
        <v>53880</v>
      </c>
    </row>
    <row r="415" spans="1:3" x14ac:dyDescent="0.25">
      <c r="A415" s="12" t="s">
        <v>1448</v>
      </c>
      <c r="B415" s="3">
        <v>25</v>
      </c>
      <c r="C415" s="14">
        <v>28172.249074087696</v>
      </c>
    </row>
    <row r="416" spans="1:3" x14ac:dyDescent="0.25">
      <c r="A416" s="12" t="s">
        <v>445</v>
      </c>
      <c r="B416" s="3">
        <v>16.0854</v>
      </c>
      <c r="C416" s="14">
        <v>16996</v>
      </c>
    </row>
    <row r="417" spans="1:3" x14ac:dyDescent="0.25">
      <c r="A417" s="12" t="s">
        <v>688</v>
      </c>
      <c r="B417" s="3">
        <v>1.9200000000000002E-2</v>
      </c>
      <c r="C417" s="14">
        <v>1560</v>
      </c>
    </row>
    <row r="418" spans="1:3" x14ac:dyDescent="0.25">
      <c r="A418" s="12" t="s">
        <v>974</v>
      </c>
      <c r="B418" s="3">
        <v>134.24195699999999</v>
      </c>
      <c r="C418" s="14">
        <v>1365000</v>
      </c>
    </row>
    <row r="419" spans="1:3" x14ac:dyDescent="0.25">
      <c r="A419" s="12" t="s">
        <v>512</v>
      </c>
      <c r="B419" s="3">
        <v>2217.9329894750003</v>
      </c>
      <c r="C419" s="14">
        <v>904785.59999999951</v>
      </c>
    </row>
    <row r="420" spans="1:3" x14ac:dyDescent="0.25">
      <c r="A420" s="12" t="s">
        <v>919</v>
      </c>
      <c r="B420" s="3">
        <v>39.593264750000003</v>
      </c>
      <c r="C420" s="14">
        <v>25064</v>
      </c>
    </row>
    <row r="421" spans="1:3" x14ac:dyDescent="0.25">
      <c r="A421" s="12" t="s">
        <v>364</v>
      </c>
      <c r="B421" s="3">
        <v>123.75</v>
      </c>
      <c r="C421" s="14">
        <v>247903.5</v>
      </c>
    </row>
    <row r="422" spans="1:3" x14ac:dyDescent="0.25">
      <c r="A422" s="12" t="s">
        <v>671</v>
      </c>
      <c r="B422" s="3">
        <v>78.400000000000006</v>
      </c>
      <c r="C422" s="14">
        <v>32000</v>
      </c>
    </row>
    <row r="423" spans="1:3" x14ac:dyDescent="0.25">
      <c r="A423" s="12" t="s">
        <v>2224</v>
      </c>
      <c r="B423" s="3">
        <v>8.5615500000000004</v>
      </c>
      <c r="C423" s="14">
        <v>126315</v>
      </c>
    </row>
    <row r="424" spans="1:3" x14ac:dyDescent="0.25">
      <c r="A424" s="12" t="s">
        <v>767</v>
      </c>
      <c r="B424" s="3">
        <v>2.5920000000000001</v>
      </c>
      <c r="C424" s="14">
        <v>29444</v>
      </c>
    </row>
    <row r="425" spans="1:3" x14ac:dyDescent="0.25">
      <c r="A425" s="12" t="s">
        <v>32</v>
      </c>
      <c r="B425" s="3">
        <v>78</v>
      </c>
      <c r="C425" s="14">
        <v>100775.19379844962</v>
      </c>
    </row>
    <row r="426" spans="1:3" x14ac:dyDescent="0.25">
      <c r="A426" s="12" t="s">
        <v>2883</v>
      </c>
      <c r="B426" s="3">
        <v>7.0955999999999992</v>
      </c>
      <c r="C426" s="14">
        <v>6028.5</v>
      </c>
    </row>
    <row r="427" spans="1:3" x14ac:dyDescent="0.25">
      <c r="A427" s="12" t="s">
        <v>2737</v>
      </c>
      <c r="B427" s="3">
        <v>58.06944</v>
      </c>
      <c r="C427" s="14">
        <v>29610</v>
      </c>
    </row>
    <row r="428" spans="1:3" x14ac:dyDescent="0.25">
      <c r="A428" s="12" t="s">
        <v>895</v>
      </c>
      <c r="B428" s="3">
        <v>1.65</v>
      </c>
      <c r="C428" s="14">
        <v>27500</v>
      </c>
    </row>
    <row r="429" spans="1:3" x14ac:dyDescent="0.25">
      <c r="A429" s="12" t="s">
        <v>938</v>
      </c>
      <c r="B429" s="3">
        <v>3.5999999999999996</v>
      </c>
      <c r="C429" s="14">
        <v>22500</v>
      </c>
    </row>
    <row r="430" spans="1:3" x14ac:dyDescent="0.25">
      <c r="A430" s="12" t="s">
        <v>872</v>
      </c>
      <c r="B430" s="3">
        <v>0.81920000000000004</v>
      </c>
      <c r="C430" s="14">
        <v>271.60000000000002</v>
      </c>
    </row>
    <row r="431" spans="1:3" x14ac:dyDescent="0.25">
      <c r="A431" s="12" t="s">
        <v>1621</v>
      </c>
      <c r="B431" s="3">
        <v>1.7954999999999999E-2</v>
      </c>
      <c r="C431" s="14">
        <v>891</v>
      </c>
    </row>
    <row r="432" spans="1:3" x14ac:dyDescent="0.25">
      <c r="A432" s="12" t="s">
        <v>2745</v>
      </c>
      <c r="B432" s="3">
        <v>1.5271999999999999</v>
      </c>
      <c r="C432" s="14">
        <v>16191</v>
      </c>
    </row>
    <row r="433" spans="1:3" x14ac:dyDescent="0.25">
      <c r="A433" s="12" t="s">
        <v>798</v>
      </c>
      <c r="B433" s="3">
        <v>5.04E-2</v>
      </c>
      <c r="C433" s="14">
        <v>679.2</v>
      </c>
    </row>
    <row r="434" spans="1:3" x14ac:dyDescent="0.25">
      <c r="A434" s="12" t="s">
        <v>832</v>
      </c>
      <c r="B434" s="3">
        <v>6.8771499999999999E-2</v>
      </c>
      <c r="C434" s="14">
        <v>28</v>
      </c>
    </row>
    <row r="435" spans="1:3" x14ac:dyDescent="0.25">
      <c r="A435" s="12" t="s">
        <v>43</v>
      </c>
      <c r="B435" s="3">
        <v>156</v>
      </c>
      <c r="C435" s="14">
        <v>1125271.4285714286</v>
      </c>
    </row>
    <row r="436" spans="1:3" x14ac:dyDescent="0.25">
      <c r="A436" s="12" t="s">
        <v>1399</v>
      </c>
      <c r="B436" s="3">
        <v>1.2287999999999999</v>
      </c>
      <c r="C436" s="14">
        <v>47400</v>
      </c>
    </row>
    <row r="437" spans="1:3" x14ac:dyDescent="0.25">
      <c r="A437" s="12" t="s">
        <v>571</v>
      </c>
      <c r="B437" s="3">
        <v>1.8325020000000003</v>
      </c>
      <c r="C437" s="14">
        <v>28909.999999999996</v>
      </c>
    </row>
    <row r="438" spans="1:3" x14ac:dyDescent="0.25">
      <c r="A438" s="12" t="s">
        <v>859</v>
      </c>
      <c r="B438" s="3">
        <v>3.3508799999999998E-2</v>
      </c>
      <c r="C438" s="14">
        <v>160.50000000000003</v>
      </c>
    </row>
    <row r="439" spans="1:3" x14ac:dyDescent="0.25">
      <c r="A439" s="12" t="s">
        <v>2763</v>
      </c>
      <c r="B439" s="3">
        <v>198.24992</v>
      </c>
      <c r="C439" s="14">
        <v>145356.5</v>
      </c>
    </row>
    <row r="440" spans="1:3" x14ac:dyDescent="0.25">
      <c r="A440" s="12" t="s">
        <v>1157</v>
      </c>
      <c r="B440" s="3">
        <v>70.701687750000005</v>
      </c>
      <c r="C440" s="14">
        <v>265.60000000000002</v>
      </c>
    </row>
    <row r="441" spans="1:3" x14ac:dyDescent="0.25">
      <c r="A441" s="12" t="s">
        <v>486</v>
      </c>
      <c r="B441" s="3">
        <v>17.193568350000003</v>
      </c>
      <c r="C441" s="14">
        <v>10267.199999999999</v>
      </c>
    </row>
    <row r="442" spans="1:3" x14ac:dyDescent="0.25">
      <c r="A442" s="12" t="s">
        <v>2988</v>
      </c>
      <c r="B442" s="3">
        <v>4471111.7283192845</v>
      </c>
      <c r="C442" s="14">
        <v>130114063.620103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7"/>
  <sheetViews>
    <sheetView tabSelected="1" workbookViewId="0">
      <selection activeCell="G5" sqref="G5"/>
    </sheetView>
  </sheetViews>
  <sheetFormatPr defaultRowHeight="15" x14ac:dyDescent="0.25"/>
  <cols>
    <col min="1" max="1" width="29.28515625" bestFit="1" customWidth="1"/>
    <col min="2" max="2" width="52.140625" bestFit="1" customWidth="1"/>
    <col min="3" max="3" width="22" customWidth="1"/>
    <col min="4" max="4" width="67.42578125" bestFit="1" customWidth="1"/>
    <col min="9" max="9" width="9.140625" customWidth="1"/>
  </cols>
  <sheetData>
    <row r="2" spans="1:4" x14ac:dyDescent="0.25">
      <c r="B2" s="36" t="s">
        <v>2994</v>
      </c>
      <c r="C2" s="36"/>
      <c r="D2" s="36"/>
    </row>
    <row r="3" spans="1:4" ht="23.25" x14ac:dyDescent="0.25">
      <c r="A3" s="35" t="s">
        <v>2993</v>
      </c>
      <c r="B3" s="33" t="s">
        <v>2995</v>
      </c>
      <c r="C3" s="34" t="s">
        <v>3000</v>
      </c>
      <c r="D3" s="33" t="s">
        <v>2997</v>
      </c>
    </row>
    <row r="4" spans="1:4" ht="60" x14ac:dyDescent="0.25">
      <c r="A4" s="32" t="s">
        <v>1604</v>
      </c>
      <c r="B4" s="31" t="s">
        <v>2996</v>
      </c>
      <c r="C4" s="31" t="s">
        <v>2999</v>
      </c>
      <c r="D4" s="31" t="s">
        <v>2998</v>
      </c>
    </row>
    <row r="5" spans="1:4" ht="60" x14ac:dyDescent="0.25">
      <c r="A5" s="32" t="s">
        <v>2875</v>
      </c>
      <c r="B5" s="31" t="s">
        <v>2996</v>
      </c>
      <c r="C5" s="31" t="s">
        <v>2999</v>
      </c>
      <c r="D5" s="31" t="s">
        <v>2998</v>
      </c>
    </row>
    <row r="6" spans="1:4" ht="60" x14ac:dyDescent="0.25">
      <c r="A6" s="32" t="s">
        <v>2151</v>
      </c>
      <c r="B6" s="31" t="s">
        <v>2996</v>
      </c>
      <c r="C6" s="31" t="s">
        <v>2999</v>
      </c>
      <c r="D6" s="31" t="s">
        <v>2998</v>
      </c>
    </row>
    <row r="7" spans="1:4" ht="60" x14ac:dyDescent="0.25">
      <c r="A7" s="32" t="s">
        <v>1189</v>
      </c>
      <c r="B7" s="31" t="s">
        <v>2996</v>
      </c>
      <c r="C7" s="31" t="s">
        <v>2999</v>
      </c>
      <c r="D7" s="31" t="s">
        <v>2998</v>
      </c>
    </row>
    <row r="8" spans="1:4" ht="60" x14ac:dyDescent="0.25">
      <c r="A8" s="32" t="s">
        <v>507</v>
      </c>
      <c r="B8" s="31" t="s">
        <v>2996</v>
      </c>
      <c r="C8" s="31" t="s">
        <v>2999</v>
      </c>
      <c r="D8" s="31" t="s">
        <v>2998</v>
      </c>
    </row>
    <row r="9" spans="1:4" ht="60" x14ac:dyDescent="0.25">
      <c r="A9" s="32" t="s">
        <v>797</v>
      </c>
      <c r="B9" s="31" t="s">
        <v>2996</v>
      </c>
      <c r="C9" s="31" t="s">
        <v>2999</v>
      </c>
      <c r="D9" s="31" t="s">
        <v>2998</v>
      </c>
    </row>
    <row r="10" spans="1:4" ht="60" x14ac:dyDescent="0.25">
      <c r="A10" s="32" t="s">
        <v>2554</v>
      </c>
      <c r="B10" s="31" t="s">
        <v>2996</v>
      </c>
      <c r="C10" s="31" t="s">
        <v>2999</v>
      </c>
      <c r="D10" s="31" t="s">
        <v>2998</v>
      </c>
    </row>
    <row r="11" spans="1:4" ht="60" x14ac:dyDescent="0.25">
      <c r="A11" s="32" t="s">
        <v>772</v>
      </c>
      <c r="B11" s="31" t="s">
        <v>2996</v>
      </c>
      <c r="C11" s="31" t="s">
        <v>2999</v>
      </c>
      <c r="D11" s="31" t="s">
        <v>2998</v>
      </c>
    </row>
    <row r="12" spans="1:4" ht="60" x14ac:dyDescent="0.25">
      <c r="A12" s="32" t="s">
        <v>1386</v>
      </c>
      <c r="B12" s="31" t="s">
        <v>2996</v>
      </c>
      <c r="C12" s="31" t="s">
        <v>2999</v>
      </c>
      <c r="D12" s="31" t="s">
        <v>2998</v>
      </c>
    </row>
    <row r="13" spans="1:4" ht="60" x14ac:dyDescent="0.25">
      <c r="A13" s="32" t="s">
        <v>887</v>
      </c>
      <c r="B13" s="31" t="s">
        <v>2996</v>
      </c>
      <c r="C13" s="31" t="s">
        <v>2999</v>
      </c>
      <c r="D13" s="31" t="s">
        <v>2998</v>
      </c>
    </row>
    <row r="14" spans="1:4" ht="60" x14ac:dyDescent="0.25">
      <c r="A14" s="32" t="s">
        <v>687</v>
      </c>
      <c r="B14" s="31" t="s">
        <v>2996</v>
      </c>
      <c r="C14" s="31" t="s">
        <v>2999</v>
      </c>
      <c r="D14" s="31" t="s">
        <v>2998</v>
      </c>
    </row>
    <row r="15" spans="1:4" ht="60" x14ac:dyDescent="0.25">
      <c r="A15" s="32" t="s">
        <v>794</v>
      </c>
      <c r="B15" s="31" t="s">
        <v>2996</v>
      </c>
      <c r="C15" s="31" t="s">
        <v>2999</v>
      </c>
      <c r="D15" s="31" t="s">
        <v>2998</v>
      </c>
    </row>
    <row r="16" spans="1:4" ht="60" x14ac:dyDescent="0.25">
      <c r="A16" s="32" t="s">
        <v>568</v>
      </c>
      <c r="B16" s="31" t="s">
        <v>2996</v>
      </c>
      <c r="C16" s="31" t="s">
        <v>2999</v>
      </c>
      <c r="D16" s="31" t="s">
        <v>2998</v>
      </c>
    </row>
    <row r="17" spans="1:4" ht="60" x14ac:dyDescent="0.25">
      <c r="A17" s="32" t="s">
        <v>2715</v>
      </c>
      <c r="B17" s="31" t="s">
        <v>2996</v>
      </c>
      <c r="C17" s="31" t="s">
        <v>2999</v>
      </c>
      <c r="D17" s="31" t="s">
        <v>2998</v>
      </c>
    </row>
    <row r="18" spans="1:4" ht="60" x14ac:dyDescent="0.25">
      <c r="A18" s="32" t="s">
        <v>441</v>
      </c>
      <c r="B18" s="31" t="s">
        <v>2996</v>
      </c>
      <c r="C18" s="31" t="s">
        <v>2999</v>
      </c>
      <c r="D18" s="31" t="s">
        <v>2998</v>
      </c>
    </row>
    <row r="19" spans="1:4" ht="60" x14ac:dyDescent="0.25">
      <c r="A19" s="32" t="s">
        <v>1383</v>
      </c>
      <c r="B19" s="31" t="s">
        <v>2996</v>
      </c>
      <c r="C19" s="31" t="s">
        <v>2999</v>
      </c>
      <c r="D19" s="31" t="s">
        <v>2998</v>
      </c>
    </row>
    <row r="20" spans="1:4" ht="60" x14ac:dyDescent="0.25">
      <c r="A20" s="32" t="s">
        <v>135</v>
      </c>
      <c r="B20" s="31" t="s">
        <v>2996</v>
      </c>
      <c r="C20" s="31" t="s">
        <v>2999</v>
      </c>
      <c r="D20" s="31" t="s">
        <v>2998</v>
      </c>
    </row>
    <row r="21" spans="1:4" ht="60" x14ac:dyDescent="0.25">
      <c r="A21" s="32" t="s">
        <v>2594</v>
      </c>
      <c r="B21" s="31" t="s">
        <v>2996</v>
      </c>
      <c r="C21" s="31" t="s">
        <v>2999</v>
      </c>
      <c r="D21" s="31" t="s">
        <v>2998</v>
      </c>
    </row>
    <row r="22" spans="1:4" ht="60" x14ac:dyDescent="0.25">
      <c r="A22" s="32" t="s">
        <v>1969</v>
      </c>
      <c r="B22" s="31" t="s">
        <v>2996</v>
      </c>
      <c r="C22" s="31" t="s">
        <v>2999</v>
      </c>
      <c r="D22" s="31" t="s">
        <v>2998</v>
      </c>
    </row>
    <row r="23" spans="1:4" ht="60" x14ac:dyDescent="0.25">
      <c r="A23" s="32" t="s">
        <v>2548</v>
      </c>
      <c r="B23" s="31" t="s">
        <v>2996</v>
      </c>
      <c r="C23" s="31" t="s">
        <v>2999</v>
      </c>
      <c r="D23" s="31" t="s">
        <v>2998</v>
      </c>
    </row>
    <row r="24" spans="1:4" ht="60" x14ac:dyDescent="0.25">
      <c r="A24" s="32" t="s">
        <v>362</v>
      </c>
      <c r="B24" s="31" t="s">
        <v>2996</v>
      </c>
      <c r="C24" s="31" t="s">
        <v>2999</v>
      </c>
      <c r="D24" s="31" t="s">
        <v>2998</v>
      </c>
    </row>
    <row r="25" spans="1:4" ht="60" x14ac:dyDescent="0.25">
      <c r="A25" s="32" t="s">
        <v>885</v>
      </c>
      <c r="B25" s="31" t="s">
        <v>2996</v>
      </c>
      <c r="C25" s="31" t="s">
        <v>2999</v>
      </c>
      <c r="D25" s="31" t="s">
        <v>2998</v>
      </c>
    </row>
    <row r="26" spans="1:4" ht="60" x14ac:dyDescent="0.25">
      <c r="A26" s="32" t="s">
        <v>1631</v>
      </c>
      <c r="B26" s="31" t="s">
        <v>2996</v>
      </c>
      <c r="C26" s="31" t="s">
        <v>2999</v>
      </c>
      <c r="D26" s="31" t="s">
        <v>2998</v>
      </c>
    </row>
    <row r="27" spans="1:4" ht="60" x14ac:dyDescent="0.25">
      <c r="A27" s="32" t="s">
        <v>488</v>
      </c>
      <c r="B27" s="31" t="s">
        <v>2996</v>
      </c>
      <c r="C27" s="31" t="s">
        <v>2999</v>
      </c>
      <c r="D27" s="31" t="s">
        <v>2998</v>
      </c>
    </row>
    <row r="28" spans="1:4" ht="60" x14ac:dyDescent="0.25">
      <c r="A28" s="32" t="s">
        <v>696</v>
      </c>
      <c r="B28" s="31" t="s">
        <v>2996</v>
      </c>
      <c r="C28" s="31" t="s">
        <v>2999</v>
      </c>
      <c r="D28" s="31" t="s">
        <v>2998</v>
      </c>
    </row>
    <row r="29" spans="1:4" ht="60" x14ac:dyDescent="0.25">
      <c r="A29" s="32" t="s">
        <v>2905</v>
      </c>
      <c r="B29" s="31" t="s">
        <v>2996</v>
      </c>
      <c r="C29" s="31" t="s">
        <v>2999</v>
      </c>
      <c r="D29" s="31" t="s">
        <v>2998</v>
      </c>
    </row>
    <row r="30" spans="1:4" ht="60" x14ac:dyDescent="0.25">
      <c r="A30" s="32" t="s">
        <v>1692</v>
      </c>
      <c r="B30" s="31" t="s">
        <v>2996</v>
      </c>
      <c r="C30" s="31" t="s">
        <v>2999</v>
      </c>
      <c r="D30" s="31" t="s">
        <v>2998</v>
      </c>
    </row>
    <row r="31" spans="1:4" ht="60" x14ac:dyDescent="0.25">
      <c r="A31" s="32" t="s">
        <v>692</v>
      </c>
      <c r="B31" s="31" t="s">
        <v>2996</v>
      </c>
      <c r="C31" s="31" t="s">
        <v>2999</v>
      </c>
      <c r="D31" s="31" t="s">
        <v>2998</v>
      </c>
    </row>
    <row r="32" spans="1:4" ht="60" x14ac:dyDescent="0.25">
      <c r="A32" s="32" t="s">
        <v>1942</v>
      </c>
      <c r="B32" s="31" t="s">
        <v>2996</v>
      </c>
      <c r="C32" s="31" t="s">
        <v>2999</v>
      </c>
      <c r="D32" s="31" t="s">
        <v>2998</v>
      </c>
    </row>
    <row r="33" spans="1:4" ht="60" x14ac:dyDescent="0.25">
      <c r="A33" s="32" t="s">
        <v>289</v>
      </c>
      <c r="B33" s="31" t="s">
        <v>2996</v>
      </c>
      <c r="C33" s="31" t="s">
        <v>2999</v>
      </c>
      <c r="D33" s="31" t="s">
        <v>2998</v>
      </c>
    </row>
    <row r="34" spans="1:4" ht="60" x14ac:dyDescent="0.25">
      <c r="A34" s="32" t="s">
        <v>856</v>
      </c>
      <c r="B34" s="31" t="s">
        <v>2996</v>
      </c>
      <c r="C34" s="31" t="s">
        <v>2999</v>
      </c>
      <c r="D34" s="31" t="s">
        <v>2998</v>
      </c>
    </row>
    <row r="35" spans="1:4" ht="60" x14ac:dyDescent="0.25">
      <c r="A35" s="32" t="s">
        <v>511</v>
      </c>
      <c r="B35" s="31" t="s">
        <v>2996</v>
      </c>
      <c r="C35" s="31" t="s">
        <v>2999</v>
      </c>
      <c r="D35" s="31" t="s">
        <v>2998</v>
      </c>
    </row>
    <row r="36" spans="1:4" ht="60" x14ac:dyDescent="0.25">
      <c r="A36" s="32" t="s">
        <v>835</v>
      </c>
      <c r="B36" s="31" t="s">
        <v>2996</v>
      </c>
      <c r="C36" s="31" t="s">
        <v>2999</v>
      </c>
      <c r="D36" s="31" t="s">
        <v>2998</v>
      </c>
    </row>
    <row r="37" spans="1:4" ht="60" x14ac:dyDescent="0.25">
      <c r="A37" s="32" t="s">
        <v>1580</v>
      </c>
      <c r="B37" s="31" t="s">
        <v>2996</v>
      </c>
      <c r="C37" s="31" t="s">
        <v>2999</v>
      </c>
      <c r="D37" s="31" t="s">
        <v>2998</v>
      </c>
    </row>
    <row r="38" spans="1:4" ht="60" x14ac:dyDescent="0.25">
      <c r="A38" s="32" t="s">
        <v>1038</v>
      </c>
      <c r="B38" s="31" t="s">
        <v>2996</v>
      </c>
      <c r="C38" s="31" t="s">
        <v>2999</v>
      </c>
      <c r="D38" s="31" t="s">
        <v>2998</v>
      </c>
    </row>
    <row r="39" spans="1:4" ht="60" x14ac:dyDescent="0.25">
      <c r="A39" s="32" t="s">
        <v>921</v>
      </c>
      <c r="B39" s="31" t="s">
        <v>2996</v>
      </c>
      <c r="C39" s="31" t="s">
        <v>2999</v>
      </c>
      <c r="D39" s="31" t="s">
        <v>2998</v>
      </c>
    </row>
    <row r="40" spans="1:4" ht="60" x14ac:dyDescent="0.25">
      <c r="A40" s="32" t="s">
        <v>983</v>
      </c>
      <c r="B40" s="31" t="s">
        <v>2996</v>
      </c>
      <c r="C40" s="31" t="s">
        <v>2999</v>
      </c>
      <c r="D40" s="31" t="s">
        <v>2998</v>
      </c>
    </row>
    <row r="41" spans="1:4" ht="60" x14ac:dyDescent="0.25">
      <c r="A41" s="32" t="s">
        <v>2025</v>
      </c>
      <c r="B41" s="31" t="s">
        <v>2996</v>
      </c>
      <c r="C41" s="31" t="s">
        <v>2999</v>
      </c>
      <c r="D41" s="31" t="s">
        <v>2998</v>
      </c>
    </row>
    <row r="42" spans="1:4" ht="60" x14ac:dyDescent="0.25">
      <c r="A42" s="32" t="s">
        <v>1214</v>
      </c>
      <c r="B42" s="31" t="s">
        <v>2996</v>
      </c>
      <c r="C42" s="31" t="s">
        <v>2999</v>
      </c>
      <c r="D42" s="31" t="s">
        <v>2998</v>
      </c>
    </row>
    <row r="43" spans="1:4" ht="60" x14ac:dyDescent="0.25">
      <c r="A43" s="32" t="s">
        <v>1060</v>
      </c>
      <c r="B43" s="31" t="s">
        <v>2996</v>
      </c>
      <c r="C43" s="31" t="s">
        <v>2999</v>
      </c>
      <c r="D43" s="31" t="s">
        <v>2998</v>
      </c>
    </row>
    <row r="44" spans="1:4" ht="60" x14ac:dyDescent="0.25">
      <c r="A44" s="32" t="s">
        <v>822</v>
      </c>
      <c r="B44" s="31" t="s">
        <v>2996</v>
      </c>
      <c r="C44" s="31" t="s">
        <v>2999</v>
      </c>
      <c r="D44" s="31" t="s">
        <v>2998</v>
      </c>
    </row>
    <row r="45" spans="1:4" ht="60" x14ac:dyDescent="0.25">
      <c r="A45" s="32" t="s">
        <v>985</v>
      </c>
      <c r="B45" s="31" t="s">
        <v>2996</v>
      </c>
      <c r="C45" s="31" t="s">
        <v>2999</v>
      </c>
      <c r="D45" s="31" t="s">
        <v>2998</v>
      </c>
    </row>
    <row r="46" spans="1:4" ht="60" x14ac:dyDescent="0.25">
      <c r="A46" s="32" t="s">
        <v>2049</v>
      </c>
      <c r="B46" s="31" t="s">
        <v>2996</v>
      </c>
      <c r="C46" s="31" t="s">
        <v>2999</v>
      </c>
      <c r="D46" s="31" t="s">
        <v>2998</v>
      </c>
    </row>
    <row r="47" spans="1:4" ht="60" x14ac:dyDescent="0.25">
      <c r="A47" s="32" t="s">
        <v>357</v>
      </c>
      <c r="B47" s="31" t="s">
        <v>2996</v>
      </c>
      <c r="C47" s="31" t="s">
        <v>2999</v>
      </c>
      <c r="D47" s="31" t="s">
        <v>2998</v>
      </c>
    </row>
    <row r="48" spans="1:4" ht="60" x14ac:dyDescent="0.25">
      <c r="A48" s="32" t="s">
        <v>1689</v>
      </c>
      <c r="B48" s="31" t="s">
        <v>2996</v>
      </c>
      <c r="C48" s="31" t="s">
        <v>2999</v>
      </c>
      <c r="D48" s="31" t="s">
        <v>2998</v>
      </c>
    </row>
    <row r="49" spans="1:4" ht="60" x14ac:dyDescent="0.25">
      <c r="A49" s="32" t="s">
        <v>1529</v>
      </c>
      <c r="B49" s="31" t="s">
        <v>2996</v>
      </c>
      <c r="C49" s="31" t="s">
        <v>2999</v>
      </c>
      <c r="D49" s="31" t="s">
        <v>2998</v>
      </c>
    </row>
    <row r="50" spans="1:4" ht="60" x14ac:dyDescent="0.25">
      <c r="A50" s="32" t="s">
        <v>1317</v>
      </c>
      <c r="B50" s="31" t="s">
        <v>2996</v>
      </c>
      <c r="C50" s="31" t="s">
        <v>2999</v>
      </c>
      <c r="D50" s="31" t="s">
        <v>2998</v>
      </c>
    </row>
    <row r="51" spans="1:4" ht="60" x14ac:dyDescent="0.25">
      <c r="A51" s="32" t="s">
        <v>2749</v>
      </c>
      <c r="B51" s="31" t="s">
        <v>2996</v>
      </c>
      <c r="C51" s="31" t="s">
        <v>2999</v>
      </c>
      <c r="D51" s="31" t="s">
        <v>2998</v>
      </c>
    </row>
    <row r="52" spans="1:4" ht="60" x14ac:dyDescent="0.25">
      <c r="A52" s="32" t="s">
        <v>1361</v>
      </c>
      <c r="B52" s="31" t="s">
        <v>2996</v>
      </c>
      <c r="C52" s="31" t="s">
        <v>2999</v>
      </c>
      <c r="D52" s="31" t="s">
        <v>2998</v>
      </c>
    </row>
    <row r="53" spans="1:4" ht="60" x14ac:dyDescent="0.25">
      <c r="A53" s="32" t="s">
        <v>1766</v>
      </c>
      <c r="B53" s="31" t="s">
        <v>2996</v>
      </c>
      <c r="C53" s="31" t="s">
        <v>2999</v>
      </c>
      <c r="D53" s="31" t="s">
        <v>2998</v>
      </c>
    </row>
    <row r="54" spans="1:4" ht="60" x14ac:dyDescent="0.25">
      <c r="A54" s="32" t="s">
        <v>1935</v>
      </c>
      <c r="B54" s="31" t="s">
        <v>2996</v>
      </c>
      <c r="C54" s="31" t="s">
        <v>2999</v>
      </c>
      <c r="D54" s="31" t="s">
        <v>2998</v>
      </c>
    </row>
    <row r="55" spans="1:4" ht="60" x14ac:dyDescent="0.25">
      <c r="A55" s="32" t="s">
        <v>2379</v>
      </c>
      <c r="B55" s="31" t="s">
        <v>2996</v>
      </c>
      <c r="C55" s="31" t="s">
        <v>2999</v>
      </c>
      <c r="D55" s="31" t="s">
        <v>2998</v>
      </c>
    </row>
    <row r="56" spans="1:4" ht="60" x14ac:dyDescent="0.25">
      <c r="A56" s="32" t="s">
        <v>1343</v>
      </c>
      <c r="B56" s="31" t="s">
        <v>2996</v>
      </c>
      <c r="C56" s="31" t="s">
        <v>2999</v>
      </c>
      <c r="D56" s="31" t="s">
        <v>2998</v>
      </c>
    </row>
    <row r="57" spans="1:4" ht="60" x14ac:dyDescent="0.25">
      <c r="A57" s="32" t="s">
        <v>356</v>
      </c>
      <c r="B57" s="31" t="s">
        <v>2996</v>
      </c>
      <c r="C57" s="31" t="s">
        <v>2999</v>
      </c>
      <c r="D57" s="31" t="s">
        <v>2998</v>
      </c>
    </row>
    <row r="58" spans="1:4" ht="60" x14ac:dyDescent="0.25">
      <c r="A58" s="32" t="s">
        <v>483</v>
      </c>
      <c r="B58" s="31" t="s">
        <v>2996</v>
      </c>
      <c r="C58" s="31" t="s">
        <v>2999</v>
      </c>
      <c r="D58" s="31" t="s">
        <v>2998</v>
      </c>
    </row>
    <row r="59" spans="1:4" ht="60" x14ac:dyDescent="0.25">
      <c r="A59" s="32" t="s">
        <v>939</v>
      </c>
      <c r="B59" s="31" t="s">
        <v>2996</v>
      </c>
      <c r="C59" s="31" t="s">
        <v>2999</v>
      </c>
      <c r="D59" s="31" t="s">
        <v>2998</v>
      </c>
    </row>
    <row r="60" spans="1:4" ht="60" x14ac:dyDescent="0.25">
      <c r="A60" s="32" t="s">
        <v>801</v>
      </c>
      <c r="B60" s="31" t="s">
        <v>2996</v>
      </c>
      <c r="C60" s="31" t="s">
        <v>2999</v>
      </c>
      <c r="D60" s="31" t="s">
        <v>2998</v>
      </c>
    </row>
    <row r="61" spans="1:4" ht="60" x14ac:dyDescent="0.25">
      <c r="A61" s="32" t="s">
        <v>2878</v>
      </c>
      <c r="B61" s="31" t="s">
        <v>2996</v>
      </c>
      <c r="C61" s="31" t="s">
        <v>2999</v>
      </c>
      <c r="D61" s="31" t="s">
        <v>2998</v>
      </c>
    </row>
    <row r="62" spans="1:4" ht="60" x14ac:dyDescent="0.25">
      <c r="A62" s="32" t="s">
        <v>315</v>
      </c>
      <c r="B62" s="31" t="s">
        <v>2996</v>
      </c>
      <c r="C62" s="31" t="s">
        <v>2999</v>
      </c>
      <c r="D62" s="31" t="s">
        <v>2998</v>
      </c>
    </row>
    <row r="63" spans="1:4" ht="60" x14ac:dyDescent="0.25">
      <c r="A63" s="32" t="s">
        <v>2863</v>
      </c>
      <c r="B63" s="31" t="s">
        <v>2996</v>
      </c>
      <c r="C63" s="31" t="s">
        <v>2999</v>
      </c>
      <c r="D63" s="31" t="s">
        <v>2998</v>
      </c>
    </row>
    <row r="64" spans="1:4" ht="60" x14ac:dyDescent="0.25">
      <c r="A64" s="32" t="s">
        <v>1459</v>
      </c>
      <c r="B64" s="31" t="s">
        <v>2996</v>
      </c>
      <c r="C64" s="31" t="s">
        <v>2999</v>
      </c>
      <c r="D64" s="31" t="s">
        <v>2998</v>
      </c>
    </row>
    <row r="65" spans="1:4" ht="60" x14ac:dyDescent="0.25">
      <c r="A65" s="32" t="s">
        <v>588</v>
      </c>
      <c r="B65" s="31" t="s">
        <v>2996</v>
      </c>
      <c r="C65" s="31" t="s">
        <v>2999</v>
      </c>
      <c r="D65" s="31" t="s">
        <v>2998</v>
      </c>
    </row>
    <row r="66" spans="1:4" ht="60" x14ac:dyDescent="0.25">
      <c r="A66" s="32" t="s">
        <v>1643</v>
      </c>
      <c r="B66" s="31" t="s">
        <v>2996</v>
      </c>
      <c r="C66" s="31" t="s">
        <v>2999</v>
      </c>
      <c r="D66" s="31" t="s">
        <v>2998</v>
      </c>
    </row>
    <row r="67" spans="1:4" ht="60" x14ac:dyDescent="0.25">
      <c r="A67" s="32" t="s">
        <v>1849</v>
      </c>
      <c r="B67" s="31" t="s">
        <v>2996</v>
      </c>
      <c r="C67" s="31" t="s">
        <v>2999</v>
      </c>
      <c r="D67" s="31" t="s">
        <v>2998</v>
      </c>
    </row>
    <row r="68" spans="1:4" ht="60" x14ac:dyDescent="0.25">
      <c r="A68" s="32" t="s">
        <v>2586</v>
      </c>
      <c r="B68" s="31" t="s">
        <v>2996</v>
      </c>
      <c r="C68" s="31" t="s">
        <v>2999</v>
      </c>
      <c r="D68" s="31" t="s">
        <v>2998</v>
      </c>
    </row>
    <row r="69" spans="1:4" ht="60" x14ac:dyDescent="0.25">
      <c r="A69" s="32" t="s">
        <v>867</v>
      </c>
      <c r="B69" s="31" t="s">
        <v>2996</v>
      </c>
      <c r="C69" s="31" t="s">
        <v>2999</v>
      </c>
      <c r="D69" s="31" t="s">
        <v>2998</v>
      </c>
    </row>
    <row r="70" spans="1:4" ht="60" x14ac:dyDescent="0.25">
      <c r="A70" s="32" t="s">
        <v>2524</v>
      </c>
      <c r="B70" s="31" t="s">
        <v>2996</v>
      </c>
      <c r="C70" s="31" t="s">
        <v>2999</v>
      </c>
      <c r="D70" s="31" t="s">
        <v>2998</v>
      </c>
    </row>
    <row r="71" spans="1:4" ht="60" x14ac:dyDescent="0.25">
      <c r="A71" s="32" t="s">
        <v>2734</v>
      </c>
      <c r="B71" s="31" t="s">
        <v>2996</v>
      </c>
      <c r="C71" s="31" t="s">
        <v>2999</v>
      </c>
      <c r="D71" s="31" t="s">
        <v>2998</v>
      </c>
    </row>
    <row r="72" spans="1:4" ht="60" x14ac:dyDescent="0.25">
      <c r="A72" s="32" t="s">
        <v>680</v>
      </c>
      <c r="B72" s="31" t="s">
        <v>2996</v>
      </c>
      <c r="C72" s="31" t="s">
        <v>2999</v>
      </c>
      <c r="D72" s="31" t="s">
        <v>2998</v>
      </c>
    </row>
    <row r="73" spans="1:4" ht="60" x14ac:dyDescent="0.25">
      <c r="A73" s="32" t="s">
        <v>1646</v>
      </c>
      <c r="B73" s="31" t="s">
        <v>2996</v>
      </c>
      <c r="C73" s="31" t="s">
        <v>2999</v>
      </c>
      <c r="D73" s="31" t="s">
        <v>2998</v>
      </c>
    </row>
    <row r="74" spans="1:4" ht="60" x14ac:dyDescent="0.25">
      <c r="A74" s="32" t="s">
        <v>845</v>
      </c>
      <c r="B74" s="31" t="s">
        <v>2996</v>
      </c>
      <c r="C74" s="31" t="s">
        <v>2999</v>
      </c>
      <c r="D74" s="31" t="s">
        <v>2998</v>
      </c>
    </row>
    <row r="75" spans="1:4" ht="60" x14ac:dyDescent="0.25">
      <c r="A75" s="32" t="s">
        <v>847</v>
      </c>
      <c r="B75" s="31" t="s">
        <v>2996</v>
      </c>
      <c r="C75" s="31" t="s">
        <v>2999</v>
      </c>
      <c r="D75" s="31" t="s">
        <v>2998</v>
      </c>
    </row>
    <row r="76" spans="1:4" ht="60" x14ac:dyDescent="0.25">
      <c r="A76" s="32" t="s">
        <v>896</v>
      </c>
      <c r="B76" s="31" t="s">
        <v>2996</v>
      </c>
      <c r="C76" s="31" t="s">
        <v>2999</v>
      </c>
      <c r="D76" s="31" t="s">
        <v>2998</v>
      </c>
    </row>
    <row r="77" spans="1:4" ht="60" x14ac:dyDescent="0.25">
      <c r="A77" s="32" t="s">
        <v>565</v>
      </c>
      <c r="B77" s="31" t="s">
        <v>2996</v>
      </c>
      <c r="C77" s="31" t="s">
        <v>2999</v>
      </c>
      <c r="D77" s="31" t="s">
        <v>2998</v>
      </c>
    </row>
    <row r="78" spans="1:4" ht="60" x14ac:dyDescent="0.25">
      <c r="A78" s="32" t="s">
        <v>2236</v>
      </c>
      <c r="B78" s="31" t="s">
        <v>2996</v>
      </c>
      <c r="C78" s="31" t="s">
        <v>2999</v>
      </c>
      <c r="D78" s="31" t="s">
        <v>2998</v>
      </c>
    </row>
    <row r="79" spans="1:4" ht="60" x14ac:dyDescent="0.25">
      <c r="A79" s="32" t="s">
        <v>2753</v>
      </c>
      <c r="B79" s="31" t="s">
        <v>2996</v>
      </c>
      <c r="C79" s="31" t="s">
        <v>2999</v>
      </c>
      <c r="D79" s="31" t="s">
        <v>2998</v>
      </c>
    </row>
    <row r="80" spans="1:4" ht="60" x14ac:dyDescent="0.25">
      <c r="A80" s="32" t="s">
        <v>2703</v>
      </c>
      <c r="B80" s="31" t="s">
        <v>2996</v>
      </c>
      <c r="C80" s="31" t="s">
        <v>2999</v>
      </c>
      <c r="D80" s="31" t="s">
        <v>2998</v>
      </c>
    </row>
    <row r="81" spans="1:4" ht="60" x14ac:dyDescent="0.25">
      <c r="A81" s="32" t="s">
        <v>956</v>
      </c>
      <c r="B81" s="31" t="s">
        <v>2996</v>
      </c>
      <c r="C81" s="31" t="s">
        <v>2999</v>
      </c>
      <c r="D81" s="31" t="s">
        <v>2998</v>
      </c>
    </row>
    <row r="82" spans="1:4" ht="60" x14ac:dyDescent="0.25">
      <c r="A82" s="32" t="s">
        <v>442</v>
      </c>
      <c r="B82" s="31" t="s">
        <v>2996</v>
      </c>
      <c r="C82" s="31" t="s">
        <v>2999</v>
      </c>
      <c r="D82" s="31" t="s">
        <v>2998</v>
      </c>
    </row>
    <row r="83" spans="1:4" ht="60" x14ac:dyDescent="0.25">
      <c r="A83" s="32" t="s">
        <v>260</v>
      </c>
      <c r="B83" s="31" t="s">
        <v>2996</v>
      </c>
      <c r="C83" s="31" t="s">
        <v>2999</v>
      </c>
      <c r="D83" s="31" t="s">
        <v>2998</v>
      </c>
    </row>
    <row r="84" spans="1:4" ht="60" x14ac:dyDescent="0.25">
      <c r="A84" s="32" t="s">
        <v>254</v>
      </c>
      <c r="B84" s="31" t="s">
        <v>2996</v>
      </c>
      <c r="C84" s="31" t="s">
        <v>2999</v>
      </c>
      <c r="D84" s="31" t="s">
        <v>2998</v>
      </c>
    </row>
    <row r="85" spans="1:4" ht="60" x14ac:dyDescent="0.25">
      <c r="A85" s="32" t="s">
        <v>310</v>
      </c>
      <c r="B85" s="31" t="s">
        <v>2996</v>
      </c>
      <c r="C85" s="31" t="s">
        <v>2999</v>
      </c>
      <c r="D85" s="31" t="s">
        <v>2998</v>
      </c>
    </row>
    <row r="86" spans="1:4" ht="60" x14ac:dyDescent="0.25">
      <c r="A86" s="32" t="s">
        <v>774</v>
      </c>
      <c r="B86" s="31" t="s">
        <v>2996</v>
      </c>
      <c r="C86" s="31" t="s">
        <v>2999</v>
      </c>
      <c r="D86" s="31" t="s">
        <v>2998</v>
      </c>
    </row>
    <row r="87" spans="1:4" ht="60" x14ac:dyDescent="0.25">
      <c r="A87" s="32" t="s">
        <v>1683</v>
      </c>
      <c r="B87" s="31" t="s">
        <v>2996</v>
      </c>
      <c r="C87" s="31" t="s">
        <v>2999</v>
      </c>
      <c r="D87" s="31" t="s">
        <v>2998</v>
      </c>
    </row>
    <row r="88" spans="1:4" ht="60" x14ac:dyDescent="0.25">
      <c r="A88" s="32" t="s">
        <v>2908</v>
      </c>
      <c r="B88" s="31" t="s">
        <v>2996</v>
      </c>
      <c r="C88" s="31" t="s">
        <v>2999</v>
      </c>
      <c r="D88" s="31" t="s">
        <v>2998</v>
      </c>
    </row>
    <row r="89" spans="1:4" ht="60" x14ac:dyDescent="0.25">
      <c r="A89" s="32" t="s">
        <v>2033</v>
      </c>
      <c r="B89" s="31" t="s">
        <v>2996</v>
      </c>
      <c r="C89" s="31" t="s">
        <v>2999</v>
      </c>
      <c r="D89" s="31" t="s">
        <v>2998</v>
      </c>
    </row>
    <row r="90" spans="1:4" ht="60" x14ac:dyDescent="0.25">
      <c r="A90" s="32" t="s">
        <v>574</v>
      </c>
      <c r="B90" s="31" t="s">
        <v>2996</v>
      </c>
      <c r="C90" s="31" t="s">
        <v>2999</v>
      </c>
      <c r="D90" s="31" t="s">
        <v>2998</v>
      </c>
    </row>
    <row r="91" spans="1:4" ht="60" x14ac:dyDescent="0.25">
      <c r="A91" s="32" t="s">
        <v>2429</v>
      </c>
      <c r="B91" s="31" t="s">
        <v>2996</v>
      </c>
      <c r="C91" s="31" t="s">
        <v>2999</v>
      </c>
      <c r="D91" s="31" t="s">
        <v>2998</v>
      </c>
    </row>
    <row r="92" spans="1:4" ht="60" x14ac:dyDescent="0.25">
      <c r="A92" s="32" t="s">
        <v>2784</v>
      </c>
      <c r="B92" s="31" t="s">
        <v>2996</v>
      </c>
      <c r="C92" s="31" t="s">
        <v>2999</v>
      </c>
      <c r="D92" s="31" t="s">
        <v>2998</v>
      </c>
    </row>
    <row r="93" spans="1:4" ht="60" x14ac:dyDescent="0.25">
      <c r="A93" s="32" t="s">
        <v>506</v>
      </c>
      <c r="B93" s="31" t="s">
        <v>2996</v>
      </c>
      <c r="C93" s="31" t="s">
        <v>2999</v>
      </c>
      <c r="D93" s="31" t="s">
        <v>2998</v>
      </c>
    </row>
    <row r="94" spans="1:4" ht="60" x14ac:dyDescent="0.25">
      <c r="A94" s="32" t="s">
        <v>1071</v>
      </c>
      <c r="B94" s="31" t="s">
        <v>2996</v>
      </c>
      <c r="C94" s="31" t="s">
        <v>2999</v>
      </c>
      <c r="D94" s="31" t="s">
        <v>2998</v>
      </c>
    </row>
    <row r="95" spans="1:4" ht="60" x14ac:dyDescent="0.25">
      <c r="A95" s="32" t="s">
        <v>1088</v>
      </c>
      <c r="B95" s="31" t="s">
        <v>2996</v>
      </c>
      <c r="C95" s="31" t="s">
        <v>2999</v>
      </c>
      <c r="D95" s="31" t="s">
        <v>2998</v>
      </c>
    </row>
    <row r="96" spans="1:4" ht="60" x14ac:dyDescent="0.25">
      <c r="A96" s="32" t="s">
        <v>2215</v>
      </c>
      <c r="B96" s="31" t="s">
        <v>2996</v>
      </c>
      <c r="C96" s="31" t="s">
        <v>2999</v>
      </c>
      <c r="D96" s="31" t="s">
        <v>2998</v>
      </c>
    </row>
    <row r="97" spans="1:4" ht="60" x14ac:dyDescent="0.25">
      <c r="A97" s="32" t="s">
        <v>15</v>
      </c>
      <c r="B97" s="31" t="s">
        <v>2996</v>
      </c>
      <c r="C97" s="31" t="s">
        <v>2999</v>
      </c>
      <c r="D97" s="31" t="s">
        <v>2998</v>
      </c>
    </row>
    <row r="98" spans="1:4" ht="60" x14ac:dyDescent="0.25">
      <c r="A98" s="32" t="s">
        <v>1616</v>
      </c>
      <c r="B98" s="31" t="s">
        <v>2996</v>
      </c>
      <c r="C98" s="31" t="s">
        <v>2999</v>
      </c>
      <c r="D98" s="31" t="s">
        <v>2998</v>
      </c>
    </row>
    <row r="99" spans="1:4" ht="60" x14ac:dyDescent="0.25">
      <c r="A99" s="32" t="s">
        <v>1595</v>
      </c>
      <c r="B99" s="31" t="s">
        <v>2996</v>
      </c>
      <c r="C99" s="31" t="s">
        <v>2999</v>
      </c>
      <c r="D99" s="31" t="s">
        <v>2998</v>
      </c>
    </row>
    <row r="100" spans="1:4" ht="60" x14ac:dyDescent="0.25">
      <c r="A100" s="32" t="s">
        <v>361</v>
      </c>
      <c r="B100" s="31" t="s">
        <v>2996</v>
      </c>
      <c r="C100" s="31" t="s">
        <v>2999</v>
      </c>
      <c r="D100" s="31" t="s">
        <v>2998</v>
      </c>
    </row>
    <row r="101" spans="1:4" ht="60" x14ac:dyDescent="0.25">
      <c r="A101" s="32" t="s">
        <v>2751</v>
      </c>
      <c r="B101" s="31" t="s">
        <v>2996</v>
      </c>
      <c r="C101" s="31" t="s">
        <v>2999</v>
      </c>
      <c r="D101" s="31" t="s">
        <v>2998</v>
      </c>
    </row>
    <row r="102" spans="1:4" ht="60" x14ac:dyDescent="0.25">
      <c r="A102" s="32" t="s">
        <v>358</v>
      </c>
      <c r="B102" s="31" t="s">
        <v>2996</v>
      </c>
      <c r="C102" s="31" t="s">
        <v>2999</v>
      </c>
      <c r="D102" s="31" t="s">
        <v>2998</v>
      </c>
    </row>
    <row r="103" spans="1:4" ht="60" x14ac:dyDescent="0.25">
      <c r="A103" s="32" t="s">
        <v>1319</v>
      </c>
      <c r="B103" s="31" t="s">
        <v>2996</v>
      </c>
      <c r="C103" s="31" t="s">
        <v>2999</v>
      </c>
      <c r="D103" s="31" t="s">
        <v>2998</v>
      </c>
    </row>
    <row r="104" spans="1:4" ht="60" x14ac:dyDescent="0.25">
      <c r="A104" s="32" t="s">
        <v>301</v>
      </c>
      <c r="B104" s="31" t="s">
        <v>2996</v>
      </c>
      <c r="C104" s="31" t="s">
        <v>2999</v>
      </c>
      <c r="D104" s="31" t="s">
        <v>2998</v>
      </c>
    </row>
    <row r="105" spans="1:4" ht="60" x14ac:dyDescent="0.25">
      <c r="A105" s="32" t="s">
        <v>679</v>
      </c>
      <c r="B105" s="31" t="s">
        <v>2996</v>
      </c>
      <c r="C105" s="31" t="s">
        <v>2999</v>
      </c>
      <c r="D105" s="31" t="s">
        <v>2998</v>
      </c>
    </row>
    <row r="106" spans="1:4" ht="60" x14ac:dyDescent="0.25">
      <c r="A106" s="32" t="s">
        <v>2932</v>
      </c>
      <c r="B106" s="31" t="s">
        <v>2996</v>
      </c>
      <c r="C106" s="31" t="s">
        <v>2999</v>
      </c>
      <c r="D106" s="31" t="s">
        <v>2998</v>
      </c>
    </row>
    <row r="107" spans="1:4" ht="60" x14ac:dyDescent="0.25">
      <c r="A107" s="32" t="s">
        <v>2378</v>
      </c>
      <c r="B107" s="31" t="s">
        <v>2996</v>
      </c>
      <c r="C107" s="31" t="s">
        <v>2999</v>
      </c>
      <c r="D107" s="31" t="s">
        <v>2998</v>
      </c>
    </row>
    <row r="108" spans="1:4" ht="60" x14ac:dyDescent="0.25">
      <c r="A108" s="32" t="s">
        <v>842</v>
      </c>
      <c r="B108" s="31" t="s">
        <v>2996</v>
      </c>
      <c r="C108" s="31" t="s">
        <v>2999</v>
      </c>
      <c r="D108" s="31" t="s">
        <v>2998</v>
      </c>
    </row>
    <row r="109" spans="1:4" ht="60" x14ac:dyDescent="0.25">
      <c r="A109" s="32" t="s">
        <v>778</v>
      </c>
      <c r="B109" s="31" t="s">
        <v>2996</v>
      </c>
      <c r="C109" s="31" t="s">
        <v>2999</v>
      </c>
      <c r="D109" s="31" t="s">
        <v>2998</v>
      </c>
    </row>
    <row r="110" spans="1:4" ht="60" x14ac:dyDescent="0.25">
      <c r="A110" s="32" t="s">
        <v>1613</v>
      </c>
      <c r="B110" s="31" t="s">
        <v>2996</v>
      </c>
      <c r="C110" s="31" t="s">
        <v>2999</v>
      </c>
      <c r="D110" s="31" t="s">
        <v>2998</v>
      </c>
    </row>
    <row r="111" spans="1:4" ht="60" x14ac:dyDescent="0.25">
      <c r="A111" s="32" t="s">
        <v>693</v>
      </c>
      <c r="B111" s="31" t="s">
        <v>2996</v>
      </c>
      <c r="C111" s="31" t="s">
        <v>2999</v>
      </c>
      <c r="D111" s="31" t="s">
        <v>2998</v>
      </c>
    </row>
    <row r="112" spans="1:4" ht="60" x14ac:dyDescent="0.25">
      <c r="A112" s="32" t="s">
        <v>703</v>
      </c>
      <c r="B112" s="31" t="s">
        <v>2996</v>
      </c>
      <c r="C112" s="31" t="s">
        <v>2999</v>
      </c>
      <c r="D112" s="31" t="s">
        <v>2998</v>
      </c>
    </row>
    <row r="113" spans="1:4" ht="60" x14ac:dyDescent="0.25">
      <c r="A113" s="32" t="s">
        <v>1975</v>
      </c>
      <c r="B113" s="31" t="s">
        <v>2996</v>
      </c>
      <c r="C113" s="31" t="s">
        <v>2999</v>
      </c>
      <c r="D113" s="31" t="s">
        <v>2998</v>
      </c>
    </row>
    <row r="114" spans="1:4" ht="60" x14ac:dyDescent="0.25">
      <c r="A114" s="32" t="s">
        <v>57</v>
      </c>
      <c r="B114" s="31" t="s">
        <v>2996</v>
      </c>
      <c r="C114" s="31" t="s">
        <v>2999</v>
      </c>
      <c r="D114" s="31" t="s">
        <v>2998</v>
      </c>
    </row>
    <row r="115" spans="1:4" ht="60" x14ac:dyDescent="0.25">
      <c r="A115" s="32" t="s">
        <v>509</v>
      </c>
      <c r="B115" s="31" t="s">
        <v>2996</v>
      </c>
      <c r="C115" s="31" t="s">
        <v>2999</v>
      </c>
      <c r="D115" s="31" t="s">
        <v>2998</v>
      </c>
    </row>
    <row r="116" spans="1:4" ht="60" x14ac:dyDescent="0.25">
      <c r="A116" s="32" t="s">
        <v>1655</v>
      </c>
      <c r="B116" s="31" t="s">
        <v>2996</v>
      </c>
      <c r="C116" s="31" t="s">
        <v>2999</v>
      </c>
      <c r="D116" s="31" t="s">
        <v>2998</v>
      </c>
    </row>
    <row r="117" spans="1:4" ht="60" x14ac:dyDescent="0.25">
      <c r="A117" s="32" t="s">
        <v>2741</v>
      </c>
      <c r="B117" s="31" t="s">
        <v>2996</v>
      </c>
      <c r="C117" s="31" t="s">
        <v>2999</v>
      </c>
      <c r="D117" s="31" t="s">
        <v>2998</v>
      </c>
    </row>
    <row r="118" spans="1:4" ht="60" x14ac:dyDescent="0.25">
      <c r="A118" s="32" t="s">
        <v>140</v>
      </c>
      <c r="B118" s="31" t="s">
        <v>2996</v>
      </c>
      <c r="C118" s="31" t="s">
        <v>2999</v>
      </c>
      <c r="D118" s="31" t="s">
        <v>2998</v>
      </c>
    </row>
    <row r="119" spans="1:4" ht="60" x14ac:dyDescent="0.25">
      <c r="A119" s="32" t="s">
        <v>1412</v>
      </c>
      <c r="B119" s="31" t="s">
        <v>2996</v>
      </c>
      <c r="C119" s="31" t="s">
        <v>2999</v>
      </c>
      <c r="D119" s="31" t="s">
        <v>2998</v>
      </c>
    </row>
    <row r="120" spans="1:4" ht="60" x14ac:dyDescent="0.25">
      <c r="A120" s="32" t="s">
        <v>249</v>
      </c>
      <c r="B120" s="31" t="s">
        <v>2996</v>
      </c>
      <c r="C120" s="31" t="s">
        <v>2999</v>
      </c>
      <c r="D120" s="31" t="s">
        <v>2998</v>
      </c>
    </row>
    <row r="121" spans="1:4" ht="60" x14ac:dyDescent="0.25">
      <c r="A121" s="32" t="s">
        <v>1944</v>
      </c>
      <c r="B121" s="31" t="s">
        <v>2996</v>
      </c>
      <c r="C121" s="31" t="s">
        <v>2999</v>
      </c>
      <c r="D121" s="31" t="s">
        <v>2998</v>
      </c>
    </row>
    <row r="122" spans="1:4" ht="60" x14ac:dyDescent="0.25">
      <c r="A122" s="32" t="s">
        <v>990</v>
      </c>
      <c r="B122" s="31" t="s">
        <v>2996</v>
      </c>
      <c r="C122" s="31" t="s">
        <v>2999</v>
      </c>
      <c r="D122" s="31" t="s">
        <v>2998</v>
      </c>
    </row>
    <row r="123" spans="1:4" ht="60" x14ac:dyDescent="0.25">
      <c r="A123" s="32" t="s">
        <v>2929</v>
      </c>
      <c r="B123" s="31" t="s">
        <v>2996</v>
      </c>
      <c r="C123" s="31" t="s">
        <v>2999</v>
      </c>
      <c r="D123" s="31" t="s">
        <v>2998</v>
      </c>
    </row>
    <row r="124" spans="1:4" ht="60" x14ac:dyDescent="0.25">
      <c r="A124" s="32" t="s">
        <v>2866</v>
      </c>
      <c r="B124" s="31" t="s">
        <v>2996</v>
      </c>
      <c r="C124" s="31" t="s">
        <v>2999</v>
      </c>
      <c r="D124" s="31" t="s">
        <v>2998</v>
      </c>
    </row>
    <row r="125" spans="1:4" ht="60" x14ac:dyDescent="0.25">
      <c r="A125" s="32" t="s">
        <v>2828</v>
      </c>
      <c r="B125" s="31" t="s">
        <v>2996</v>
      </c>
      <c r="C125" s="31" t="s">
        <v>2999</v>
      </c>
      <c r="D125" s="31" t="s">
        <v>2998</v>
      </c>
    </row>
    <row r="126" spans="1:4" ht="60" x14ac:dyDescent="0.25">
      <c r="A126" s="32" t="s">
        <v>2408</v>
      </c>
      <c r="B126" s="31" t="s">
        <v>2996</v>
      </c>
      <c r="C126" s="31" t="s">
        <v>2999</v>
      </c>
      <c r="D126" s="31" t="s">
        <v>2998</v>
      </c>
    </row>
    <row r="127" spans="1:4" ht="60" x14ac:dyDescent="0.25">
      <c r="A127" s="32" t="s">
        <v>931</v>
      </c>
      <c r="B127" s="31" t="s">
        <v>2996</v>
      </c>
      <c r="C127" s="31" t="s">
        <v>2999</v>
      </c>
      <c r="D127" s="31" t="s">
        <v>2998</v>
      </c>
    </row>
    <row r="128" spans="1:4" ht="60" x14ac:dyDescent="0.25">
      <c r="A128" s="32" t="s">
        <v>819</v>
      </c>
      <c r="B128" s="31" t="s">
        <v>2996</v>
      </c>
      <c r="C128" s="31" t="s">
        <v>2999</v>
      </c>
      <c r="D128" s="31" t="s">
        <v>2998</v>
      </c>
    </row>
    <row r="129" spans="1:4" ht="60" x14ac:dyDescent="0.25">
      <c r="A129" s="32" t="s">
        <v>1075</v>
      </c>
      <c r="B129" s="31" t="s">
        <v>2996</v>
      </c>
      <c r="C129" s="31" t="s">
        <v>2999</v>
      </c>
      <c r="D129" s="31" t="s">
        <v>2998</v>
      </c>
    </row>
    <row r="130" spans="1:4" ht="60" x14ac:dyDescent="0.25">
      <c r="A130" s="32" t="s">
        <v>914</v>
      </c>
      <c r="B130" s="31" t="s">
        <v>2996</v>
      </c>
      <c r="C130" s="31" t="s">
        <v>2999</v>
      </c>
      <c r="D130" s="31" t="s">
        <v>2998</v>
      </c>
    </row>
    <row r="131" spans="1:4" ht="60" x14ac:dyDescent="0.25">
      <c r="A131" s="32" t="s">
        <v>944</v>
      </c>
      <c r="B131" s="31" t="s">
        <v>2996</v>
      </c>
      <c r="C131" s="31" t="s">
        <v>2999</v>
      </c>
      <c r="D131" s="31" t="s">
        <v>2998</v>
      </c>
    </row>
    <row r="132" spans="1:4" ht="60" x14ac:dyDescent="0.25">
      <c r="A132" s="32" t="s">
        <v>1011</v>
      </c>
      <c r="B132" s="31" t="s">
        <v>2996</v>
      </c>
      <c r="C132" s="31" t="s">
        <v>2999</v>
      </c>
      <c r="D132" s="31" t="s">
        <v>2998</v>
      </c>
    </row>
    <row r="133" spans="1:4" ht="60" x14ac:dyDescent="0.25">
      <c r="A133" s="32" t="s">
        <v>368</v>
      </c>
      <c r="B133" s="31" t="s">
        <v>2996</v>
      </c>
      <c r="C133" s="31" t="s">
        <v>2999</v>
      </c>
      <c r="D133" s="31" t="s">
        <v>2998</v>
      </c>
    </row>
    <row r="134" spans="1:4" ht="60" x14ac:dyDescent="0.25">
      <c r="A134" s="32" t="s">
        <v>125</v>
      </c>
      <c r="B134" s="31" t="s">
        <v>2996</v>
      </c>
      <c r="C134" s="31" t="s">
        <v>2999</v>
      </c>
      <c r="D134" s="31" t="s">
        <v>2998</v>
      </c>
    </row>
    <row r="135" spans="1:4" ht="60" x14ac:dyDescent="0.25">
      <c r="A135" s="32" t="s">
        <v>661</v>
      </c>
      <c r="B135" s="31" t="s">
        <v>2996</v>
      </c>
      <c r="C135" s="31" t="s">
        <v>2999</v>
      </c>
      <c r="D135" s="31" t="s">
        <v>2998</v>
      </c>
    </row>
    <row r="136" spans="1:4" ht="60" x14ac:dyDescent="0.25">
      <c r="A136" s="32" t="s">
        <v>1327</v>
      </c>
      <c r="B136" s="31" t="s">
        <v>2996</v>
      </c>
      <c r="C136" s="31" t="s">
        <v>2999</v>
      </c>
      <c r="D136" s="31" t="s">
        <v>2998</v>
      </c>
    </row>
    <row r="137" spans="1:4" ht="60" x14ac:dyDescent="0.25">
      <c r="A137" s="32" t="s">
        <v>941</v>
      </c>
      <c r="B137" s="31" t="s">
        <v>2996</v>
      </c>
      <c r="C137" s="31" t="s">
        <v>2999</v>
      </c>
      <c r="D137" s="31" t="s">
        <v>2998</v>
      </c>
    </row>
    <row r="138" spans="1:4" ht="60" x14ac:dyDescent="0.25">
      <c r="A138" s="32" t="s">
        <v>237</v>
      </c>
      <c r="B138" s="31" t="s">
        <v>2996</v>
      </c>
      <c r="C138" s="31" t="s">
        <v>2999</v>
      </c>
      <c r="D138" s="31" t="s">
        <v>2998</v>
      </c>
    </row>
    <row r="139" spans="1:4" ht="60" x14ac:dyDescent="0.25">
      <c r="A139" s="32" t="s">
        <v>648</v>
      </c>
      <c r="B139" s="31" t="s">
        <v>2996</v>
      </c>
      <c r="C139" s="31" t="s">
        <v>2999</v>
      </c>
      <c r="D139" s="31" t="s">
        <v>2998</v>
      </c>
    </row>
    <row r="140" spans="1:4" ht="60" x14ac:dyDescent="0.25">
      <c r="A140" s="32" t="s">
        <v>1601</v>
      </c>
      <c r="B140" s="31" t="s">
        <v>2996</v>
      </c>
      <c r="C140" s="31" t="s">
        <v>2999</v>
      </c>
      <c r="D140" s="31" t="s">
        <v>2998</v>
      </c>
    </row>
    <row r="141" spans="1:4" ht="60" x14ac:dyDescent="0.25">
      <c r="A141" s="32" t="s">
        <v>1954</v>
      </c>
      <c r="B141" s="31" t="s">
        <v>2996</v>
      </c>
      <c r="C141" s="31" t="s">
        <v>2999</v>
      </c>
      <c r="D141" s="31" t="s">
        <v>2998</v>
      </c>
    </row>
    <row r="142" spans="1:4" ht="60" x14ac:dyDescent="0.25">
      <c r="A142" s="32" t="s">
        <v>2637</v>
      </c>
      <c r="B142" s="31" t="s">
        <v>2996</v>
      </c>
      <c r="C142" s="31" t="s">
        <v>2999</v>
      </c>
      <c r="D142" s="31" t="s">
        <v>2998</v>
      </c>
    </row>
    <row r="143" spans="1:4" ht="60" x14ac:dyDescent="0.25">
      <c r="A143" s="32" t="s">
        <v>761</v>
      </c>
      <c r="B143" s="31" t="s">
        <v>2996</v>
      </c>
      <c r="C143" s="31" t="s">
        <v>2999</v>
      </c>
      <c r="D143" s="31" t="s">
        <v>2998</v>
      </c>
    </row>
    <row r="144" spans="1:4" ht="60" x14ac:dyDescent="0.25">
      <c r="A144" s="32" t="s">
        <v>685</v>
      </c>
      <c r="B144" s="31" t="s">
        <v>2996</v>
      </c>
      <c r="C144" s="31" t="s">
        <v>2999</v>
      </c>
      <c r="D144" s="31" t="s">
        <v>2998</v>
      </c>
    </row>
    <row r="145" spans="1:4" ht="60" x14ac:dyDescent="0.25">
      <c r="A145" s="32" t="s">
        <v>1677</v>
      </c>
      <c r="B145" s="31" t="s">
        <v>2996</v>
      </c>
      <c r="C145" s="31" t="s">
        <v>2999</v>
      </c>
      <c r="D145" s="31" t="s">
        <v>2998</v>
      </c>
    </row>
    <row r="146" spans="1:4" ht="60" x14ac:dyDescent="0.25">
      <c r="A146" s="32" t="s">
        <v>1667</v>
      </c>
      <c r="B146" s="31" t="s">
        <v>2996</v>
      </c>
      <c r="C146" s="31" t="s">
        <v>2999</v>
      </c>
      <c r="D146" s="31" t="s">
        <v>2998</v>
      </c>
    </row>
    <row r="147" spans="1:4" ht="60" x14ac:dyDescent="0.25">
      <c r="A147" s="32" t="s">
        <v>690</v>
      </c>
      <c r="B147" s="31" t="s">
        <v>2996</v>
      </c>
      <c r="C147" s="31" t="s">
        <v>2999</v>
      </c>
      <c r="D147" s="31" t="s">
        <v>2998</v>
      </c>
    </row>
    <row r="148" spans="1:4" ht="60" x14ac:dyDescent="0.25">
      <c r="A148" s="32" t="s">
        <v>757</v>
      </c>
      <c r="B148" s="31" t="s">
        <v>2996</v>
      </c>
      <c r="C148" s="31" t="s">
        <v>2999</v>
      </c>
      <c r="D148" s="31" t="s">
        <v>2998</v>
      </c>
    </row>
    <row r="149" spans="1:4" ht="60" x14ac:dyDescent="0.25">
      <c r="A149" s="32" t="s">
        <v>2619</v>
      </c>
      <c r="B149" s="31" t="s">
        <v>2996</v>
      </c>
      <c r="C149" s="31" t="s">
        <v>2999</v>
      </c>
      <c r="D149" s="31" t="s">
        <v>2998</v>
      </c>
    </row>
    <row r="150" spans="1:4" ht="60" x14ac:dyDescent="0.25">
      <c r="A150" s="32" t="s">
        <v>916</v>
      </c>
      <c r="B150" s="31" t="s">
        <v>2996</v>
      </c>
      <c r="C150" s="31" t="s">
        <v>2999</v>
      </c>
      <c r="D150" s="31" t="s">
        <v>2998</v>
      </c>
    </row>
    <row r="151" spans="1:4" ht="60" x14ac:dyDescent="0.25">
      <c r="A151" s="32" t="s">
        <v>1121</v>
      </c>
      <c r="B151" s="31" t="s">
        <v>2996</v>
      </c>
      <c r="C151" s="31" t="s">
        <v>2999</v>
      </c>
      <c r="D151" s="31" t="s">
        <v>2998</v>
      </c>
    </row>
    <row r="152" spans="1:4" ht="60" x14ac:dyDescent="0.25">
      <c r="A152" s="32" t="s">
        <v>639</v>
      </c>
      <c r="B152" s="31" t="s">
        <v>2996</v>
      </c>
      <c r="C152" s="31" t="s">
        <v>2999</v>
      </c>
      <c r="D152" s="31" t="s">
        <v>2998</v>
      </c>
    </row>
    <row r="153" spans="1:4" ht="60" x14ac:dyDescent="0.25">
      <c r="A153" s="32" t="s">
        <v>1173</v>
      </c>
      <c r="B153" s="31" t="s">
        <v>2996</v>
      </c>
      <c r="C153" s="31" t="s">
        <v>2999</v>
      </c>
      <c r="D153" s="31" t="s">
        <v>2998</v>
      </c>
    </row>
    <row r="154" spans="1:4" ht="60" x14ac:dyDescent="0.25">
      <c r="A154" s="32" t="s">
        <v>562</v>
      </c>
      <c r="B154" s="31" t="s">
        <v>2996</v>
      </c>
      <c r="C154" s="31" t="s">
        <v>2999</v>
      </c>
      <c r="D154" s="31" t="s">
        <v>2998</v>
      </c>
    </row>
    <row r="155" spans="1:4" ht="60" x14ac:dyDescent="0.25">
      <c r="A155" s="32" t="s">
        <v>611</v>
      </c>
      <c r="B155" s="31" t="s">
        <v>2996</v>
      </c>
      <c r="C155" s="31" t="s">
        <v>2999</v>
      </c>
      <c r="D155" s="31" t="s">
        <v>2998</v>
      </c>
    </row>
    <row r="156" spans="1:4" ht="60" x14ac:dyDescent="0.25">
      <c r="A156" s="32" t="s">
        <v>796</v>
      </c>
      <c r="B156" s="31" t="s">
        <v>2996</v>
      </c>
      <c r="C156" s="31" t="s">
        <v>2999</v>
      </c>
      <c r="D156" s="31" t="s">
        <v>2998</v>
      </c>
    </row>
    <row r="157" spans="1:4" ht="60" x14ac:dyDescent="0.25">
      <c r="A157" s="32" t="s">
        <v>1546</v>
      </c>
      <c r="B157" s="31" t="s">
        <v>2996</v>
      </c>
      <c r="C157" s="31" t="s">
        <v>2999</v>
      </c>
      <c r="D157" s="31" t="s">
        <v>2998</v>
      </c>
    </row>
    <row r="158" spans="1:4" ht="60" x14ac:dyDescent="0.25">
      <c r="A158" s="32" t="s">
        <v>852</v>
      </c>
      <c r="B158" s="31" t="s">
        <v>2996</v>
      </c>
      <c r="C158" s="31" t="s">
        <v>2999</v>
      </c>
      <c r="D158" s="31" t="s">
        <v>2998</v>
      </c>
    </row>
    <row r="159" spans="1:4" ht="60" x14ac:dyDescent="0.25">
      <c r="A159" s="32" t="s">
        <v>812</v>
      </c>
      <c r="B159" s="31" t="s">
        <v>2996</v>
      </c>
      <c r="C159" s="31" t="s">
        <v>2999</v>
      </c>
      <c r="D159" s="31" t="s">
        <v>2998</v>
      </c>
    </row>
    <row r="160" spans="1:4" ht="60" x14ac:dyDescent="0.25">
      <c r="A160" s="32" t="s">
        <v>849</v>
      </c>
      <c r="B160" s="31" t="s">
        <v>2996</v>
      </c>
      <c r="C160" s="31" t="s">
        <v>2999</v>
      </c>
      <c r="D160" s="31" t="s">
        <v>2998</v>
      </c>
    </row>
    <row r="161" spans="1:4" ht="60" x14ac:dyDescent="0.25">
      <c r="A161" s="32" t="s">
        <v>943</v>
      </c>
      <c r="B161" s="31" t="s">
        <v>2996</v>
      </c>
      <c r="C161" s="31" t="s">
        <v>2999</v>
      </c>
      <c r="D161" s="31" t="s">
        <v>2998</v>
      </c>
    </row>
    <row r="162" spans="1:4" ht="60" x14ac:dyDescent="0.25">
      <c r="A162" s="32" t="s">
        <v>2437</v>
      </c>
      <c r="B162" s="31" t="s">
        <v>2996</v>
      </c>
      <c r="C162" s="31" t="s">
        <v>2999</v>
      </c>
      <c r="D162" s="31" t="s">
        <v>2998</v>
      </c>
    </row>
    <row r="163" spans="1:4" ht="60" x14ac:dyDescent="0.25">
      <c r="A163" s="32" t="s">
        <v>1661</v>
      </c>
      <c r="B163" s="31" t="s">
        <v>2996</v>
      </c>
      <c r="C163" s="31" t="s">
        <v>2999</v>
      </c>
      <c r="D163" s="31" t="s">
        <v>2998</v>
      </c>
    </row>
    <row r="164" spans="1:4" ht="60" x14ac:dyDescent="0.25">
      <c r="A164" s="32" t="s">
        <v>1680</v>
      </c>
      <c r="B164" s="31" t="s">
        <v>2996</v>
      </c>
      <c r="C164" s="31" t="s">
        <v>2999</v>
      </c>
      <c r="D164" s="31" t="s">
        <v>2998</v>
      </c>
    </row>
    <row r="165" spans="1:4" ht="60" x14ac:dyDescent="0.25">
      <c r="A165" s="32" t="s">
        <v>1686</v>
      </c>
      <c r="B165" s="31" t="s">
        <v>2996</v>
      </c>
      <c r="C165" s="31" t="s">
        <v>2999</v>
      </c>
      <c r="D165" s="31" t="s">
        <v>2998</v>
      </c>
    </row>
    <row r="166" spans="1:4" ht="60" x14ac:dyDescent="0.25">
      <c r="A166" s="32" t="s">
        <v>1658</v>
      </c>
      <c r="B166" s="31" t="s">
        <v>2996</v>
      </c>
      <c r="C166" s="31" t="s">
        <v>2999</v>
      </c>
      <c r="D166" s="31" t="s">
        <v>2998</v>
      </c>
    </row>
    <row r="167" spans="1:4" ht="60" x14ac:dyDescent="0.25">
      <c r="A167" s="32" t="s">
        <v>1341</v>
      </c>
      <c r="B167" s="31" t="s">
        <v>2996</v>
      </c>
      <c r="C167" s="31" t="s">
        <v>2999</v>
      </c>
      <c r="D167" s="31" t="s">
        <v>2998</v>
      </c>
    </row>
    <row r="168" spans="1:4" ht="60" x14ac:dyDescent="0.25">
      <c r="A168" s="32" t="s">
        <v>246</v>
      </c>
      <c r="B168" s="31" t="s">
        <v>2996</v>
      </c>
      <c r="C168" s="31" t="s">
        <v>2999</v>
      </c>
      <c r="D168" s="31" t="s">
        <v>2998</v>
      </c>
    </row>
    <row r="169" spans="1:4" ht="60" x14ac:dyDescent="0.25">
      <c r="A169" s="32" t="s">
        <v>1764</v>
      </c>
      <c r="B169" s="31" t="s">
        <v>2996</v>
      </c>
      <c r="C169" s="31" t="s">
        <v>2999</v>
      </c>
      <c r="D169" s="31" t="s">
        <v>2998</v>
      </c>
    </row>
    <row r="170" spans="1:4" ht="60" x14ac:dyDescent="0.25">
      <c r="A170" s="32" t="s">
        <v>1921</v>
      </c>
      <c r="B170" s="31" t="s">
        <v>2996</v>
      </c>
      <c r="C170" s="31" t="s">
        <v>2999</v>
      </c>
      <c r="D170" s="31" t="s">
        <v>2998</v>
      </c>
    </row>
    <row r="171" spans="1:4" ht="60" x14ac:dyDescent="0.25">
      <c r="A171" s="32" t="s">
        <v>1124</v>
      </c>
      <c r="B171" s="31" t="s">
        <v>2996</v>
      </c>
      <c r="C171" s="31" t="s">
        <v>2999</v>
      </c>
      <c r="D171" s="31" t="s">
        <v>2998</v>
      </c>
    </row>
    <row r="172" spans="1:4" ht="60" x14ac:dyDescent="0.25">
      <c r="A172" s="32" t="s">
        <v>927</v>
      </c>
      <c r="B172" s="31" t="s">
        <v>2996</v>
      </c>
      <c r="C172" s="31" t="s">
        <v>2999</v>
      </c>
      <c r="D172" s="31" t="s">
        <v>2998</v>
      </c>
    </row>
    <row r="173" spans="1:4" ht="60" x14ac:dyDescent="0.25">
      <c r="A173" s="32" t="s">
        <v>276</v>
      </c>
      <c r="B173" s="31" t="s">
        <v>2996</v>
      </c>
      <c r="C173" s="31" t="s">
        <v>2999</v>
      </c>
      <c r="D173" s="31" t="s">
        <v>2998</v>
      </c>
    </row>
    <row r="174" spans="1:4" ht="60" x14ac:dyDescent="0.25">
      <c r="A174" s="32" t="s">
        <v>27</v>
      </c>
      <c r="B174" s="31" t="s">
        <v>2996</v>
      </c>
      <c r="C174" s="31" t="s">
        <v>2999</v>
      </c>
      <c r="D174" s="31" t="s">
        <v>2998</v>
      </c>
    </row>
    <row r="175" spans="1:4" ht="60" x14ac:dyDescent="0.25">
      <c r="A175" s="32" t="s">
        <v>1628</v>
      </c>
      <c r="B175" s="31" t="s">
        <v>2996</v>
      </c>
      <c r="C175" s="31" t="s">
        <v>2999</v>
      </c>
      <c r="D175" s="31" t="s">
        <v>2998</v>
      </c>
    </row>
    <row r="176" spans="1:4" ht="60" x14ac:dyDescent="0.25">
      <c r="A176" s="32" t="s">
        <v>129</v>
      </c>
      <c r="B176" s="31" t="s">
        <v>2996</v>
      </c>
      <c r="C176" s="31" t="s">
        <v>2999</v>
      </c>
      <c r="D176" s="31" t="s">
        <v>2998</v>
      </c>
    </row>
    <row r="177" spans="1:4" ht="60" x14ac:dyDescent="0.25">
      <c r="A177" s="32" t="s">
        <v>681</v>
      </c>
      <c r="B177" s="31" t="s">
        <v>2996</v>
      </c>
      <c r="C177" s="31" t="s">
        <v>2999</v>
      </c>
      <c r="D177" s="31" t="s">
        <v>2998</v>
      </c>
    </row>
    <row r="178" spans="1:4" ht="60" x14ac:dyDescent="0.25">
      <c r="A178" s="32" t="s">
        <v>313</v>
      </c>
      <c r="B178" s="31" t="s">
        <v>2996</v>
      </c>
      <c r="C178" s="31" t="s">
        <v>2999</v>
      </c>
      <c r="D178" s="31" t="s">
        <v>2998</v>
      </c>
    </row>
    <row r="179" spans="1:4" ht="60" x14ac:dyDescent="0.25">
      <c r="A179" s="32" t="s">
        <v>363</v>
      </c>
      <c r="B179" s="31" t="s">
        <v>2996</v>
      </c>
      <c r="C179" s="31" t="s">
        <v>2999</v>
      </c>
      <c r="D179" s="31" t="s">
        <v>2998</v>
      </c>
    </row>
    <row r="180" spans="1:4" ht="60" x14ac:dyDescent="0.25">
      <c r="A180" s="32" t="s">
        <v>2427</v>
      </c>
      <c r="B180" s="31" t="s">
        <v>2996</v>
      </c>
      <c r="C180" s="31" t="s">
        <v>2999</v>
      </c>
      <c r="D180" s="31" t="s">
        <v>2998</v>
      </c>
    </row>
    <row r="181" spans="1:4" ht="60" x14ac:dyDescent="0.25">
      <c r="A181" s="32" t="s">
        <v>2622</v>
      </c>
      <c r="B181" s="31" t="s">
        <v>2996</v>
      </c>
      <c r="C181" s="31" t="s">
        <v>2999</v>
      </c>
      <c r="D181" s="31" t="s">
        <v>2998</v>
      </c>
    </row>
    <row r="182" spans="1:4" ht="60" x14ac:dyDescent="0.25">
      <c r="A182" s="32" t="s">
        <v>1348</v>
      </c>
      <c r="B182" s="31" t="s">
        <v>2996</v>
      </c>
      <c r="C182" s="31" t="s">
        <v>2999</v>
      </c>
      <c r="D182" s="31" t="s">
        <v>2998</v>
      </c>
    </row>
    <row r="183" spans="1:4" ht="60" x14ac:dyDescent="0.25">
      <c r="A183" s="32" t="s">
        <v>2421</v>
      </c>
      <c r="B183" s="31" t="s">
        <v>2996</v>
      </c>
      <c r="C183" s="31" t="s">
        <v>2999</v>
      </c>
      <c r="D183" s="31" t="s">
        <v>2998</v>
      </c>
    </row>
    <row r="184" spans="1:4" ht="60" x14ac:dyDescent="0.25">
      <c r="A184" s="32" t="s">
        <v>522</v>
      </c>
      <c r="B184" s="31" t="s">
        <v>2996</v>
      </c>
      <c r="C184" s="31" t="s">
        <v>2999</v>
      </c>
      <c r="D184" s="31" t="s">
        <v>2998</v>
      </c>
    </row>
    <row r="185" spans="1:4" ht="60" x14ac:dyDescent="0.25">
      <c r="A185" s="32" t="s">
        <v>2885</v>
      </c>
      <c r="B185" s="31" t="s">
        <v>2996</v>
      </c>
      <c r="C185" s="31" t="s">
        <v>2999</v>
      </c>
      <c r="D185" s="31" t="s">
        <v>2998</v>
      </c>
    </row>
    <row r="186" spans="1:4" ht="60" x14ac:dyDescent="0.25">
      <c r="A186" s="32" t="s">
        <v>2020</v>
      </c>
      <c r="B186" s="31" t="s">
        <v>2996</v>
      </c>
      <c r="C186" s="31" t="s">
        <v>2999</v>
      </c>
      <c r="D186" s="31" t="s">
        <v>2998</v>
      </c>
    </row>
    <row r="187" spans="1:4" ht="60" x14ac:dyDescent="0.25">
      <c r="A187" s="32" t="s">
        <v>294</v>
      </c>
      <c r="B187" s="31" t="s">
        <v>2996</v>
      </c>
      <c r="C187" s="31" t="s">
        <v>2999</v>
      </c>
      <c r="D187" s="31" t="s">
        <v>2998</v>
      </c>
    </row>
    <row r="188" spans="1:4" ht="60" x14ac:dyDescent="0.25">
      <c r="A188" s="32" t="s">
        <v>1370</v>
      </c>
      <c r="B188" s="31" t="s">
        <v>2996</v>
      </c>
      <c r="C188" s="31" t="s">
        <v>2999</v>
      </c>
      <c r="D188" s="31" t="s">
        <v>2998</v>
      </c>
    </row>
    <row r="189" spans="1:4" ht="60" x14ac:dyDescent="0.25">
      <c r="A189" s="32" t="s">
        <v>903</v>
      </c>
      <c r="B189" s="31" t="s">
        <v>2996</v>
      </c>
      <c r="C189" s="31" t="s">
        <v>2999</v>
      </c>
      <c r="D189" s="31" t="s">
        <v>2998</v>
      </c>
    </row>
    <row r="190" spans="1:4" ht="60" x14ac:dyDescent="0.25">
      <c r="A190" s="32" t="s">
        <v>2832</v>
      </c>
      <c r="B190" s="31" t="s">
        <v>2996</v>
      </c>
      <c r="C190" s="31" t="s">
        <v>2999</v>
      </c>
      <c r="D190" s="31" t="s">
        <v>2998</v>
      </c>
    </row>
    <row r="191" spans="1:4" ht="60" x14ac:dyDescent="0.25">
      <c r="A191" s="32" t="s">
        <v>11</v>
      </c>
      <c r="B191" s="31" t="s">
        <v>2996</v>
      </c>
      <c r="C191" s="31" t="s">
        <v>2999</v>
      </c>
      <c r="D191" s="31" t="s">
        <v>2998</v>
      </c>
    </row>
    <row r="192" spans="1:4" ht="60" x14ac:dyDescent="0.25">
      <c r="A192" s="32" t="s">
        <v>946</v>
      </c>
      <c r="B192" s="31" t="s">
        <v>2996</v>
      </c>
      <c r="C192" s="31" t="s">
        <v>2999</v>
      </c>
      <c r="D192" s="31" t="s">
        <v>2998</v>
      </c>
    </row>
    <row r="193" spans="1:4" ht="60" x14ac:dyDescent="0.25">
      <c r="A193" s="32" t="s">
        <v>1022</v>
      </c>
      <c r="B193" s="31" t="s">
        <v>2996</v>
      </c>
      <c r="C193" s="31" t="s">
        <v>2999</v>
      </c>
      <c r="D193" s="31" t="s">
        <v>2998</v>
      </c>
    </row>
    <row r="194" spans="1:4" ht="60" x14ac:dyDescent="0.25">
      <c r="A194" s="32" t="s">
        <v>782</v>
      </c>
      <c r="B194" s="31" t="s">
        <v>2996</v>
      </c>
      <c r="C194" s="31" t="s">
        <v>2999</v>
      </c>
      <c r="D194" s="31" t="s">
        <v>2998</v>
      </c>
    </row>
    <row r="195" spans="1:4" ht="60" x14ac:dyDescent="0.25">
      <c r="A195" s="32" t="s">
        <v>1670</v>
      </c>
      <c r="B195" s="31" t="s">
        <v>2996</v>
      </c>
      <c r="C195" s="31" t="s">
        <v>2999</v>
      </c>
      <c r="D195" s="31" t="s">
        <v>2998</v>
      </c>
    </row>
    <row r="196" spans="1:4" ht="60" x14ac:dyDescent="0.25">
      <c r="A196" s="32" t="s">
        <v>955</v>
      </c>
      <c r="B196" s="31" t="s">
        <v>2996</v>
      </c>
      <c r="C196" s="31" t="s">
        <v>2999</v>
      </c>
      <c r="D196" s="31" t="s">
        <v>2998</v>
      </c>
    </row>
    <row r="197" spans="1:4" ht="60" x14ac:dyDescent="0.25">
      <c r="A197" s="32" t="s">
        <v>2728</v>
      </c>
      <c r="B197" s="31" t="s">
        <v>2996</v>
      </c>
      <c r="C197" s="31" t="s">
        <v>2999</v>
      </c>
      <c r="D197" s="31" t="s">
        <v>2998</v>
      </c>
    </row>
    <row r="198" spans="1:4" ht="60" x14ac:dyDescent="0.25">
      <c r="A198" s="32" t="s">
        <v>2869</v>
      </c>
      <c r="B198" s="31" t="s">
        <v>2996</v>
      </c>
      <c r="C198" s="31" t="s">
        <v>2999</v>
      </c>
      <c r="D198" s="31" t="s">
        <v>2998</v>
      </c>
    </row>
    <row r="199" spans="1:4" ht="60" x14ac:dyDescent="0.25">
      <c r="A199" s="32" t="s">
        <v>2393</v>
      </c>
      <c r="B199" s="31" t="s">
        <v>2996</v>
      </c>
      <c r="C199" s="31" t="s">
        <v>2999</v>
      </c>
      <c r="D199" s="31" t="s">
        <v>2998</v>
      </c>
    </row>
    <row r="200" spans="1:4" ht="60" x14ac:dyDescent="0.25">
      <c r="A200" s="32" t="s">
        <v>1354</v>
      </c>
      <c r="B200" s="31" t="s">
        <v>2996</v>
      </c>
      <c r="C200" s="31" t="s">
        <v>2999</v>
      </c>
      <c r="D200" s="31" t="s">
        <v>2998</v>
      </c>
    </row>
    <row r="201" spans="1:4" ht="60" x14ac:dyDescent="0.25">
      <c r="A201" s="32" t="s">
        <v>2354</v>
      </c>
      <c r="B201" s="31" t="s">
        <v>2996</v>
      </c>
      <c r="C201" s="31" t="s">
        <v>2999</v>
      </c>
      <c r="D201" s="31" t="s">
        <v>2998</v>
      </c>
    </row>
    <row r="202" spans="1:4" ht="60" x14ac:dyDescent="0.25">
      <c r="A202" s="32" t="s">
        <v>942</v>
      </c>
      <c r="B202" s="31" t="s">
        <v>2996</v>
      </c>
      <c r="C202" s="31" t="s">
        <v>2999</v>
      </c>
      <c r="D202" s="31" t="s">
        <v>2998</v>
      </c>
    </row>
    <row r="203" spans="1:4" ht="60" x14ac:dyDescent="0.25">
      <c r="A203" s="32" t="s">
        <v>808</v>
      </c>
      <c r="B203" s="31" t="s">
        <v>2996</v>
      </c>
      <c r="C203" s="31" t="s">
        <v>2999</v>
      </c>
      <c r="D203" s="31" t="s">
        <v>2998</v>
      </c>
    </row>
    <row r="204" spans="1:4" ht="60" x14ac:dyDescent="0.25">
      <c r="A204" s="32" t="s">
        <v>1007</v>
      </c>
      <c r="B204" s="31" t="s">
        <v>2996</v>
      </c>
      <c r="C204" s="31" t="s">
        <v>2999</v>
      </c>
      <c r="D204" s="31" t="s">
        <v>2998</v>
      </c>
    </row>
    <row r="205" spans="1:4" ht="60" x14ac:dyDescent="0.25">
      <c r="A205" s="32" t="s">
        <v>1991</v>
      </c>
      <c r="B205" s="31" t="s">
        <v>2996</v>
      </c>
      <c r="C205" s="31" t="s">
        <v>2999</v>
      </c>
      <c r="D205" s="31" t="s">
        <v>2998</v>
      </c>
    </row>
    <row r="206" spans="1:4" ht="60" x14ac:dyDescent="0.25">
      <c r="A206" s="32" t="s">
        <v>2044</v>
      </c>
      <c r="B206" s="31" t="s">
        <v>2996</v>
      </c>
      <c r="C206" s="31" t="s">
        <v>2999</v>
      </c>
      <c r="D206" s="31" t="s">
        <v>2998</v>
      </c>
    </row>
    <row r="207" spans="1:4" ht="60" x14ac:dyDescent="0.25">
      <c r="A207" s="32" t="s">
        <v>1036</v>
      </c>
      <c r="B207" s="31" t="s">
        <v>2996</v>
      </c>
      <c r="C207" s="31" t="s">
        <v>2999</v>
      </c>
      <c r="D207" s="31" t="s">
        <v>2998</v>
      </c>
    </row>
    <row r="208" spans="1:4" ht="60" x14ac:dyDescent="0.25">
      <c r="A208" s="32" t="s">
        <v>2537</v>
      </c>
      <c r="B208" s="31" t="s">
        <v>2996</v>
      </c>
      <c r="C208" s="31" t="s">
        <v>2999</v>
      </c>
      <c r="D208" s="31" t="s">
        <v>2998</v>
      </c>
    </row>
    <row r="209" spans="1:4" ht="60" x14ac:dyDescent="0.25">
      <c r="A209" s="32" t="s">
        <v>437</v>
      </c>
      <c r="B209" s="31" t="s">
        <v>2996</v>
      </c>
      <c r="C209" s="31" t="s">
        <v>2999</v>
      </c>
      <c r="D209" s="31" t="s">
        <v>2998</v>
      </c>
    </row>
    <row r="210" spans="1:4" ht="60" x14ac:dyDescent="0.25">
      <c r="A210" s="32" t="s">
        <v>2510</v>
      </c>
      <c r="B210" s="31" t="s">
        <v>2996</v>
      </c>
      <c r="C210" s="31" t="s">
        <v>2999</v>
      </c>
      <c r="D210" s="31" t="s">
        <v>2998</v>
      </c>
    </row>
    <row r="211" spans="1:4" ht="60" x14ac:dyDescent="0.25">
      <c r="A211" s="32" t="s">
        <v>911</v>
      </c>
      <c r="B211" s="31" t="s">
        <v>2996</v>
      </c>
      <c r="C211" s="31" t="s">
        <v>2999</v>
      </c>
      <c r="D211" s="31" t="s">
        <v>2998</v>
      </c>
    </row>
    <row r="212" spans="1:4" ht="60" x14ac:dyDescent="0.25">
      <c r="A212" s="32" t="s">
        <v>309</v>
      </c>
      <c r="B212" s="31" t="s">
        <v>2996</v>
      </c>
      <c r="C212" s="31" t="s">
        <v>2999</v>
      </c>
      <c r="D212" s="31" t="s">
        <v>2998</v>
      </c>
    </row>
    <row r="213" spans="1:4" ht="60" x14ac:dyDescent="0.25">
      <c r="A213" s="32" t="s">
        <v>243</v>
      </c>
      <c r="B213" s="31" t="s">
        <v>2996</v>
      </c>
      <c r="C213" s="31" t="s">
        <v>2999</v>
      </c>
      <c r="D213" s="31" t="s">
        <v>2998</v>
      </c>
    </row>
    <row r="214" spans="1:4" ht="60" x14ac:dyDescent="0.25">
      <c r="A214" s="32" t="s">
        <v>889</v>
      </c>
      <c r="B214" s="31" t="s">
        <v>2996</v>
      </c>
      <c r="C214" s="31" t="s">
        <v>2999</v>
      </c>
      <c r="D214" s="31" t="s">
        <v>2998</v>
      </c>
    </row>
    <row r="215" spans="1:4" ht="60" x14ac:dyDescent="0.25">
      <c r="A215" s="32" t="s">
        <v>898</v>
      </c>
      <c r="B215" s="31" t="s">
        <v>2996</v>
      </c>
      <c r="C215" s="31" t="s">
        <v>2999</v>
      </c>
      <c r="D215" s="31" t="s">
        <v>2998</v>
      </c>
    </row>
    <row r="216" spans="1:4" ht="60" x14ac:dyDescent="0.25">
      <c r="A216" s="32" t="s">
        <v>240</v>
      </c>
      <c r="B216" s="31" t="s">
        <v>2996</v>
      </c>
      <c r="C216" s="31" t="s">
        <v>2999</v>
      </c>
      <c r="D216" s="31" t="s">
        <v>2998</v>
      </c>
    </row>
    <row r="217" spans="1:4" ht="60" x14ac:dyDescent="0.25">
      <c r="A217" s="32" t="s">
        <v>262</v>
      </c>
      <c r="B217" s="31" t="s">
        <v>2996</v>
      </c>
      <c r="C217" s="31" t="s">
        <v>2999</v>
      </c>
      <c r="D217" s="31" t="s">
        <v>2998</v>
      </c>
    </row>
    <row r="218" spans="1:4" ht="60" x14ac:dyDescent="0.25">
      <c r="A218" s="32" t="s">
        <v>1566</v>
      </c>
      <c r="B218" s="31" t="s">
        <v>2996</v>
      </c>
      <c r="C218" s="31" t="s">
        <v>2999</v>
      </c>
      <c r="D218" s="31" t="s">
        <v>2998</v>
      </c>
    </row>
    <row r="219" spans="1:4" ht="60" x14ac:dyDescent="0.25">
      <c r="A219" s="32" t="s">
        <v>2685</v>
      </c>
      <c r="B219" s="31" t="s">
        <v>2996</v>
      </c>
      <c r="C219" s="31" t="s">
        <v>2999</v>
      </c>
      <c r="D219" s="31" t="s">
        <v>2998</v>
      </c>
    </row>
    <row r="220" spans="1:4" ht="60" x14ac:dyDescent="0.25">
      <c r="A220" s="32" t="s">
        <v>1397</v>
      </c>
      <c r="B220" s="31" t="s">
        <v>2996</v>
      </c>
      <c r="C220" s="31" t="s">
        <v>2999</v>
      </c>
      <c r="D220" s="31" t="s">
        <v>2998</v>
      </c>
    </row>
    <row r="221" spans="1:4" ht="60" x14ac:dyDescent="0.25">
      <c r="A221" s="32" t="s">
        <v>513</v>
      </c>
      <c r="B221" s="31" t="s">
        <v>2996</v>
      </c>
      <c r="C221" s="31" t="s">
        <v>2999</v>
      </c>
      <c r="D221" s="31" t="s">
        <v>2998</v>
      </c>
    </row>
    <row r="222" spans="1:4" ht="60" x14ac:dyDescent="0.25">
      <c r="A222" s="32" t="s">
        <v>2216</v>
      </c>
      <c r="B222" s="31" t="s">
        <v>2996</v>
      </c>
      <c r="C222" s="31" t="s">
        <v>2999</v>
      </c>
      <c r="D222" s="31" t="s">
        <v>2998</v>
      </c>
    </row>
    <row r="223" spans="1:4" ht="60" x14ac:dyDescent="0.25">
      <c r="A223" s="32" t="s">
        <v>543</v>
      </c>
      <c r="B223" s="31" t="s">
        <v>2996</v>
      </c>
      <c r="C223" s="31" t="s">
        <v>2999</v>
      </c>
      <c r="D223" s="31" t="s">
        <v>2998</v>
      </c>
    </row>
    <row r="224" spans="1:4" ht="60" x14ac:dyDescent="0.25">
      <c r="A224" s="32" t="s">
        <v>642</v>
      </c>
      <c r="B224" s="31" t="s">
        <v>2996</v>
      </c>
      <c r="C224" s="31" t="s">
        <v>2999</v>
      </c>
      <c r="D224" s="31" t="s">
        <v>2998</v>
      </c>
    </row>
    <row r="225" spans="1:4" ht="60" x14ac:dyDescent="0.25">
      <c r="A225" s="32" t="s">
        <v>710</v>
      </c>
      <c r="B225" s="31" t="s">
        <v>2996</v>
      </c>
      <c r="C225" s="31" t="s">
        <v>2999</v>
      </c>
      <c r="D225" s="31" t="s">
        <v>2998</v>
      </c>
    </row>
    <row r="226" spans="1:4" ht="60" x14ac:dyDescent="0.25">
      <c r="A226" s="32" t="s">
        <v>806</v>
      </c>
      <c r="B226" s="31" t="s">
        <v>2996</v>
      </c>
      <c r="C226" s="31" t="s">
        <v>2999</v>
      </c>
      <c r="D226" s="31" t="s">
        <v>2998</v>
      </c>
    </row>
    <row r="227" spans="1:4" ht="60" x14ac:dyDescent="0.25">
      <c r="A227" s="32" t="s">
        <v>1534</v>
      </c>
      <c r="B227" s="31" t="s">
        <v>2996</v>
      </c>
      <c r="C227" s="31" t="s">
        <v>2999</v>
      </c>
      <c r="D227" s="31" t="s">
        <v>2998</v>
      </c>
    </row>
    <row r="228" spans="1:4" ht="60" x14ac:dyDescent="0.25">
      <c r="A228" s="32" t="s">
        <v>30</v>
      </c>
      <c r="B228" s="31" t="s">
        <v>2996</v>
      </c>
      <c r="C228" s="31" t="s">
        <v>2999</v>
      </c>
      <c r="D228" s="31" t="s">
        <v>2998</v>
      </c>
    </row>
    <row r="229" spans="1:4" ht="60" x14ac:dyDescent="0.25">
      <c r="A229" s="32" t="s">
        <v>951</v>
      </c>
      <c r="B229" s="31" t="s">
        <v>2996</v>
      </c>
      <c r="C229" s="31" t="s">
        <v>2999</v>
      </c>
      <c r="D229" s="31" t="s">
        <v>2998</v>
      </c>
    </row>
    <row r="230" spans="1:4" ht="60" x14ac:dyDescent="0.25">
      <c r="A230" s="32" t="s">
        <v>780</v>
      </c>
      <c r="B230" s="31" t="s">
        <v>2996</v>
      </c>
      <c r="C230" s="31" t="s">
        <v>2999</v>
      </c>
      <c r="D230" s="31" t="s">
        <v>2998</v>
      </c>
    </row>
    <row r="231" spans="1:4" ht="60" x14ac:dyDescent="0.25">
      <c r="A231" s="32" t="s">
        <v>1211</v>
      </c>
      <c r="B231" s="31" t="s">
        <v>2996</v>
      </c>
      <c r="C231" s="31" t="s">
        <v>2999</v>
      </c>
      <c r="D231" s="31" t="s">
        <v>2998</v>
      </c>
    </row>
    <row r="232" spans="1:4" ht="60" x14ac:dyDescent="0.25">
      <c r="A232" s="32" t="s">
        <v>1607</v>
      </c>
      <c r="B232" s="31" t="s">
        <v>2996</v>
      </c>
      <c r="C232" s="31" t="s">
        <v>2999</v>
      </c>
      <c r="D232" s="31" t="s">
        <v>2998</v>
      </c>
    </row>
    <row r="233" spans="1:4" ht="60" x14ac:dyDescent="0.25">
      <c r="A233" s="32" t="s">
        <v>1365</v>
      </c>
      <c r="B233" s="31" t="s">
        <v>2996</v>
      </c>
      <c r="C233" s="31" t="s">
        <v>2999</v>
      </c>
      <c r="D233" s="31" t="s">
        <v>2998</v>
      </c>
    </row>
    <row r="234" spans="1:4" ht="60" x14ac:dyDescent="0.25">
      <c r="A234" s="32" t="s">
        <v>1219</v>
      </c>
      <c r="B234" s="31" t="s">
        <v>2996</v>
      </c>
      <c r="C234" s="31" t="s">
        <v>2999</v>
      </c>
      <c r="D234" s="31" t="s">
        <v>2998</v>
      </c>
    </row>
    <row r="235" spans="1:4" ht="60" x14ac:dyDescent="0.25">
      <c r="A235" s="32" t="s">
        <v>2762</v>
      </c>
      <c r="B235" s="31" t="s">
        <v>2996</v>
      </c>
      <c r="C235" s="31" t="s">
        <v>2999</v>
      </c>
      <c r="D235" s="31" t="s">
        <v>2998</v>
      </c>
    </row>
    <row r="236" spans="1:4" ht="60" x14ac:dyDescent="0.25">
      <c r="A236" s="32" t="s">
        <v>1000</v>
      </c>
      <c r="B236" s="31" t="s">
        <v>2996</v>
      </c>
      <c r="C236" s="31" t="s">
        <v>2999</v>
      </c>
      <c r="D236" s="31" t="s">
        <v>2998</v>
      </c>
    </row>
    <row r="237" spans="1:4" ht="60" x14ac:dyDescent="0.25">
      <c r="A237" s="32" t="s">
        <v>968</v>
      </c>
      <c r="B237" s="31" t="s">
        <v>2996</v>
      </c>
      <c r="C237" s="31" t="s">
        <v>2999</v>
      </c>
      <c r="D237" s="31" t="s">
        <v>2998</v>
      </c>
    </row>
    <row r="238" spans="1:4" ht="60" x14ac:dyDescent="0.25">
      <c r="A238" s="32" t="s">
        <v>1394</v>
      </c>
      <c r="B238" s="31" t="s">
        <v>2996</v>
      </c>
      <c r="C238" s="31" t="s">
        <v>2999</v>
      </c>
      <c r="D238" s="31" t="s">
        <v>2998</v>
      </c>
    </row>
    <row r="239" spans="1:4" ht="60" x14ac:dyDescent="0.25">
      <c r="A239" s="32" t="s">
        <v>446</v>
      </c>
      <c r="B239" s="31" t="s">
        <v>2996</v>
      </c>
      <c r="C239" s="31" t="s">
        <v>2999</v>
      </c>
      <c r="D239" s="31" t="s">
        <v>2998</v>
      </c>
    </row>
    <row r="240" spans="1:4" ht="60" x14ac:dyDescent="0.25">
      <c r="A240" s="32" t="s">
        <v>1168</v>
      </c>
      <c r="B240" s="31" t="s">
        <v>2996</v>
      </c>
      <c r="C240" s="31" t="s">
        <v>2999</v>
      </c>
      <c r="D240" s="31" t="s">
        <v>2998</v>
      </c>
    </row>
    <row r="241" spans="1:4" ht="60" x14ac:dyDescent="0.25">
      <c r="A241" s="32" t="s">
        <v>711</v>
      </c>
      <c r="B241" s="31" t="s">
        <v>2996</v>
      </c>
      <c r="C241" s="31" t="s">
        <v>2999</v>
      </c>
      <c r="D241" s="31" t="s">
        <v>2998</v>
      </c>
    </row>
    <row r="242" spans="1:4" ht="60" x14ac:dyDescent="0.25">
      <c r="A242" s="32" t="s">
        <v>689</v>
      </c>
      <c r="B242" s="31" t="s">
        <v>2996</v>
      </c>
      <c r="C242" s="31" t="s">
        <v>2999</v>
      </c>
      <c r="D242" s="31" t="s">
        <v>2998</v>
      </c>
    </row>
    <row r="243" spans="1:4" ht="60" x14ac:dyDescent="0.25">
      <c r="A243" s="32" t="s">
        <v>906</v>
      </c>
      <c r="B243" s="31" t="s">
        <v>2996</v>
      </c>
      <c r="C243" s="31" t="s">
        <v>2999</v>
      </c>
      <c r="D243" s="31" t="s">
        <v>2998</v>
      </c>
    </row>
    <row r="244" spans="1:4" ht="60" x14ac:dyDescent="0.25">
      <c r="A244" s="32" t="s">
        <v>1928</v>
      </c>
      <c r="B244" s="31" t="s">
        <v>2996</v>
      </c>
      <c r="C244" s="31" t="s">
        <v>2999</v>
      </c>
      <c r="D244" s="31" t="s">
        <v>2998</v>
      </c>
    </row>
    <row r="245" spans="1:4" ht="60" x14ac:dyDescent="0.25">
      <c r="A245" s="32" t="s">
        <v>2924</v>
      </c>
      <c r="B245" s="31" t="s">
        <v>2996</v>
      </c>
      <c r="C245" s="31" t="s">
        <v>2999</v>
      </c>
      <c r="D245" s="31" t="s">
        <v>2998</v>
      </c>
    </row>
    <row r="246" spans="1:4" ht="60" x14ac:dyDescent="0.25">
      <c r="A246" s="32" t="s">
        <v>606</v>
      </c>
      <c r="B246" s="31" t="s">
        <v>2996</v>
      </c>
      <c r="C246" s="31" t="s">
        <v>2999</v>
      </c>
      <c r="D246" s="31" t="s">
        <v>2998</v>
      </c>
    </row>
    <row r="247" spans="1:4" ht="60" x14ac:dyDescent="0.25">
      <c r="A247" s="32" t="s">
        <v>440</v>
      </c>
      <c r="B247" s="31" t="s">
        <v>2996</v>
      </c>
      <c r="C247" s="31" t="s">
        <v>2999</v>
      </c>
      <c r="D247" s="31" t="s">
        <v>2998</v>
      </c>
    </row>
    <row r="248" spans="1:4" ht="60" x14ac:dyDescent="0.25">
      <c r="A248" s="32" t="s">
        <v>1335</v>
      </c>
      <c r="B248" s="31" t="s">
        <v>2996</v>
      </c>
      <c r="C248" s="31" t="s">
        <v>2999</v>
      </c>
      <c r="D248" s="31" t="s">
        <v>2998</v>
      </c>
    </row>
    <row r="249" spans="1:4" ht="60" x14ac:dyDescent="0.25">
      <c r="A249" s="32" t="s">
        <v>1560</v>
      </c>
      <c r="B249" s="31" t="s">
        <v>2996</v>
      </c>
      <c r="C249" s="31" t="s">
        <v>2999</v>
      </c>
      <c r="D249" s="31" t="s">
        <v>2998</v>
      </c>
    </row>
    <row r="250" spans="1:4" ht="60" x14ac:dyDescent="0.25">
      <c r="A250" s="32" t="s">
        <v>2850</v>
      </c>
      <c r="B250" s="31" t="s">
        <v>2996</v>
      </c>
      <c r="C250" s="31" t="s">
        <v>2999</v>
      </c>
      <c r="D250" s="31" t="s">
        <v>2998</v>
      </c>
    </row>
    <row r="251" spans="1:4" ht="60" x14ac:dyDescent="0.25">
      <c r="A251" s="32" t="s">
        <v>2830</v>
      </c>
      <c r="B251" s="31" t="s">
        <v>2996</v>
      </c>
      <c r="C251" s="31" t="s">
        <v>2999</v>
      </c>
      <c r="D251" s="31" t="s">
        <v>2998</v>
      </c>
    </row>
    <row r="252" spans="1:4" ht="60" x14ac:dyDescent="0.25">
      <c r="A252" s="32" t="s">
        <v>311</v>
      </c>
      <c r="B252" s="31" t="s">
        <v>2996</v>
      </c>
      <c r="C252" s="31" t="s">
        <v>2999</v>
      </c>
      <c r="D252" s="31" t="s">
        <v>2998</v>
      </c>
    </row>
    <row r="253" spans="1:4" ht="60" x14ac:dyDescent="0.25">
      <c r="A253" s="32" t="s">
        <v>846</v>
      </c>
      <c r="B253" s="31" t="s">
        <v>2996</v>
      </c>
      <c r="C253" s="31" t="s">
        <v>2999</v>
      </c>
      <c r="D253" s="31" t="s">
        <v>2998</v>
      </c>
    </row>
    <row r="254" spans="1:4" ht="60" x14ac:dyDescent="0.25">
      <c r="A254" s="32" t="s">
        <v>678</v>
      </c>
      <c r="B254" s="31" t="s">
        <v>2996</v>
      </c>
      <c r="C254" s="31" t="s">
        <v>2999</v>
      </c>
      <c r="D254" s="31" t="s">
        <v>2998</v>
      </c>
    </row>
    <row r="255" spans="1:4" ht="60" x14ac:dyDescent="0.25">
      <c r="A255" s="32" t="s">
        <v>957</v>
      </c>
      <c r="B255" s="31" t="s">
        <v>2996</v>
      </c>
      <c r="C255" s="31" t="s">
        <v>2999</v>
      </c>
      <c r="D255" s="31" t="s">
        <v>2998</v>
      </c>
    </row>
    <row r="256" spans="1:4" ht="60" x14ac:dyDescent="0.25">
      <c r="A256" s="32" t="s">
        <v>235</v>
      </c>
      <c r="B256" s="31" t="s">
        <v>2996</v>
      </c>
      <c r="C256" s="31" t="s">
        <v>2999</v>
      </c>
      <c r="D256" s="31" t="s">
        <v>2998</v>
      </c>
    </row>
    <row r="257" spans="1:4" ht="60" x14ac:dyDescent="0.25">
      <c r="A257" s="32" t="s">
        <v>500</v>
      </c>
      <c r="B257" s="31" t="s">
        <v>2996</v>
      </c>
      <c r="C257" s="31" t="s">
        <v>2999</v>
      </c>
      <c r="D257" s="31" t="s">
        <v>2998</v>
      </c>
    </row>
    <row r="258" spans="1:4" ht="60" x14ac:dyDescent="0.25">
      <c r="A258" s="32" t="s">
        <v>2771</v>
      </c>
      <c r="B258" s="31" t="s">
        <v>2996</v>
      </c>
      <c r="C258" s="31" t="s">
        <v>2999</v>
      </c>
      <c r="D258" s="31" t="s">
        <v>2998</v>
      </c>
    </row>
    <row r="259" spans="1:4" ht="60" x14ac:dyDescent="0.25">
      <c r="A259" s="32" t="s">
        <v>577</v>
      </c>
      <c r="B259" s="31" t="s">
        <v>2996</v>
      </c>
      <c r="C259" s="31" t="s">
        <v>2999</v>
      </c>
      <c r="D259" s="31" t="s">
        <v>2998</v>
      </c>
    </row>
    <row r="260" spans="1:4" ht="60" x14ac:dyDescent="0.25">
      <c r="A260" s="32" t="s">
        <v>388</v>
      </c>
      <c r="B260" s="31" t="s">
        <v>2996</v>
      </c>
      <c r="C260" s="31" t="s">
        <v>2999</v>
      </c>
      <c r="D260" s="31" t="s">
        <v>2998</v>
      </c>
    </row>
    <row r="261" spans="1:4" ht="60" x14ac:dyDescent="0.25">
      <c r="A261" s="32" t="s">
        <v>1610</v>
      </c>
      <c r="B261" s="31" t="s">
        <v>2996</v>
      </c>
      <c r="C261" s="31" t="s">
        <v>2999</v>
      </c>
      <c r="D261" s="31" t="s">
        <v>2998</v>
      </c>
    </row>
    <row r="262" spans="1:4" ht="60" x14ac:dyDescent="0.25">
      <c r="A262" s="32" t="s">
        <v>934</v>
      </c>
      <c r="B262" s="31" t="s">
        <v>2996</v>
      </c>
      <c r="C262" s="31" t="s">
        <v>2999</v>
      </c>
      <c r="D262" s="31" t="s">
        <v>2998</v>
      </c>
    </row>
    <row r="263" spans="1:4" ht="60" x14ac:dyDescent="0.25">
      <c r="A263" s="32" t="s">
        <v>1042</v>
      </c>
      <c r="B263" s="31" t="s">
        <v>2996</v>
      </c>
      <c r="C263" s="31" t="s">
        <v>2999</v>
      </c>
      <c r="D263" s="31" t="s">
        <v>2998</v>
      </c>
    </row>
    <row r="264" spans="1:4" ht="60" x14ac:dyDescent="0.25">
      <c r="A264" s="32" t="s">
        <v>2725</v>
      </c>
      <c r="B264" s="31" t="s">
        <v>2996</v>
      </c>
      <c r="C264" s="31" t="s">
        <v>2999</v>
      </c>
      <c r="D264" s="31" t="s">
        <v>2998</v>
      </c>
    </row>
    <row r="265" spans="1:4" ht="60" x14ac:dyDescent="0.25">
      <c r="A265" s="32" t="s">
        <v>515</v>
      </c>
      <c r="B265" s="31" t="s">
        <v>2996</v>
      </c>
      <c r="C265" s="31" t="s">
        <v>2999</v>
      </c>
      <c r="D265" s="31" t="s">
        <v>2998</v>
      </c>
    </row>
    <row r="266" spans="1:4" ht="60" x14ac:dyDescent="0.25">
      <c r="A266" s="32" t="s">
        <v>49</v>
      </c>
      <c r="B266" s="31" t="s">
        <v>2996</v>
      </c>
      <c r="C266" s="31" t="s">
        <v>2999</v>
      </c>
      <c r="D266" s="31" t="s">
        <v>2998</v>
      </c>
    </row>
    <row r="267" spans="1:4" ht="60" x14ac:dyDescent="0.25">
      <c r="A267" s="32" t="s">
        <v>117</v>
      </c>
      <c r="B267" s="31" t="s">
        <v>2996</v>
      </c>
      <c r="C267" s="31" t="s">
        <v>2999</v>
      </c>
      <c r="D267" s="31" t="s">
        <v>2998</v>
      </c>
    </row>
    <row r="268" spans="1:4" ht="60" x14ac:dyDescent="0.25">
      <c r="A268" s="32" t="s">
        <v>2214</v>
      </c>
      <c r="B268" s="31" t="s">
        <v>2996</v>
      </c>
      <c r="C268" s="31" t="s">
        <v>2999</v>
      </c>
      <c r="D268" s="31" t="s">
        <v>2998</v>
      </c>
    </row>
    <row r="269" spans="1:4" ht="60" x14ac:dyDescent="0.25">
      <c r="A269" s="32" t="s">
        <v>2603</v>
      </c>
      <c r="B269" s="31" t="s">
        <v>2996</v>
      </c>
      <c r="C269" s="31" t="s">
        <v>2999</v>
      </c>
      <c r="D269" s="31" t="s">
        <v>2998</v>
      </c>
    </row>
    <row r="270" spans="1:4" ht="60" x14ac:dyDescent="0.25">
      <c r="A270" s="32" t="s">
        <v>1930</v>
      </c>
      <c r="B270" s="31" t="s">
        <v>2996</v>
      </c>
      <c r="C270" s="31" t="s">
        <v>2999</v>
      </c>
      <c r="D270" s="31" t="s">
        <v>2998</v>
      </c>
    </row>
    <row r="271" spans="1:4" ht="60" x14ac:dyDescent="0.25">
      <c r="A271" s="32" t="s">
        <v>2473</v>
      </c>
      <c r="B271" s="31" t="s">
        <v>2996</v>
      </c>
      <c r="C271" s="31" t="s">
        <v>2999</v>
      </c>
      <c r="D271" s="31" t="s">
        <v>2998</v>
      </c>
    </row>
    <row r="272" spans="1:4" ht="60" x14ac:dyDescent="0.25">
      <c r="A272" s="32" t="s">
        <v>1139</v>
      </c>
      <c r="B272" s="31" t="s">
        <v>2996</v>
      </c>
      <c r="C272" s="31" t="s">
        <v>2999</v>
      </c>
      <c r="D272" s="31" t="s">
        <v>2998</v>
      </c>
    </row>
    <row r="273" spans="1:4" ht="60" x14ac:dyDescent="0.25">
      <c r="A273" s="32" t="s">
        <v>1082</v>
      </c>
      <c r="B273" s="31" t="s">
        <v>2996</v>
      </c>
      <c r="C273" s="31" t="s">
        <v>2999</v>
      </c>
      <c r="D273" s="31" t="s">
        <v>2998</v>
      </c>
    </row>
    <row r="274" spans="1:4" ht="60" x14ac:dyDescent="0.25">
      <c r="A274" s="32" t="s">
        <v>1222</v>
      </c>
      <c r="B274" s="31" t="s">
        <v>2996</v>
      </c>
      <c r="C274" s="31" t="s">
        <v>2999</v>
      </c>
      <c r="D274" s="31" t="s">
        <v>2998</v>
      </c>
    </row>
    <row r="275" spans="1:4" ht="60" x14ac:dyDescent="0.25">
      <c r="A275" s="32" t="s">
        <v>901</v>
      </c>
      <c r="B275" s="31" t="s">
        <v>2996</v>
      </c>
      <c r="C275" s="31" t="s">
        <v>2999</v>
      </c>
      <c r="D275" s="31" t="s">
        <v>2998</v>
      </c>
    </row>
    <row r="276" spans="1:4" ht="60" x14ac:dyDescent="0.25">
      <c r="A276" s="32" t="s">
        <v>2610</v>
      </c>
      <c r="B276" s="31" t="s">
        <v>2996</v>
      </c>
      <c r="C276" s="31" t="s">
        <v>2999</v>
      </c>
      <c r="D276" s="31" t="s">
        <v>2998</v>
      </c>
    </row>
    <row r="277" spans="1:4" ht="60" x14ac:dyDescent="0.25">
      <c r="A277" s="32" t="s">
        <v>830</v>
      </c>
      <c r="B277" s="31" t="s">
        <v>2996</v>
      </c>
      <c r="C277" s="31" t="s">
        <v>2999</v>
      </c>
      <c r="D277" s="31" t="s">
        <v>2998</v>
      </c>
    </row>
    <row r="278" spans="1:4" ht="60" x14ac:dyDescent="0.25">
      <c r="A278" s="32" t="s">
        <v>2625</v>
      </c>
      <c r="B278" s="31" t="s">
        <v>2996</v>
      </c>
      <c r="C278" s="31" t="s">
        <v>2999</v>
      </c>
      <c r="D278" s="31" t="s">
        <v>2998</v>
      </c>
    </row>
    <row r="279" spans="1:4" ht="60" x14ac:dyDescent="0.25">
      <c r="A279" s="32" t="s">
        <v>1640</v>
      </c>
      <c r="B279" s="31" t="s">
        <v>2996</v>
      </c>
      <c r="C279" s="31" t="s">
        <v>2999</v>
      </c>
      <c r="D279" s="31" t="s">
        <v>2998</v>
      </c>
    </row>
    <row r="280" spans="1:4" ht="60" x14ac:dyDescent="0.25">
      <c r="A280" s="32" t="s">
        <v>950</v>
      </c>
      <c r="B280" s="31" t="s">
        <v>2996</v>
      </c>
      <c r="C280" s="31" t="s">
        <v>2999</v>
      </c>
      <c r="D280" s="31" t="s">
        <v>2998</v>
      </c>
    </row>
    <row r="281" spans="1:4" ht="60" x14ac:dyDescent="0.25">
      <c r="A281" s="32" t="s">
        <v>1926</v>
      </c>
      <c r="B281" s="31" t="s">
        <v>2996</v>
      </c>
      <c r="C281" s="31" t="s">
        <v>2999</v>
      </c>
      <c r="D281" s="31" t="s">
        <v>2998</v>
      </c>
    </row>
    <row r="282" spans="1:4" ht="60" x14ac:dyDescent="0.25">
      <c r="A282" s="32" t="s">
        <v>2856</v>
      </c>
      <c r="B282" s="31" t="s">
        <v>2996</v>
      </c>
      <c r="C282" s="31" t="s">
        <v>2999</v>
      </c>
      <c r="D282" s="31" t="s">
        <v>2998</v>
      </c>
    </row>
    <row r="283" spans="1:4" ht="60" x14ac:dyDescent="0.25">
      <c r="A283" s="32" t="s">
        <v>1473</v>
      </c>
      <c r="B283" s="31" t="s">
        <v>2996</v>
      </c>
      <c r="C283" s="31" t="s">
        <v>2999</v>
      </c>
      <c r="D283" s="31" t="s">
        <v>2998</v>
      </c>
    </row>
    <row r="284" spans="1:4" ht="60" x14ac:dyDescent="0.25">
      <c r="A284" s="32" t="s">
        <v>953</v>
      </c>
      <c r="B284" s="31" t="s">
        <v>2996</v>
      </c>
      <c r="C284" s="31" t="s">
        <v>2999</v>
      </c>
      <c r="D284" s="31" t="s">
        <v>2998</v>
      </c>
    </row>
    <row r="285" spans="1:4" ht="60" x14ac:dyDescent="0.25">
      <c r="A285" s="32" t="s">
        <v>307</v>
      </c>
      <c r="B285" s="31" t="s">
        <v>2996</v>
      </c>
      <c r="C285" s="31" t="s">
        <v>2999</v>
      </c>
      <c r="D285" s="31" t="s">
        <v>2998</v>
      </c>
    </row>
    <row r="286" spans="1:4" ht="60" x14ac:dyDescent="0.25">
      <c r="A286" s="32" t="s">
        <v>444</v>
      </c>
      <c r="B286" s="31" t="s">
        <v>2996</v>
      </c>
      <c r="C286" s="31" t="s">
        <v>2999</v>
      </c>
      <c r="D286" s="31" t="s">
        <v>2998</v>
      </c>
    </row>
    <row r="287" spans="1:4" ht="60" x14ac:dyDescent="0.25">
      <c r="A287" s="32" t="s">
        <v>2526</v>
      </c>
      <c r="B287" s="31" t="s">
        <v>2996</v>
      </c>
      <c r="C287" s="31" t="s">
        <v>2999</v>
      </c>
      <c r="D287" s="31" t="s">
        <v>2998</v>
      </c>
    </row>
    <row r="288" spans="1:4" ht="60" x14ac:dyDescent="0.25">
      <c r="A288" s="32" t="s">
        <v>1625</v>
      </c>
      <c r="B288" s="31" t="s">
        <v>2996</v>
      </c>
      <c r="C288" s="31" t="s">
        <v>2999</v>
      </c>
      <c r="D288" s="31" t="s">
        <v>2998</v>
      </c>
    </row>
    <row r="289" spans="1:4" ht="60" x14ac:dyDescent="0.25">
      <c r="A289" s="32" t="s">
        <v>2690</v>
      </c>
      <c r="B289" s="31" t="s">
        <v>2996</v>
      </c>
      <c r="C289" s="31" t="s">
        <v>2999</v>
      </c>
      <c r="D289" s="31" t="s">
        <v>2998</v>
      </c>
    </row>
    <row r="290" spans="1:4" ht="60" x14ac:dyDescent="0.25">
      <c r="A290" s="32" t="s">
        <v>1095</v>
      </c>
      <c r="B290" s="31" t="s">
        <v>2996</v>
      </c>
      <c r="C290" s="31" t="s">
        <v>2999</v>
      </c>
      <c r="D290" s="31" t="s">
        <v>2998</v>
      </c>
    </row>
    <row r="291" spans="1:4" ht="60" x14ac:dyDescent="0.25">
      <c r="A291" s="32" t="s">
        <v>970</v>
      </c>
      <c r="B291" s="31" t="s">
        <v>2996</v>
      </c>
      <c r="C291" s="31" t="s">
        <v>2999</v>
      </c>
      <c r="D291" s="31" t="s">
        <v>2998</v>
      </c>
    </row>
    <row r="292" spans="1:4" ht="60" x14ac:dyDescent="0.25">
      <c r="A292" s="32" t="s">
        <v>1379</v>
      </c>
      <c r="B292" s="31" t="s">
        <v>2996</v>
      </c>
      <c r="C292" s="31" t="s">
        <v>2999</v>
      </c>
      <c r="D292" s="31" t="s">
        <v>2998</v>
      </c>
    </row>
    <row r="293" spans="1:4" ht="60" x14ac:dyDescent="0.25">
      <c r="A293" s="32" t="s">
        <v>1774</v>
      </c>
      <c r="B293" s="31" t="s">
        <v>2996</v>
      </c>
      <c r="C293" s="31" t="s">
        <v>2999</v>
      </c>
      <c r="D293" s="31" t="s">
        <v>2998</v>
      </c>
    </row>
    <row r="294" spans="1:4" ht="60" x14ac:dyDescent="0.25">
      <c r="A294" s="32" t="s">
        <v>502</v>
      </c>
      <c r="B294" s="31" t="s">
        <v>2996</v>
      </c>
      <c r="C294" s="31" t="s">
        <v>2999</v>
      </c>
      <c r="D294" s="31" t="s">
        <v>2998</v>
      </c>
    </row>
    <row r="295" spans="1:4" ht="60" x14ac:dyDescent="0.25">
      <c r="A295" s="32" t="s">
        <v>1339</v>
      </c>
      <c r="B295" s="31" t="s">
        <v>2996</v>
      </c>
      <c r="C295" s="31" t="s">
        <v>2999</v>
      </c>
      <c r="D295" s="31" t="s">
        <v>2998</v>
      </c>
    </row>
    <row r="296" spans="1:4" ht="60" x14ac:dyDescent="0.25">
      <c r="A296" s="32" t="s">
        <v>1363</v>
      </c>
      <c r="B296" s="31" t="s">
        <v>2996</v>
      </c>
      <c r="C296" s="31" t="s">
        <v>2999</v>
      </c>
      <c r="D296" s="31" t="s">
        <v>2998</v>
      </c>
    </row>
    <row r="297" spans="1:4" ht="60" x14ac:dyDescent="0.25">
      <c r="A297" s="32" t="s">
        <v>2746</v>
      </c>
      <c r="B297" s="31" t="s">
        <v>2996</v>
      </c>
      <c r="C297" s="31" t="s">
        <v>2999</v>
      </c>
      <c r="D297" s="31" t="s">
        <v>2998</v>
      </c>
    </row>
    <row r="298" spans="1:4" ht="60" x14ac:dyDescent="0.25">
      <c r="A298" s="32" t="s">
        <v>2872</v>
      </c>
      <c r="B298" s="31" t="s">
        <v>2996</v>
      </c>
      <c r="C298" s="31" t="s">
        <v>2999</v>
      </c>
      <c r="D298" s="31" t="s">
        <v>2998</v>
      </c>
    </row>
    <row r="299" spans="1:4" ht="60" x14ac:dyDescent="0.25">
      <c r="A299" s="32" t="s">
        <v>894</v>
      </c>
      <c r="B299" s="31" t="s">
        <v>2996</v>
      </c>
      <c r="C299" s="31" t="s">
        <v>2999</v>
      </c>
      <c r="D299" s="31" t="s">
        <v>2998</v>
      </c>
    </row>
    <row r="300" spans="1:4" ht="60" x14ac:dyDescent="0.25">
      <c r="A300" s="32" t="s">
        <v>481</v>
      </c>
      <c r="B300" s="31" t="s">
        <v>2996</v>
      </c>
      <c r="C300" s="31" t="s">
        <v>2999</v>
      </c>
      <c r="D300" s="31" t="s">
        <v>2998</v>
      </c>
    </row>
    <row r="301" spans="1:4" ht="60" x14ac:dyDescent="0.25">
      <c r="A301" s="32" t="s">
        <v>940</v>
      </c>
      <c r="B301" s="31" t="s">
        <v>2996</v>
      </c>
      <c r="C301" s="31" t="s">
        <v>2999</v>
      </c>
      <c r="D301" s="31" t="s">
        <v>2998</v>
      </c>
    </row>
    <row r="302" spans="1:4" ht="60" x14ac:dyDescent="0.25">
      <c r="A302" s="32" t="s">
        <v>2935</v>
      </c>
      <c r="B302" s="31" t="s">
        <v>2996</v>
      </c>
      <c r="C302" s="31" t="s">
        <v>2999</v>
      </c>
      <c r="D302" s="31" t="s">
        <v>2998</v>
      </c>
    </row>
    <row r="303" spans="1:4" ht="60" x14ac:dyDescent="0.25">
      <c r="A303" s="32" t="s">
        <v>1202</v>
      </c>
      <c r="B303" s="31" t="s">
        <v>2996</v>
      </c>
      <c r="C303" s="31" t="s">
        <v>2999</v>
      </c>
      <c r="D303" s="31" t="s">
        <v>2998</v>
      </c>
    </row>
    <row r="304" spans="1:4" ht="60" x14ac:dyDescent="0.25">
      <c r="A304" s="32" t="s">
        <v>2515</v>
      </c>
      <c r="B304" s="31" t="s">
        <v>2996</v>
      </c>
      <c r="C304" s="31" t="s">
        <v>2999</v>
      </c>
      <c r="D304" s="31" t="s">
        <v>2998</v>
      </c>
    </row>
    <row r="305" spans="1:4" ht="60" x14ac:dyDescent="0.25">
      <c r="A305" s="32" t="s">
        <v>1337</v>
      </c>
      <c r="B305" s="31" t="s">
        <v>2996</v>
      </c>
      <c r="C305" s="31" t="s">
        <v>2999</v>
      </c>
      <c r="D305" s="31" t="s">
        <v>2998</v>
      </c>
    </row>
    <row r="306" spans="1:4" ht="60" x14ac:dyDescent="0.25">
      <c r="A306" s="32" t="s">
        <v>1346</v>
      </c>
      <c r="B306" s="31" t="s">
        <v>2996</v>
      </c>
      <c r="C306" s="31" t="s">
        <v>2999</v>
      </c>
      <c r="D306" s="31" t="s">
        <v>2998</v>
      </c>
    </row>
    <row r="307" spans="1:4" ht="60" x14ac:dyDescent="0.25">
      <c r="A307" s="32" t="s">
        <v>308</v>
      </c>
      <c r="B307" s="31" t="s">
        <v>2996</v>
      </c>
      <c r="C307" s="31" t="s">
        <v>2999</v>
      </c>
      <c r="D307" s="31" t="s">
        <v>2998</v>
      </c>
    </row>
    <row r="308" spans="1:4" ht="60" x14ac:dyDescent="0.25">
      <c r="A308" s="32" t="s">
        <v>1377</v>
      </c>
      <c r="B308" s="31" t="s">
        <v>2996</v>
      </c>
      <c r="C308" s="31" t="s">
        <v>2999</v>
      </c>
      <c r="D308" s="31" t="s">
        <v>2998</v>
      </c>
    </row>
    <row r="309" spans="1:4" ht="60" x14ac:dyDescent="0.25">
      <c r="A309" s="32" t="s">
        <v>880</v>
      </c>
      <c r="B309" s="31" t="s">
        <v>2996</v>
      </c>
      <c r="C309" s="31" t="s">
        <v>2999</v>
      </c>
      <c r="D309" s="31" t="s">
        <v>2998</v>
      </c>
    </row>
    <row r="310" spans="1:4" ht="60" x14ac:dyDescent="0.25">
      <c r="A310" s="32" t="s">
        <v>2588</v>
      </c>
      <c r="B310" s="31" t="s">
        <v>2996</v>
      </c>
      <c r="C310" s="31" t="s">
        <v>2999</v>
      </c>
      <c r="D310" s="31" t="s">
        <v>2998</v>
      </c>
    </row>
    <row r="311" spans="1:4" ht="60" x14ac:dyDescent="0.25">
      <c r="A311" s="32" t="s">
        <v>496</v>
      </c>
      <c r="B311" s="31" t="s">
        <v>2996</v>
      </c>
      <c r="C311" s="31" t="s">
        <v>2999</v>
      </c>
      <c r="D311" s="31" t="s">
        <v>2998</v>
      </c>
    </row>
    <row r="312" spans="1:4" ht="60" x14ac:dyDescent="0.25">
      <c r="A312" s="32" t="s">
        <v>2030</v>
      </c>
      <c r="B312" s="31" t="s">
        <v>2996</v>
      </c>
      <c r="C312" s="31" t="s">
        <v>2999</v>
      </c>
      <c r="D312" s="31" t="s">
        <v>2998</v>
      </c>
    </row>
    <row r="313" spans="1:4" ht="60" x14ac:dyDescent="0.25">
      <c r="A313" s="32" t="s">
        <v>2708</v>
      </c>
      <c r="B313" s="31" t="s">
        <v>2996</v>
      </c>
      <c r="C313" s="31" t="s">
        <v>2999</v>
      </c>
      <c r="D313" s="31" t="s">
        <v>2998</v>
      </c>
    </row>
    <row r="314" spans="1:4" ht="60" x14ac:dyDescent="0.25">
      <c r="A314" s="32" t="s">
        <v>650</v>
      </c>
      <c r="B314" s="31" t="s">
        <v>2996</v>
      </c>
      <c r="C314" s="31" t="s">
        <v>2999</v>
      </c>
      <c r="D314" s="31" t="s">
        <v>2998</v>
      </c>
    </row>
    <row r="315" spans="1:4" ht="60" x14ac:dyDescent="0.25">
      <c r="A315" s="32" t="s">
        <v>1649</v>
      </c>
      <c r="B315" s="31" t="s">
        <v>2996</v>
      </c>
      <c r="C315" s="31" t="s">
        <v>2999</v>
      </c>
      <c r="D315" s="31" t="s">
        <v>2998</v>
      </c>
    </row>
    <row r="316" spans="1:4" ht="60" x14ac:dyDescent="0.25">
      <c r="A316" s="32" t="s">
        <v>114</v>
      </c>
      <c r="B316" s="31" t="s">
        <v>2996</v>
      </c>
      <c r="C316" s="31" t="s">
        <v>2999</v>
      </c>
      <c r="D316" s="31" t="s">
        <v>2998</v>
      </c>
    </row>
    <row r="317" spans="1:4" ht="60" x14ac:dyDescent="0.25">
      <c r="A317" s="32" t="s">
        <v>1403</v>
      </c>
      <c r="B317" s="31" t="s">
        <v>2996</v>
      </c>
      <c r="C317" s="31" t="s">
        <v>2999</v>
      </c>
      <c r="D317" s="31" t="s">
        <v>2998</v>
      </c>
    </row>
    <row r="318" spans="1:4" ht="60" x14ac:dyDescent="0.25">
      <c r="A318" s="32" t="s">
        <v>290</v>
      </c>
      <c r="B318" s="31" t="s">
        <v>2996</v>
      </c>
      <c r="C318" s="31" t="s">
        <v>2999</v>
      </c>
      <c r="D318" s="31" t="s">
        <v>2998</v>
      </c>
    </row>
    <row r="319" spans="1:4" ht="60" x14ac:dyDescent="0.25">
      <c r="A319" s="32" t="s">
        <v>882</v>
      </c>
      <c r="B319" s="31" t="s">
        <v>2996</v>
      </c>
      <c r="C319" s="31" t="s">
        <v>2999</v>
      </c>
      <c r="D319" s="31" t="s">
        <v>2998</v>
      </c>
    </row>
    <row r="320" spans="1:4" ht="60" x14ac:dyDescent="0.25">
      <c r="A320" s="32" t="s">
        <v>1034</v>
      </c>
      <c r="B320" s="31" t="s">
        <v>2996</v>
      </c>
      <c r="C320" s="31" t="s">
        <v>2999</v>
      </c>
      <c r="D320" s="31" t="s">
        <v>2998</v>
      </c>
    </row>
    <row r="321" spans="1:4" ht="60" x14ac:dyDescent="0.25">
      <c r="A321" s="32" t="s">
        <v>2722</v>
      </c>
      <c r="B321" s="31" t="s">
        <v>2996</v>
      </c>
      <c r="C321" s="31" t="s">
        <v>2999</v>
      </c>
      <c r="D321" s="31" t="s">
        <v>2998</v>
      </c>
    </row>
    <row r="322" spans="1:4" ht="60" x14ac:dyDescent="0.25">
      <c r="A322" s="32" t="s">
        <v>1598</v>
      </c>
      <c r="B322" s="31" t="s">
        <v>2996</v>
      </c>
      <c r="C322" s="31" t="s">
        <v>2999</v>
      </c>
      <c r="D322" s="31" t="s">
        <v>2998</v>
      </c>
    </row>
    <row r="323" spans="1:4" ht="60" x14ac:dyDescent="0.25">
      <c r="A323" s="32" t="s">
        <v>2845</v>
      </c>
      <c r="B323" s="31" t="s">
        <v>2996</v>
      </c>
      <c r="C323" s="31" t="s">
        <v>2999</v>
      </c>
      <c r="D323" s="31" t="s">
        <v>2998</v>
      </c>
    </row>
    <row r="324" spans="1:4" ht="60" x14ac:dyDescent="0.25">
      <c r="A324" s="32" t="s">
        <v>805</v>
      </c>
      <c r="B324" s="31" t="s">
        <v>2996</v>
      </c>
      <c r="C324" s="31" t="s">
        <v>2999</v>
      </c>
      <c r="D324" s="31" t="s">
        <v>2998</v>
      </c>
    </row>
    <row r="325" spans="1:4" ht="60" x14ac:dyDescent="0.25">
      <c r="A325" s="32" t="s">
        <v>306</v>
      </c>
      <c r="B325" s="31" t="s">
        <v>2996</v>
      </c>
      <c r="C325" s="31" t="s">
        <v>2999</v>
      </c>
      <c r="D325" s="31" t="s">
        <v>2998</v>
      </c>
    </row>
    <row r="326" spans="1:4" ht="60" x14ac:dyDescent="0.25">
      <c r="A326" s="32" t="s">
        <v>305</v>
      </c>
      <c r="B326" s="31" t="s">
        <v>2996</v>
      </c>
      <c r="C326" s="31" t="s">
        <v>2999</v>
      </c>
      <c r="D326" s="31" t="s">
        <v>2998</v>
      </c>
    </row>
    <row r="327" spans="1:4" ht="60" x14ac:dyDescent="0.25">
      <c r="A327" s="32" t="s">
        <v>1759</v>
      </c>
      <c r="B327" s="31" t="s">
        <v>2996</v>
      </c>
      <c r="C327" s="31" t="s">
        <v>2999</v>
      </c>
      <c r="D327" s="31" t="s">
        <v>2998</v>
      </c>
    </row>
    <row r="328" spans="1:4" ht="60" x14ac:dyDescent="0.25">
      <c r="A328" s="32" t="s">
        <v>2667</v>
      </c>
      <c r="B328" s="31" t="s">
        <v>2996</v>
      </c>
      <c r="C328" s="31" t="s">
        <v>2999</v>
      </c>
      <c r="D328" s="31" t="s">
        <v>2998</v>
      </c>
    </row>
    <row r="329" spans="1:4" ht="60" x14ac:dyDescent="0.25">
      <c r="A329" s="32" t="s">
        <v>1634</v>
      </c>
      <c r="B329" s="31" t="s">
        <v>2996</v>
      </c>
      <c r="C329" s="31" t="s">
        <v>2999</v>
      </c>
      <c r="D329" s="31" t="s">
        <v>2998</v>
      </c>
    </row>
    <row r="330" spans="1:4" ht="60" x14ac:dyDescent="0.25">
      <c r="A330" s="32" t="s">
        <v>132</v>
      </c>
      <c r="B330" s="31" t="s">
        <v>2996</v>
      </c>
      <c r="C330" s="31" t="s">
        <v>2999</v>
      </c>
      <c r="D330" s="31" t="s">
        <v>2998</v>
      </c>
    </row>
    <row r="331" spans="1:4" ht="60" x14ac:dyDescent="0.25">
      <c r="A331" s="32" t="s">
        <v>753</v>
      </c>
      <c r="B331" s="31" t="s">
        <v>2996</v>
      </c>
      <c r="C331" s="31" t="s">
        <v>2999</v>
      </c>
      <c r="D331" s="31" t="s">
        <v>2998</v>
      </c>
    </row>
    <row r="332" spans="1:4" ht="60" x14ac:dyDescent="0.25">
      <c r="A332" s="32" t="s">
        <v>484</v>
      </c>
      <c r="B332" s="31" t="s">
        <v>2996</v>
      </c>
      <c r="C332" s="31" t="s">
        <v>2999</v>
      </c>
      <c r="D332" s="31" t="s">
        <v>2998</v>
      </c>
    </row>
    <row r="333" spans="1:4" ht="60" x14ac:dyDescent="0.25">
      <c r="A333" s="32" t="s">
        <v>2786</v>
      </c>
      <c r="B333" s="31" t="s">
        <v>2996</v>
      </c>
      <c r="C333" s="31" t="s">
        <v>2999</v>
      </c>
      <c r="D333" s="31" t="s">
        <v>2998</v>
      </c>
    </row>
    <row r="334" spans="1:4" ht="60" x14ac:dyDescent="0.25">
      <c r="A334" s="32" t="s">
        <v>1478</v>
      </c>
      <c r="B334" s="31" t="s">
        <v>2996</v>
      </c>
      <c r="C334" s="31" t="s">
        <v>2999</v>
      </c>
      <c r="D334" s="31" t="s">
        <v>2998</v>
      </c>
    </row>
    <row r="335" spans="1:4" ht="60" x14ac:dyDescent="0.25">
      <c r="A335" s="32" t="s">
        <v>1587</v>
      </c>
      <c r="B335" s="31" t="s">
        <v>2996</v>
      </c>
      <c r="C335" s="31" t="s">
        <v>2999</v>
      </c>
      <c r="D335" s="31" t="s">
        <v>2998</v>
      </c>
    </row>
    <row r="336" spans="1:4" ht="60" x14ac:dyDescent="0.25">
      <c r="A336" s="32" t="s">
        <v>1571</v>
      </c>
      <c r="B336" s="31" t="s">
        <v>2996</v>
      </c>
      <c r="C336" s="31" t="s">
        <v>2999</v>
      </c>
      <c r="D336" s="31" t="s">
        <v>2998</v>
      </c>
    </row>
    <row r="337" spans="1:4" ht="60" x14ac:dyDescent="0.25">
      <c r="A337" s="32" t="s">
        <v>1537</v>
      </c>
      <c r="B337" s="31" t="s">
        <v>2996</v>
      </c>
      <c r="C337" s="31" t="s">
        <v>2999</v>
      </c>
      <c r="D337" s="31" t="s">
        <v>2998</v>
      </c>
    </row>
    <row r="338" spans="1:4" ht="60" x14ac:dyDescent="0.25">
      <c r="A338" s="32" t="s">
        <v>1563</v>
      </c>
      <c r="B338" s="31" t="s">
        <v>2996</v>
      </c>
      <c r="C338" s="31" t="s">
        <v>2999</v>
      </c>
      <c r="D338" s="31" t="s">
        <v>2998</v>
      </c>
    </row>
    <row r="339" spans="1:4" ht="60" x14ac:dyDescent="0.25">
      <c r="A339" s="32" t="s">
        <v>913</v>
      </c>
      <c r="B339" s="31" t="s">
        <v>2996</v>
      </c>
      <c r="C339" s="31" t="s">
        <v>2999</v>
      </c>
      <c r="D339" s="31" t="s">
        <v>2998</v>
      </c>
    </row>
    <row r="340" spans="1:4" ht="60" x14ac:dyDescent="0.25">
      <c r="A340" s="32" t="s">
        <v>2551</v>
      </c>
      <c r="B340" s="31" t="s">
        <v>2996</v>
      </c>
      <c r="C340" s="31" t="s">
        <v>2999</v>
      </c>
      <c r="D340" s="31" t="s">
        <v>2998</v>
      </c>
    </row>
    <row r="341" spans="1:4" ht="60" x14ac:dyDescent="0.25">
      <c r="A341" s="32" t="s">
        <v>773</v>
      </c>
      <c r="B341" s="31" t="s">
        <v>2996</v>
      </c>
      <c r="C341" s="31" t="s">
        <v>2999</v>
      </c>
      <c r="D341" s="31" t="s">
        <v>2998</v>
      </c>
    </row>
    <row r="342" spans="1:4" ht="60" x14ac:dyDescent="0.25">
      <c r="A342" s="32" t="s">
        <v>2892</v>
      </c>
      <c r="B342" s="31" t="s">
        <v>2996</v>
      </c>
      <c r="C342" s="31" t="s">
        <v>2999</v>
      </c>
      <c r="D342" s="31" t="s">
        <v>2998</v>
      </c>
    </row>
    <row r="343" spans="1:4" ht="60" x14ac:dyDescent="0.25">
      <c r="A343" s="32" t="s">
        <v>503</v>
      </c>
      <c r="B343" s="31" t="s">
        <v>2996</v>
      </c>
      <c r="C343" s="31" t="s">
        <v>2999</v>
      </c>
      <c r="D343" s="31" t="s">
        <v>2998</v>
      </c>
    </row>
    <row r="344" spans="1:4" ht="60" x14ac:dyDescent="0.25">
      <c r="A344" s="32" t="s">
        <v>25</v>
      </c>
      <c r="B344" s="31" t="s">
        <v>2996</v>
      </c>
      <c r="C344" s="31" t="s">
        <v>2999</v>
      </c>
      <c r="D344" s="31" t="s">
        <v>2998</v>
      </c>
    </row>
    <row r="345" spans="1:4" ht="60" x14ac:dyDescent="0.25">
      <c r="A345" s="32" t="s">
        <v>64</v>
      </c>
      <c r="B345" s="31" t="s">
        <v>2996</v>
      </c>
      <c r="C345" s="31" t="s">
        <v>2999</v>
      </c>
      <c r="D345" s="31" t="s">
        <v>2998</v>
      </c>
    </row>
    <row r="346" spans="1:4" ht="60" x14ac:dyDescent="0.25">
      <c r="A346" s="32" t="s">
        <v>2351</v>
      </c>
      <c r="B346" s="31" t="s">
        <v>2996</v>
      </c>
      <c r="C346" s="31" t="s">
        <v>2999</v>
      </c>
      <c r="D346" s="31" t="s">
        <v>2998</v>
      </c>
    </row>
    <row r="347" spans="1:4" ht="60" x14ac:dyDescent="0.25">
      <c r="A347" s="32" t="s">
        <v>231</v>
      </c>
      <c r="B347" s="31" t="s">
        <v>2996</v>
      </c>
      <c r="C347" s="31" t="s">
        <v>2999</v>
      </c>
      <c r="D347" s="31" t="s">
        <v>2998</v>
      </c>
    </row>
    <row r="348" spans="1:4" ht="60" x14ac:dyDescent="0.25">
      <c r="A348" s="32" t="s">
        <v>2613</v>
      </c>
      <c r="B348" s="31" t="s">
        <v>2996</v>
      </c>
      <c r="C348" s="31" t="s">
        <v>2999</v>
      </c>
      <c r="D348" s="31" t="s">
        <v>2998</v>
      </c>
    </row>
    <row r="349" spans="1:4" ht="60" x14ac:dyDescent="0.25">
      <c r="A349" s="32" t="s">
        <v>2323</v>
      </c>
      <c r="B349" s="31" t="s">
        <v>2996</v>
      </c>
      <c r="C349" s="31" t="s">
        <v>2999</v>
      </c>
      <c r="D349" s="31" t="s">
        <v>2998</v>
      </c>
    </row>
    <row r="350" spans="1:4" ht="60" x14ac:dyDescent="0.25">
      <c r="A350" s="32" t="s">
        <v>504</v>
      </c>
      <c r="B350" s="31" t="s">
        <v>2996</v>
      </c>
      <c r="C350" s="31" t="s">
        <v>2999</v>
      </c>
      <c r="D350" s="31" t="s">
        <v>2998</v>
      </c>
    </row>
    <row r="351" spans="1:4" ht="60" x14ac:dyDescent="0.25">
      <c r="A351" s="32" t="s">
        <v>302</v>
      </c>
      <c r="B351" s="31" t="s">
        <v>2996</v>
      </c>
      <c r="C351" s="31" t="s">
        <v>2999</v>
      </c>
      <c r="D351" s="31" t="s">
        <v>2998</v>
      </c>
    </row>
    <row r="352" spans="1:4" ht="60" x14ac:dyDescent="0.25">
      <c r="A352" s="32" t="s">
        <v>1550</v>
      </c>
      <c r="B352" s="31" t="s">
        <v>2996</v>
      </c>
      <c r="C352" s="31" t="s">
        <v>2999</v>
      </c>
      <c r="D352" s="31" t="s">
        <v>2998</v>
      </c>
    </row>
    <row r="353" spans="1:4" ht="60" x14ac:dyDescent="0.25">
      <c r="A353" s="32" t="s">
        <v>1557</v>
      </c>
      <c r="B353" s="31" t="s">
        <v>2996</v>
      </c>
      <c r="C353" s="31" t="s">
        <v>2999</v>
      </c>
      <c r="D353" s="31" t="s">
        <v>2998</v>
      </c>
    </row>
    <row r="354" spans="1:4" ht="60" x14ac:dyDescent="0.25">
      <c r="A354" s="32" t="s">
        <v>1077</v>
      </c>
      <c r="B354" s="31" t="s">
        <v>2996</v>
      </c>
      <c r="C354" s="31" t="s">
        <v>2999</v>
      </c>
      <c r="D354" s="31" t="s">
        <v>2998</v>
      </c>
    </row>
    <row r="355" spans="1:4" ht="60" x14ac:dyDescent="0.25">
      <c r="A355" s="32" t="s">
        <v>2841</v>
      </c>
      <c r="B355" s="31" t="s">
        <v>2996</v>
      </c>
      <c r="C355" s="31" t="s">
        <v>2999</v>
      </c>
      <c r="D355" s="31" t="s">
        <v>2998</v>
      </c>
    </row>
    <row r="356" spans="1:4" ht="60" x14ac:dyDescent="0.25">
      <c r="A356" s="32" t="s">
        <v>1150</v>
      </c>
      <c r="B356" s="31" t="s">
        <v>2996</v>
      </c>
      <c r="C356" s="31" t="s">
        <v>2999</v>
      </c>
      <c r="D356" s="31" t="s">
        <v>2998</v>
      </c>
    </row>
    <row r="357" spans="1:4" ht="60" x14ac:dyDescent="0.25">
      <c r="A357" s="32" t="s">
        <v>312</v>
      </c>
      <c r="B357" s="31" t="s">
        <v>2996</v>
      </c>
      <c r="C357" s="31" t="s">
        <v>2999</v>
      </c>
      <c r="D357" s="31" t="s">
        <v>2998</v>
      </c>
    </row>
    <row r="358" spans="1:4" ht="60" x14ac:dyDescent="0.25">
      <c r="A358" s="32" t="s">
        <v>2463</v>
      </c>
      <c r="B358" s="31" t="s">
        <v>2996</v>
      </c>
      <c r="C358" s="31" t="s">
        <v>2999</v>
      </c>
      <c r="D358" s="31" t="s">
        <v>2998</v>
      </c>
    </row>
    <row r="359" spans="1:4" ht="60" x14ac:dyDescent="0.25">
      <c r="A359" s="32" t="s">
        <v>2600</v>
      </c>
      <c r="B359" s="31" t="s">
        <v>2996</v>
      </c>
      <c r="C359" s="31" t="s">
        <v>2999</v>
      </c>
      <c r="D359" s="31" t="s">
        <v>2998</v>
      </c>
    </row>
    <row r="360" spans="1:4" ht="60" x14ac:dyDescent="0.25">
      <c r="A360" s="32" t="s">
        <v>706</v>
      </c>
      <c r="B360" s="31" t="s">
        <v>2996</v>
      </c>
      <c r="C360" s="31" t="s">
        <v>2999</v>
      </c>
      <c r="D360" s="31" t="s">
        <v>2998</v>
      </c>
    </row>
    <row r="361" spans="1:4" ht="60" x14ac:dyDescent="0.25">
      <c r="A361" s="32" t="s">
        <v>2616</v>
      </c>
      <c r="B361" s="31" t="s">
        <v>2996</v>
      </c>
      <c r="C361" s="31" t="s">
        <v>2999</v>
      </c>
      <c r="D361" s="31" t="s">
        <v>2998</v>
      </c>
    </row>
    <row r="362" spans="1:4" ht="60" x14ac:dyDescent="0.25">
      <c r="A362" s="32" t="s">
        <v>359</v>
      </c>
      <c r="B362" s="31" t="s">
        <v>2996</v>
      </c>
      <c r="C362" s="31" t="s">
        <v>2999</v>
      </c>
      <c r="D362" s="31" t="s">
        <v>2998</v>
      </c>
    </row>
    <row r="363" spans="1:4" ht="60" x14ac:dyDescent="0.25">
      <c r="A363" s="32" t="s">
        <v>1948</v>
      </c>
      <c r="B363" s="31" t="s">
        <v>2996</v>
      </c>
      <c r="C363" s="31" t="s">
        <v>2999</v>
      </c>
      <c r="D363" s="31" t="s">
        <v>2998</v>
      </c>
    </row>
    <row r="364" spans="1:4" ht="60" x14ac:dyDescent="0.25">
      <c r="A364" s="32" t="s">
        <v>826</v>
      </c>
      <c r="B364" s="31" t="s">
        <v>2996</v>
      </c>
      <c r="C364" s="31" t="s">
        <v>2999</v>
      </c>
      <c r="D364" s="31" t="s">
        <v>2998</v>
      </c>
    </row>
    <row r="365" spans="1:4" ht="60" x14ac:dyDescent="0.25">
      <c r="A365" s="32" t="s">
        <v>1940</v>
      </c>
      <c r="B365" s="31" t="s">
        <v>2996</v>
      </c>
      <c r="C365" s="31" t="s">
        <v>2999</v>
      </c>
      <c r="D365" s="31" t="s">
        <v>2998</v>
      </c>
    </row>
    <row r="366" spans="1:4" ht="60" x14ac:dyDescent="0.25">
      <c r="A366" s="32" t="s">
        <v>1590</v>
      </c>
      <c r="B366" s="31" t="s">
        <v>2996</v>
      </c>
      <c r="C366" s="31" t="s">
        <v>2999</v>
      </c>
      <c r="D366" s="31" t="s">
        <v>2998</v>
      </c>
    </row>
    <row r="367" spans="1:4" ht="60" x14ac:dyDescent="0.25">
      <c r="A367" s="32" t="s">
        <v>2743</v>
      </c>
      <c r="B367" s="31" t="s">
        <v>2996</v>
      </c>
      <c r="C367" s="31" t="s">
        <v>2999</v>
      </c>
      <c r="D367" s="31" t="s">
        <v>2998</v>
      </c>
    </row>
    <row r="368" spans="1:4" ht="60" x14ac:dyDescent="0.25">
      <c r="A368" s="32" t="s">
        <v>2674</v>
      </c>
      <c r="B368" s="31" t="s">
        <v>2996</v>
      </c>
      <c r="C368" s="31" t="s">
        <v>2999</v>
      </c>
      <c r="D368" s="31" t="s">
        <v>2998</v>
      </c>
    </row>
    <row r="369" spans="1:4" ht="60" x14ac:dyDescent="0.25">
      <c r="A369" s="32" t="s">
        <v>1749</v>
      </c>
      <c r="B369" s="31" t="s">
        <v>2996</v>
      </c>
      <c r="C369" s="31" t="s">
        <v>2999</v>
      </c>
      <c r="D369" s="31" t="s">
        <v>2998</v>
      </c>
    </row>
    <row r="370" spans="1:4" ht="60" x14ac:dyDescent="0.25">
      <c r="A370" s="32" t="s">
        <v>314</v>
      </c>
      <c r="B370" s="31" t="s">
        <v>2996</v>
      </c>
      <c r="C370" s="31" t="s">
        <v>2999</v>
      </c>
      <c r="D370" s="31" t="s">
        <v>2998</v>
      </c>
    </row>
    <row r="371" spans="1:4" ht="60" x14ac:dyDescent="0.25">
      <c r="A371" s="32" t="s">
        <v>987</v>
      </c>
      <c r="B371" s="31" t="s">
        <v>2996</v>
      </c>
      <c r="C371" s="31" t="s">
        <v>2999</v>
      </c>
      <c r="D371" s="31" t="s">
        <v>2998</v>
      </c>
    </row>
    <row r="372" spans="1:4" ht="60" x14ac:dyDescent="0.25">
      <c r="A372" s="32" t="s">
        <v>35</v>
      </c>
      <c r="B372" s="31" t="s">
        <v>2996</v>
      </c>
      <c r="C372" s="31" t="s">
        <v>2999</v>
      </c>
      <c r="D372" s="31" t="s">
        <v>2998</v>
      </c>
    </row>
    <row r="373" spans="1:4" ht="60" x14ac:dyDescent="0.25">
      <c r="A373" s="32" t="s">
        <v>1724</v>
      </c>
      <c r="B373" s="31" t="s">
        <v>2996</v>
      </c>
      <c r="C373" s="31" t="s">
        <v>2999</v>
      </c>
      <c r="D373" s="31" t="s">
        <v>2998</v>
      </c>
    </row>
    <row r="374" spans="1:4" ht="60" x14ac:dyDescent="0.25">
      <c r="A374" s="32" t="s">
        <v>854</v>
      </c>
      <c r="B374" s="31" t="s">
        <v>2996</v>
      </c>
      <c r="C374" s="31" t="s">
        <v>2999</v>
      </c>
      <c r="D374" s="31" t="s">
        <v>2998</v>
      </c>
    </row>
    <row r="375" spans="1:4" ht="60" x14ac:dyDescent="0.25">
      <c r="A375" s="32" t="s">
        <v>2764</v>
      </c>
      <c r="B375" s="31" t="s">
        <v>2996</v>
      </c>
      <c r="C375" s="31" t="s">
        <v>2999</v>
      </c>
      <c r="D375" s="31" t="s">
        <v>2998</v>
      </c>
    </row>
    <row r="376" spans="1:4" ht="60" x14ac:dyDescent="0.25">
      <c r="A376" s="32" t="s">
        <v>2244</v>
      </c>
      <c r="B376" s="31" t="s">
        <v>2996</v>
      </c>
      <c r="C376" s="31" t="s">
        <v>2999</v>
      </c>
      <c r="D376" s="31" t="s">
        <v>2998</v>
      </c>
    </row>
    <row r="377" spans="1:4" ht="60" x14ac:dyDescent="0.25">
      <c r="A377" s="32" t="s">
        <v>2036</v>
      </c>
      <c r="B377" s="31" t="s">
        <v>2996</v>
      </c>
      <c r="C377" s="31" t="s">
        <v>2999</v>
      </c>
      <c r="D377" s="31" t="s">
        <v>2998</v>
      </c>
    </row>
    <row r="378" spans="1:4" ht="60" x14ac:dyDescent="0.25">
      <c r="A378" s="32" t="s">
        <v>700</v>
      </c>
      <c r="B378" s="31" t="s">
        <v>2996</v>
      </c>
      <c r="C378" s="31" t="s">
        <v>2999</v>
      </c>
      <c r="D378" s="31" t="s">
        <v>2998</v>
      </c>
    </row>
    <row r="379" spans="1:4" ht="60" x14ac:dyDescent="0.25">
      <c r="A379" s="32" t="s">
        <v>1015</v>
      </c>
      <c r="B379" s="31" t="s">
        <v>2996</v>
      </c>
      <c r="C379" s="31" t="s">
        <v>2999</v>
      </c>
      <c r="D379" s="31" t="s">
        <v>2998</v>
      </c>
    </row>
    <row r="380" spans="1:4" ht="60" x14ac:dyDescent="0.25">
      <c r="A380" s="32" t="s">
        <v>1971</v>
      </c>
      <c r="B380" s="31" t="s">
        <v>2996</v>
      </c>
      <c r="C380" s="31" t="s">
        <v>2999</v>
      </c>
      <c r="D380" s="31" t="s">
        <v>2998</v>
      </c>
    </row>
    <row r="381" spans="1:4" ht="60" x14ac:dyDescent="0.25">
      <c r="A381" s="32" t="s">
        <v>435</v>
      </c>
      <c r="B381" s="31" t="s">
        <v>2996</v>
      </c>
      <c r="C381" s="31" t="s">
        <v>2999</v>
      </c>
      <c r="D381" s="31" t="s">
        <v>2998</v>
      </c>
    </row>
    <row r="382" spans="1:4" ht="60" x14ac:dyDescent="0.25">
      <c r="A382" s="32" t="s">
        <v>837</v>
      </c>
      <c r="B382" s="31" t="s">
        <v>2996</v>
      </c>
      <c r="C382" s="31" t="s">
        <v>2999</v>
      </c>
      <c r="D382" s="31" t="s">
        <v>2998</v>
      </c>
    </row>
    <row r="383" spans="1:4" ht="60" x14ac:dyDescent="0.25">
      <c r="A383" s="32" t="s">
        <v>122</v>
      </c>
      <c r="B383" s="31" t="s">
        <v>2996</v>
      </c>
      <c r="C383" s="31" t="s">
        <v>2999</v>
      </c>
      <c r="D383" s="31" t="s">
        <v>2998</v>
      </c>
    </row>
    <row r="384" spans="1:4" ht="60" x14ac:dyDescent="0.25">
      <c r="A384" s="32" t="s">
        <v>1352</v>
      </c>
      <c r="B384" s="31" t="s">
        <v>2996</v>
      </c>
      <c r="C384" s="31" t="s">
        <v>2999</v>
      </c>
      <c r="D384" s="31" t="s">
        <v>2998</v>
      </c>
    </row>
    <row r="385" spans="1:4" ht="60" x14ac:dyDescent="0.25">
      <c r="A385" s="32" t="s">
        <v>878</v>
      </c>
      <c r="B385" s="31" t="s">
        <v>2996</v>
      </c>
      <c r="C385" s="31" t="s">
        <v>2999</v>
      </c>
      <c r="D385" s="31" t="s">
        <v>2998</v>
      </c>
    </row>
    <row r="386" spans="1:4" ht="60" x14ac:dyDescent="0.25">
      <c r="A386" s="32" t="s">
        <v>2542</v>
      </c>
      <c r="B386" s="31" t="s">
        <v>2996</v>
      </c>
      <c r="C386" s="31" t="s">
        <v>2999</v>
      </c>
      <c r="D386" s="31" t="s">
        <v>2998</v>
      </c>
    </row>
    <row r="387" spans="1:4" ht="60" x14ac:dyDescent="0.25">
      <c r="A387" s="32" t="s">
        <v>1753</v>
      </c>
      <c r="B387" s="31" t="s">
        <v>2996</v>
      </c>
      <c r="C387" s="31" t="s">
        <v>2999</v>
      </c>
      <c r="D387" s="31" t="s">
        <v>2998</v>
      </c>
    </row>
    <row r="388" spans="1:4" ht="60" x14ac:dyDescent="0.25">
      <c r="A388" s="32" t="s">
        <v>360</v>
      </c>
      <c r="B388" s="31" t="s">
        <v>2996</v>
      </c>
      <c r="C388" s="31" t="s">
        <v>2999</v>
      </c>
      <c r="D388" s="31" t="s">
        <v>2998</v>
      </c>
    </row>
    <row r="389" spans="1:4" ht="60" x14ac:dyDescent="0.25">
      <c r="A389" s="32" t="s">
        <v>891</v>
      </c>
      <c r="B389" s="31" t="s">
        <v>2996</v>
      </c>
      <c r="C389" s="31" t="s">
        <v>2999</v>
      </c>
      <c r="D389" s="31" t="s">
        <v>2998</v>
      </c>
    </row>
    <row r="390" spans="1:4" ht="60" x14ac:dyDescent="0.25">
      <c r="A390" s="32" t="s">
        <v>1056</v>
      </c>
      <c r="B390" s="31" t="s">
        <v>2996</v>
      </c>
      <c r="C390" s="31" t="s">
        <v>2999</v>
      </c>
      <c r="D390" s="31" t="s">
        <v>2998</v>
      </c>
    </row>
    <row r="391" spans="1:4" ht="60" x14ac:dyDescent="0.25">
      <c r="A391" s="32" t="s">
        <v>1003</v>
      </c>
      <c r="B391" s="31" t="s">
        <v>2996</v>
      </c>
      <c r="C391" s="31" t="s">
        <v>2999</v>
      </c>
      <c r="D391" s="31" t="s">
        <v>2998</v>
      </c>
    </row>
    <row r="392" spans="1:4" ht="60" x14ac:dyDescent="0.25">
      <c r="A392" s="32" t="s">
        <v>2781</v>
      </c>
      <c r="B392" s="31" t="s">
        <v>2996</v>
      </c>
      <c r="C392" s="31" t="s">
        <v>2999</v>
      </c>
      <c r="D392" s="31" t="s">
        <v>2998</v>
      </c>
    </row>
    <row r="393" spans="1:4" ht="60" x14ac:dyDescent="0.25">
      <c r="A393" s="32" t="s">
        <v>2755</v>
      </c>
      <c r="B393" s="31" t="s">
        <v>2996</v>
      </c>
      <c r="C393" s="31" t="s">
        <v>2999</v>
      </c>
      <c r="D393" s="31" t="s">
        <v>2998</v>
      </c>
    </row>
    <row r="394" spans="1:4" ht="60" x14ac:dyDescent="0.25">
      <c r="A394" s="32" t="s">
        <v>490</v>
      </c>
      <c r="B394" s="31" t="s">
        <v>2996</v>
      </c>
      <c r="C394" s="31" t="s">
        <v>2999</v>
      </c>
      <c r="D394" s="31" t="s">
        <v>2998</v>
      </c>
    </row>
    <row r="395" spans="1:4" ht="60" x14ac:dyDescent="0.25">
      <c r="A395" s="32" t="s">
        <v>909</v>
      </c>
      <c r="B395" s="31" t="s">
        <v>2996</v>
      </c>
      <c r="C395" s="31" t="s">
        <v>2999</v>
      </c>
      <c r="D395" s="31" t="s">
        <v>2998</v>
      </c>
    </row>
    <row r="396" spans="1:4" ht="60" x14ac:dyDescent="0.25">
      <c r="A396" s="32" t="s">
        <v>1104</v>
      </c>
      <c r="B396" s="31" t="s">
        <v>2996</v>
      </c>
      <c r="C396" s="31" t="s">
        <v>2999</v>
      </c>
      <c r="D396" s="31" t="s">
        <v>2998</v>
      </c>
    </row>
    <row r="397" spans="1:4" ht="60" x14ac:dyDescent="0.25">
      <c r="A397" s="32" t="s">
        <v>1468</v>
      </c>
      <c r="B397" s="31" t="s">
        <v>2996</v>
      </c>
      <c r="C397" s="31" t="s">
        <v>2999</v>
      </c>
      <c r="D397" s="31" t="s">
        <v>2998</v>
      </c>
    </row>
    <row r="398" spans="1:4" ht="60" x14ac:dyDescent="0.25">
      <c r="A398" s="32" t="s">
        <v>1652</v>
      </c>
      <c r="B398" s="31" t="s">
        <v>2996</v>
      </c>
      <c r="C398" s="31" t="s">
        <v>2999</v>
      </c>
      <c r="D398" s="31" t="s">
        <v>2998</v>
      </c>
    </row>
    <row r="399" spans="1:4" ht="60" x14ac:dyDescent="0.25">
      <c r="A399" s="32" t="s">
        <v>1231</v>
      </c>
      <c r="B399" s="31" t="s">
        <v>2996</v>
      </c>
      <c r="C399" s="31" t="s">
        <v>2999</v>
      </c>
      <c r="D399" s="31" t="s">
        <v>2998</v>
      </c>
    </row>
    <row r="400" spans="1:4" ht="60" x14ac:dyDescent="0.25">
      <c r="A400" s="32" t="s">
        <v>299</v>
      </c>
      <c r="B400" s="31" t="s">
        <v>2996</v>
      </c>
      <c r="C400" s="31" t="s">
        <v>2999</v>
      </c>
      <c r="D400" s="31" t="s">
        <v>2998</v>
      </c>
    </row>
    <row r="401" spans="1:4" ht="60" x14ac:dyDescent="0.25">
      <c r="A401" s="32" t="s">
        <v>304</v>
      </c>
      <c r="B401" s="31" t="s">
        <v>2996</v>
      </c>
      <c r="C401" s="31" t="s">
        <v>2999</v>
      </c>
      <c r="D401" s="31" t="s">
        <v>2998</v>
      </c>
    </row>
    <row r="402" spans="1:4" ht="60" x14ac:dyDescent="0.25">
      <c r="A402" s="32" t="s">
        <v>387</v>
      </c>
      <c r="B402" s="31" t="s">
        <v>2996</v>
      </c>
      <c r="C402" s="31" t="s">
        <v>2999</v>
      </c>
      <c r="D402" s="31" t="s">
        <v>2998</v>
      </c>
    </row>
    <row r="403" spans="1:4" ht="60" x14ac:dyDescent="0.25">
      <c r="A403" s="32" t="s">
        <v>1664</v>
      </c>
      <c r="B403" s="31" t="s">
        <v>2996</v>
      </c>
      <c r="C403" s="31" t="s">
        <v>2999</v>
      </c>
      <c r="D403" s="31" t="s">
        <v>2998</v>
      </c>
    </row>
    <row r="404" spans="1:4" ht="60" x14ac:dyDescent="0.25">
      <c r="A404" s="32" t="s">
        <v>2632</v>
      </c>
      <c r="B404" s="31" t="s">
        <v>2996</v>
      </c>
      <c r="C404" s="31" t="s">
        <v>2999</v>
      </c>
      <c r="D404" s="31" t="s">
        <v>2998</v>
      </c>
    </row>
    <row r="405" spans="1:4" ht="60" x14ac:dyDescent="0.25">
      <c r="A405" s="32" t="s">
        <v>1981</v>
      </c>
      <c r="B405" s="31" t="s">
        <v>2996</v>
      </c>
      <c r="C405" s="31" t="s">
        <v>2999</v>
      </c>
      <c r="D405" s="31" t="s">
        <v>2998</v>
      </c>
    </row>
    <row r="406" spans="1:4" ht="60" x14ac:dyDescent="0.25">
      <c r="A406" s="32" t="s">
        <v>965</v>
      </c>
      <c r="B406" s="31" t="s">
        <v>2996</v>
      </c>
      <c r="C406" s="31" t="s">
        <v>2999</v>
      </c>
      <c r="D406" s="31" t="s">
        <v>2998</v>
      </c>
    </row>
    <row r="407" spans="1:4" ht="60" x14ac:dyDescent="0.25">
      <c r="A407" s="32" t="s">
        <v>54</v>
      </c>
      <c r="B407" s="31" t="s">
        <v>2996</v>
      </c>
      <c r="C407" s="31" t="s">
        <v>2999</v>
      </c>
      <c r="D407" s="31" t="s">
        <v>2998</v>
      </c>
    </row>
    <row r="408" spans="1:4" ht="60" x14ac:dyDescent="0.25">
      <c r="A408" s="32" t="s">
        <v>2039</v>
      </c>
      <c r="B408" s="31" t="s">
        <v>2996</v>
      </c>
      <c r="C408" s="31" t="s">
        <v>2999</v>
      </c>
      <c r="D408" s="31" t="s">
        <v>2998</v>
      </c>
    </row>
    <row r="409" spans="1:4" ht="60" x14ac:dyDescent="0.25">
      <c r="A409" s="32" t="s">
        <v>683</v>
      </c>
      <c r="B409" s="31" t="s">
        <v>2996</v>
      </c>
      <c r="C409" s="31" t="s">
        <v>2999</v>
      </c>
      <c r="D409" s="31" t="s">
        <v>2998</v>
      </c>
    </row>
    <row r="410" spans="1:4" ht="60" x14ac:dyDescent="0.25">
      <c r="A410" s="32" t="s">
        <v>1729</v>
      </c>
      <c r="B410" s="31" t="s">
        <v>2996</v>
      </c>
      <c r="C410" s="31" t="s">
        <v>2999</v>
      </c>
      <c r="D410" s="31" t="s">
        <v>2998</v>
      </c>
    </row>
    <row r="411" spans="1:4" ht="60" x14ac:dyDescent="0.25">
      <c r="A411" s="32" t="s">
        <v>1448</v>
      </c>
      <c r="B411" s="31" t="s">
        <v>2996</v>
      </c>
      <c r="C411" s="31" t="s">
        <v>2999</v>
      </c>
      <c r="D411" s="31" t="s">
        <v>2998</v>
      </c>
    </row>
    <row r="412" spans="1:4" ht="60" x14ac:dyDescent="0.25">
      <c r="A412" s="32" t="s">
        <v>445</v>
      </c>
      <c r="B412" s="31" t="s">
        <v>2996</v>
      </c>
      <c r="C412" s="31" t="s">
        <v>2999</v>
      </c>
      <c r="D412" s="31" t="s">
        <v>2998</v>
      </c>
    </row>
    <row r="413" spans="1:4" ht="60" x14ac:dyDescent="0.25">
      <c r="A413" s="32" t="s">
        <v>688</v>
      </c>
      <c r="B413" s="31" t="s">
        <v>2996</v>
      </c>
      <c r="C413" s="31" t="s">
        <v>2999</v>
      </c>
      <c r="D413" s="31" t="s">
        <v>2998</v>
      </c>
    </row>
    <row r="414" spans="1:4" ht="60" x14ac:dyDescent="0.25">
      <c r="A414" s="32" t="s">
        <v>974</v>
      </c>
      <c r="B414" s="31" t="s">
        <v>2996</v>
      </c>
      <c r="C414" s="31" t="s">
        <v>2999</v>
      </c>
      <c r="D414" s="31" t="s">
        <v>2998</v>
      </c>
    </row>
    <row r="415" spans="1:4" ht="60" x14ac:dyDescent="0.25">
      <c r="A415" s="32" t="s">
        <v>512</v>
      </c>
      <c r="B415" s="31" t="s">
        <v>2996</v>
      </c>
      <c r="C415" s="31" t="s">
        <v>2999</v>
      </c>
      <c r="D415" s="31" t="s">
        <v>2998</v>
      </c>
    </row>
    <row r="416" spans="1:4" ht="60" x14ac:dyDescent="0.25">
      <c r="A416" s="32" t="s">
        <v>919</v>
      </c>
      <c r="B416" s="31" t="s">
        <v>2996</v>
      </c>
      <c r="C416" s="31" t="s">
        <v>2999</v>
      </c>
      <c r="D416" s="31" t="s">
        <v>2998</v>
      </c>
    </row>
    <row r="417" spans="1:4" ht="60" x14ac:dyDescent="0.25">
      <c r="A417" s="32" t="s">
        <v>364</v>
      </c>
      <c r="B417" s="31" t="s">
        <v>2996</v>
      </c>
      <c r="C417" s="31" t="s">
        <v>2999</v>
      </c>
      <c r="D417" s="31" t="s">
        <v>2998</v>
      </c>
    </row>
    <row r="418" spans="1:4" ht="60" x14ac:dyDescent="0.25">
      <c r="A418" s="32" t="s">
        <v>671</v>
      </c>
      <c r="B418" s="31" t="s">
        <v>2996</v>
      </c>
      <c r="C418" s="31" t="s">
        <v>2999</v>
      </c>
      <c r="D418" s="31" t="s">
        <v>2998</v>
      </c>
    </row>
    <row r="419" spans="1:4" ht="60" x14ac:dyDescent="0.25">
      <c r="A419" s="32" t="s">
        <v>2224</v>
      </c>
      <c r="B419" s="31" t="s">
        <v>2996</v>
      </c>
      <c r="C419" s="31" t="s">
        <v>2999</v>
      </c>
      <c r="D419" s="31" t="s">
        <v>2998</v>
      </c>
    </row>
    <row r="420" spans="1:4" ht="60" x14ac:dyDescent="0.25">
      <c r="A420" s="32" t="s">
        <v>767</v>
      </c>
      <c r="B420" s="31" t="s">
        <v>2996</v>
      </c>
      <c r="C420" s="31" t="s">
        <v>2999</v>
      </c>
      <c r="D420" s="31" t="s">
        <v>2998</v>
      </c>
    </row>
    <row r="421" spans="1:4" ht="60" x14ac:dyDescent="0.25">
      <c r="A421" s="32" t="s">
        <v>32</v>
      </c>
      <c r="B421" s="31" t="s">
        <v>2996</v>
      </c>
      <c r="C421" s="31" t="s">
        <v>2999</v>
      </c>
      <c r="D421" s="31" t="s">
        <v>2998</v>
      </c>
    </row>
    <row r="422" spans="1:4" ht="60" x14ac:dyDescent="0.25">
      <c r="A422" s="32" t="s">
        <v>2883</v>
      </c>
      <c r="B422" s="31" t="s">
        <v>2996</v>
      </c>
      <c r="C422" s="31" t="s">
        <v>2999</v>
      </c>
      <c r="D422" s="31" t="s">
        <v>2998</v>
      </c>
    </row>
    <row r="423" spans="1:4" ht="60" x14ac:dyDescent="0.25">
      <c r="A423" s="32" t="s">
        <v>2737</v>
      </c>
      <c r="B423" s="31" t="s">
        <v>2996</v>
      </c>
      <c r="C423" s="31" t="s">
        <v>2999</v>
      </c>
      <c r="D423" s="31" t="s">
        <v>2998</v>
      </c>
    </row>
    <row r="424" spans="1:4" ht="60" x14ac:dyDescent="0.25">
      <c r="A424" s="32" t="s">
        <v>895</v>
      </c>
      <c r="B424" s="31" t="s">
        <v>2996</v>
      </c>
      <c r="C424" s="31" t="s">
        <v>2999</v>
      </c>
      <c r="D424" s="31" t="s">
        <v>2998</v>
      </c>
    </row>
    <row r="425" spans="1:4" ht="60" x14ac:dyDescent="0.25">
      <c r="A425" s="32" t="s">
        <v>938</v>
      </c>
      <c r="B425" s="31" t="s">
        <v>2996</v>
      </c>
      <c r="C425" s="31" t="s">
        <v>2999</v>
      </c>
      <c r="D425" s="31" t="s">
        <v>2998</v>
      </c>
    </row>
    <row r="426" spans="1:4" ht="60" x14ac:dyDescent="0.25">
      <c r="A426" s="32" t="s">
        <v>872</v>
      </c>
      <c r="B426" s="31" t="s">
        <v>2996</v>
      </c>
      <c r="C426" s="31" t="s">
        <v>2999</v>
      </c>
      <c r="D426" s="31" t="s">
        <v>2998</v>
      </c>
    </row>
    <row r="427" spans="1:4" ht="60" x14ac:dyDescent="0.25">
      <c r="A427" s="32" t="s">
        <v>1621</v>
      </c>
      <c r="B427" s="31" t="s">
        <v>2996</v>
      </c>
      <c r="C427" s="31" t="s">
        <v>2999</v>
      </c>
      <c r="D427" s="31" t="s">
        <v>2998</v>
      </c>
    </row>
    <row r="428" spans="1:4" ht="60" x14ac:dyDescent="0.25">
      <c r="A428" s="32" t="s">
        <v>2745</v>
      </c>
      <c r="B428" s="31" t="s">
        <v>2996</v>
      </c>
      <c r="C428" s="31" t="s">
        <v>2999</v>
      </c>
      <c r="D428" s="31" t="s">
        <v>2998</v>
      </c>
    </row>
    <row r="429" spans="1:4" ht="60" x14ac:dyDescent="0.25">
      <c r="A429" s="32" t="s">
        <v>798</v>
      </c>
      <c r="B429" s="31" t="s">
        <v>2996</v>
      </c>
      <c r="C429" s="31" t="s">
        <v>2999</v>
      </c>
      <c r="D429" s="31" t="s">
        <v>2998</v>
      </c>
    </row>
    <row r="430" spans="1:4" ht="60" x14ac:dyDescent="0.25">
      <c r="A430" s="32" t="s">
        <v>832</v>
      </c>
      <c r="B430" s="31" t="s">
        <v>2996</v>
      </c>
      <c r="C430" s="31" t="s">
        <v>2999</v>
      </c>
      <c r="D430" s="31" t="s">
        <v>2998</v>
      </c>
    </row>
    <row r="431" spans="1:4" ht="60" x14ac:dyDescent="0.25">
      <c r="A431" s="32" t="s">
        <v>43</v>
      </c>
      <c r="B431" s="31" t="s">
        <v>2996</v>
      </c>
      <c r="C431" s="31" t="s">
        <v>2999</v>
      </c>
      <c r="D431" s="31" t="s">
        <v>2998</v>
      </c>
    </row>
    <row r="432" spans="1:4" ht="60" x14ac:dyDescent="0.25">
      <c r="A432" s="32" t="s">
        <v>1399</v>
      </c>
      <c r="B432" s="31" t="s">
        <v>2996</v>
      </c>
      <c r="C432" s="31" t="s">
        <v>2999</v>
      </c>
      <c r="D432" s="31" t="s">
        <v>2998</v>
      </c>
    </row>
    <row r="433" spans="1:4" ht="60" x14ac:dyDescent="0.25">
      <c r="A433" s="32" t="s">
        <v>571</v>
      </c>
      <c r="B433" s="31" t="s">
        <v>2996</v>
      </c>
      <c r="C433" s="31" t="s">
        <v>2999</v>
      </c>
      <c r="D433" s="31" t="s">
        <v>2998</v>
      </c>
    </row>
    <row r="434" spans="1:4" ht="60" x14ac:dyDescent="0.25">
      <c r="A434" s="32" t="s">
        <v>859</v>
      </c>
      <c r="B434" s="31" t="s">
        <v>2996</v>
      </c>
      <c r="C434" s="31" t="s">
        <v>2999</v>
      </c>
      <c r="D434" s="31" t="s">
        <v>2998</v>
      </c>
    </row>
    <row r="435" spans="1:4" ht="60" x14ac:dyDescent="0.25">
      <c r="A435" s="32" t="s">
        <v>2763</v>
      </c>
      <c r="B435" s="31" t="s">
        <v>2996</v>
      </c>
      <c r="C435" s="31" t="s">
        <v>2999</v>
      </c>
      <c r="D435" s="31" t="s">
        <v>2998</v>
      </c>
    </row>
    <row r="436" spans="1:4" ht="60" x14ac:dyDescent="0.25">
      <c r="A436" s="32" t="s">
        <v>1157</v>
      </c>
      <c r="B436" s="31" t="s">
        <v>2996</v>
      </c>
      <c r="C436" s="31" t="s">
        <v>2999</v>
      </c>
      <c r="D436" s="31" t="s">
        <v>2998</v>
      </c>
    </row>
    <row r="437" spans="1:4" ht="60" x14ac:dyDescent="0.25">
      <c r="A437" s="32" t="s">
        <v>486</v>
      </c>
      <c r="B437" s="31" t="s">
        <v>2996</v>
      </c>
      <c r="C437" s="31" t="s">
        <v>2999</v>
      </c>
      <c r="D437" s="31" t="s">
        <v>2998</v>
      </c>
    </row>
  </sheetData>
  <autoFilter ref="A3:D3"/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D26" sqref="D26"/>
    </sheetView>
  </sheetViews>
  <sheetFormatPr defaultRowHeight="15" x14ac:dyDescent="0.25"/>
  <cols>
    <col min="1" max="1" width="37.7109375" bestFit="1" customWidth="1"/>
    <col min="2" max="2" width="13.140625" bestFit="1" customWidth="1"/>
    <col min="3" max="3" width="21.7109375" bestFit="1" customWidth="1"/>
    <col min="4" max="4" width="24.42578125" bestFit="1" customWidth="1"/>
    <col min="5" max="5" width="36.5703125" bestFit="1" customWidth="1"/>
  </cols>
  <sheetData>
    <row r="1" spans="1:5" x14ac:dyDescent="0.25">
      <c r="A1" s="9" t="s">
        <v>2942</v>
      </c>
      <c r="B1" s="9" t="s">
        <v>1</v>
      </c>
      <c r="C1" s="9" t="s">
        <v>4</v>
      </c>
      <c r="D1" s="9" t="s">
        <v>10</v>
      </c>
      <c r="E1" s="9" t="s">
        <v>2943</v>
      </c>
    </row>
    <row r="2" spans="1:5" x14ac:dyDescent="0.25">
      <c r="A2" s="10" t="s">
        <v>2944</v>
      </c>
      <c r="B2" s="9" t="s">
        <v>2945</v>
      </c>
      <c r="C2" s="9" t="s">
        <v>2948</v>
      </c>
      <c r="D2" s="10" t="s">
        <v>2947</v>
      </c>
      <c r="E2" s="10" t="s">
        <v>2956</v>
      </c>
    </row>
    <row r="3" spans="1:5" x14ac:dyDescent="0.25">
      <c r="A3" s="10" t="s">
        <v>2944</v>
      </c>
      <c r="B3" s="9" t="s">
        <v>2949</v>
      </c>
      <c r="C3" s="9" t="s">
        <v>2950</v>
      </c>
      <c r="D3" s="10" t="s">
        <v>2947</v>
      </c>
      <c r="E3" s="10" t="s">
        <v>2957</v>
      </c>
    </row>
    <row r="4" spans="1:5" ht="45" x14ac:dyDescent="0.25">
      <c r="A4" s="10" t="s">
        <v>2951</v>
      </c>
      <c r="B4" s="9" t="s">
        <v>2952</v>
      </c>
      <c r="C4" s="9" t="s">
        <v>2953</v>
      </c>
      <c r="D4" s="11" t="s">
        <v>2954</v>
      </c>
      <c r="E4" s="11" t="s">
        <v>2955</v>
      </c>
    </row>
    <row r="5" spans="1:5" x14ac:dyDescent="0.25">
      <c r="A5" s="10" t="s">
        <v>2944</v>
      </c>
      <c r="B5" s="9" t="s">
        <v>2952</v>
      </c>
      <c r="C5" s="9" t="s">
        <v>2958</v>
      </c>
      <c r="D5" s="10" t="s">
        <v>2947</v>
      </c>
      <c r="E5" s="10" t="s">
        <v>2956</v>
      </c>
    </row>
    <row r="6" spans="1:5" x14ac:dyDescent="0.25">
      <c r="A6" s="10" t="s">
        <v>2966</v>
      </c>
      <c r="B6" s="9" t="s">
        <v>2945</v>
      </c>
      <c r="C6" s="9" t="s">
        <v>2946</v>
      </c>
      <c r="D6" s="10" t="s">
        <v>2959</v>
      </c>
      <c r="E6" s="10" t="s">
        <v>2967</v>
      </c>
    </row>
    <row r="7" spans="1:5" x14ac:dyDescent="0.25">
      <c r="A7" s="10" t="s">
        <v>2965</v>
      </c>
      <c r="B7" s="9" t="s">
        <v>2945</v>
      </c>
      <c r="C7" s="9" t="s">
        <v>2961</v>
      </c>
      <c r="D7" s="10" t="s">
        <v>2960</v>
      </c>
      <c r="E7" s="10" t="s">
        <v>2968</v>
      </c>
    </row>
    <row r="8" spans="1:5" x14ac:dyDescent="0.25">
      <c r="A8" s="10" t="s">
        <v>2962</v>
      </c>
      <c r="B8" s="9" t="s">
        <v>2945</v>
      </c>
      <c r="C8" s="9" t="s">
        <v>2963</v>
      </c>
      <c r="D8" s="10" t="s">
        <v>2964</v>
      </c>
      <c r="E8" s="10" t="s">
        <v>2969</v>
      </c>
    </row>
    <row r="9" spans="1:5" x14ac:dyDescent="0.25">
      <c r="A9" s="10" t="s">
        <v>2962</v>
      </c>
      <c r="B9" s="9" t="s">
        <v>2970</v>
      </c>
      <c r="C9" s="9" t="s">
        <v>2950</v>
      </c>
      <c r="D9" s="10" t="s">
        <v>1757</v>
      </c>
      <c r="E9" s="10" t="s">
        <v>2969</v>
      </c>
    </row>
    <row r="10" spans="1:5" x14ac:dyDescent="0.25">
      <c r="A10" s="10" t="s">
        <v>2944</v>
      </c>
      <c r="B10" s="9" t="s">
        <v>2971</v>
      </c>
      <c r="C10" s="9" t="s">
        <v>2972</v>
      </c>
      <c r="D10" s="10" t="s">
        <v>2947</v>
      </c>
      <c r="E10" s="10" t="s">
        <v>2973</v>
      </c>
    </row>
    <row r="11" spans="1:5" x14ac:dyDescent="0.25">
      <c r="A11" s="10" t="s">
        <v>2974</v>
      </c>
      <c r="B11" s="9" t="s">
        <v>2975</v>
      </c>
      <c r="C11" s="9" t="s">
        <v>2976</v>
      </c>
      <c r="D11" s="10" t="s">
        <v>2977</v>
      </c>
      <c r="E11" s="10" t="s">
        <v>2978</v>
      </c>
    </row>
    <row r="12" spans="1:5" x14ac:dyDescent="0.25">
      <c r="A12" s="10" t="s">
        <v>2974</v>
      </c>
      <c r="B12" s="9" t="s">
        <v>2975</v>
      </c>
      <c r="C12" s="9" t="s">
        <v>2976</v>
      </c>
      <c r="D12" s="10" t="s">
        <v>2979</v>
      </c>
      <c r="E12" s="10" t="s">
        <v>2978</v>
      </c>
    </row>
    <row r="13" spans="1:5" x14ac:dyDescent="0.25">
      <c r="A13" s="10"/>
      <c r="B13" s="9"/>
      <c r="C13" s="9"/>
      <c r="D13" s="10"/>
      <c r="E13" s="10"/>
    </row>
    <row r="14" spans="1:5" x14ac:dyDescent="0.25">
      <c r="A14" s="10"/>
      <c r="B14" s="9"/>
      <c r="C14" s="9"/>
      <c r="D14" s="10"/>
      <c r="E14" s="10"/>
    </row>
    <row r="15" spans="1:5" x14ac:dyDescent="0.25">
      <c r="A15" s="10"/>
      <c r="B15" s="9"/>
      <c r="C15" s="9"/>
      <c r="D15" s="10"/>
      <c r="E15" s="10"/>
    </row>
    <row r="16" spans="1:5" x14ac:dyDescent="0.25">
      <c r="A16" s="10"/>
      <c r="B16" s="9"/>
      <c r="C16" s="9"/>
      <c r="D16" s="10"/>
      <c r="E16" s="10"/>
    </row>
    <row r="17" spans="1:5" x14ac:dyDescent="0.25">
      <c r="A17" s="10"/>
      <c r="B17" s="9"/>
      <c r="C17" s="9"/>
      <c r="D17" s="10"/>
      <c r="E17" s="10"/>
    </row>
    <row r="18" spans="1:5" x14ac:dyDescent="0.25">
      <c r="A18" s="10"/>
      <c r="B18" s="9"/>
      <c r="C18" s="9"/>
      <c r="D18" s="10"/>
      <c r="E18" s="10"/>
    </row>
    <row r="19" spans="1:5" x14ac:dyDescent="0.25">
      <c r="A19" s="10"/>
      <c r="B19" s="9"/>
      <c r="C19" s="9"/>
      <c r="D19" s="10"/>
      <c r="E19" s="10"/>
    </row>
    <row r="20" spans="1:5" x14ac:dyDescent="0.25">
      <c r="A20" s="10"/>
      <c r="B20" s="9"/>
      <c r="C20" s="9"/>
      <c r="D20" s="10"/>
      <c r="E20" s="10"/>
    </row>
    <row r="21" spans="1:5" x14ac:dyDescent="0.25">
      <c r="A21" s="10"/>
      <c r="B21" s="9"/>
      <c r="C21" s="9"/>
      <c r="D21" s="10"/>
      <c r="E21" s="10"/>
    </row>
    <row r="22" spans="1:5" x14ac:dyDescent="0.25">
      <c r="A22" s="10"/>
      <c r="B22" s="9"/>
      <c r="C22" s="9"/>
      <c r="D22" s="10"/>
      <c r="E22" s="10"/>
    </row>
    <row r="23" spans="1:5" x14ac:dyDescent="0.25">
      <c r="A23" s="10"/>
      <c r="B23" s="9"/>
      <c r="C23" s="9"/>
      <c r="D23" s="10"/>
      <c r="E23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BANCO DE DADOS</vt:lpstr>
      <vt:lpstr>LEAD TIME POR CATEGORIA</vt:lpstr>
      <vt:lpstr>Plan3</vt:lpstr>
      <vt:lpstr>Planos de Cont.</vt:lpstr>
      <vt:lpstr>Relat. Correções</vt:lpstr>
    </vt:vector>
  </TitlesOfParts>
  <Company>Sistema FIERGS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Perfil</dc:creator>
  <cp:lastModifiedBy>Perfil</cp:lastModifiedBy>
  <dcterms:created xsi:type="dcterms:W3CDTF">2014-08-13T21:49:24Z</dcterms:created>
  <dcterms:modified xsi:type="dcterms:W3CDTF">2014-10-20T23:22:15Z</dcterms:modified>
</cp:coreProperties>
</file>